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Puntos" sheetId="1" r:id="rId4"/>
    <sheet state="visible" name="2025 Puntos" sheetId="2" r:id="rId5"/>
    <sheet state="visible" name="2024 Puntos" sheetId="3" r:id="rId6"/>
    <sheet state="visible" name="2024 Stats" sheetId="4" r:id="rId7"/>
    <sheet state="visible" name="Valoracion" sheetId="5" r:id="rId8"/>
    <sheet state="visible" name="TDP" sheetId="6" r:id="rId9"/>
    <sheet state="visible" name="2023 Puntos" sheetId="7" r:id="rId10"/>
    <sheet state="visible" name="2023 Stats" sheetId="8" r:id="rId11"/>
    <sheet state="visible" name="2022 Puntos" sheetId="9" r:id="rId12"/>
    <sheet state="visible" name="TrackingInvierno" sheetId="10" r:id="rId13"/>
    <sheet state="visible" name="Nuevos Arcos" sheetId="11" r:id="rId14"/>
  </sheets>
  <definedNames>
    <definedName hidden="1" localSheetId="0" name="_xlnm._FilterDatabase">'2026 Puntos'!$A$5:$IO$49</definedName>
    <definedName hidden="1" localSheetId="1" name="_xlnm._FilterDatabase">'2025 Puntos'!$A$2:$HK$45</definedName>
    <definedName hidden="1" localSheetId="2" name="_xlnm._FilterDatabase">'2024 Puntos'!$A$2:$HH$41</definedName>
    <definedName hidden="1" localSheetId="5" name="_xlnm._FilterDatabase">TDP!$A$2:$AQ$46</definedName>
    <definedName hidden="1" localSheetId="6" name="_xlnm._FilterDatabase">'2023 Puntos'!$A$2:$HA$41</definedName>
    <definedName hidden="1" localSheetId="8" name="_xlnm._FilterDatabase">'2022 Puntos'!$A$2:$EO$41</definedName>
    <definedName hidden="1" localSheetId="9" name="_xlnm._FilterDatabase">TrackingInvierno!$A$2:$Z$39</definedName>
    <definedName hidden="1" localSheetId="9" name="Z_B1C1A7C5_AF5D_4914_A98C_8E1E40877910_.wvu.FilterData">TrackingInvierno!$A$2:$F$39</definedName>
  </definedNames>
  <calcPr/>
  <customWorkbookViews>
    <customWorkbookView activeSheetId="0" maximized="1" windowHeight="0" windowWidth="0" guid="{B1C1A7C5-AF5D-4914-A98C-8E1E40877910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tc={16958381-79a1-482a-be03-56ff18c3e91f}</author>
  </authors>
  <commentList>
    <comment authorId="0" xr:uid="{16958381-79a1-482a-be03-56ff18c3e91f}" ref="A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Llego tarde, supension por reincidencia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tc={910c16dd-4c6c-4b15-931f-24c188081a46}</author>
    <author>tc={a2f658aa-7ea7-4bc8-b54d-d860404231db}</author>
  </authors>
  <commentList>
    <comment authorId="0" xr:uid="{910c16dd-4c6c-4b15-931f-24c188081a46}" ref="G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pago
</t>
      </text>
    </comment>
    <comment authorId="1" xr:uid="{a2f658aa-7ea7-4bc8-b54d-d860404231db}" ref="GU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 roja por llegar tarde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tc={5a0dd01d-ee28-4e76-b81e-d4ea558411c4}</author>
    <author>tc={e7f28e58-4624-4cee-a080-4fdbd3741f6b}</author>
  </authors>
  <commentList>
    <comment authorId="0" xr:uid="{5a0dd01d-ee28-4e76-b81e-d4ea558411c4}" ref="A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@i.patricio.hernandez@gmail.com
0 pts debido a 15min llegada tardia al coloso.
Assigned to i.patricio.hernandez@gmail.com
Reply:
	Muchas reinicidencias de este tipo
</t>
      </text>
    </comment>
    <comment authorId="1" xr:uid="{e7f28e58-4624-4cee-a080-4fdbd3741f6b}" ref="AN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Cupo expat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CANCELADO POR COVID - OMICRON</t>
      </text>
    </comment>
  </commentList>
</comments>
</file>

<file path=xl/sharedStrings.xml><?xml version="1.0" encoding="utf-8"?>
<sst xmlns="http://schemas.openxmlformats.org/spreadsheetml/2006/main" count="2107" uniqueCount="217">
  <si>
    <t>Galactico</t>
  </si>
  <si>
    <t>Bullying</t>
  </si>
  <si>
    <t>Posicion</t>
  </si>
  <si>
    <t>TDP</t>
  </si>
  <si>
    <t>Puntos</t>
  </si>
  <si>
    <t>ID#</t>
  </si>
  <si>
    <t>Nombre</t>
  </si>
  <si>
    <t>Apellidos</t>
  </si>
  <si>
    <t>Casta</t>
  </si>
  <si>
    <t>Velocidad</t>
  </si>
  <si>
    <t>Habilidad</t>
  </si>
  <si>
    <t>Nivel Partido</t>
  </si>
  <si>
    <t>Rafa</t>
  </si>
  <si>
    <t>Tower!</t>
  </si>
  <si>
    <t>Amarilla - Llego Tarde</t>
  </si>
  <si>
    <t>Rafael</t>
  </si>
  <si>
    <t>Borja</t>
  </si>
  <si>
    <t>Pato</t>
  </si>
  <si>
    <t>Presi</t>
  </si>
  <si>
    <t xml:space="preserve">Patricio </t>
  </si>
  <si>
    <t>Hernandez</t>
  </si>
  <si>
    <t>David</t>
  </si>
  <si>
    <t>Michael G</t>
  </si>
  <si>
    <t>Curly</t>
  </si>
  <si>
    <t>Michael</t>
  </si>
  <si>
    <t>Gallegos</t>
  </si>
  <si>
    <t>Nico</t>
  </si>
  <si>
    <t>Poncho</t>
  </si>
  <si>
    <t>Monigote</t>
  </si>
  <si>
    <t>Alfonso</t>
  </si>
  <si>
    <t>Pereira</t>
  </si>
  <si>
    <t>Juan</t>
  </si>
  <si>
    <t>Jose</t>
  </si>
  <si>
    <t>Centella</t>
  </si>
  <si>
    <t>Ventura</t>
  </si>
  <si>
    <t>Javier T</t>
  </si>
  <si>
    <t>Mario</t>
  </si>
  <si>
    <t>Titere</t>
  </si>
  <si>
    <t>Roja - Llego Tarde o No pago</t>
  </si>
  <si>
    <t>Segura</t>
  </si>
  <si>
    <t>Masca bolsas</t>
  </si>
  <si>
    <t>Cevallos</t>
  </si>
  <si>
    <t>Yerko</t>
  </si>
  <si>
    <t>No Pipita</t>
  </si>
  <si>
    <t>Cupo ExPat</t>
  </si>
  <si>
    <t>Javier</t>
  </si>
  <si>
    <t>Turek</t>
  </si>
  <si>
    <t>Andrew</t>
  </si>
  <si>
    <t>Rayo, new Pipita</t>
  </si>
  <si>
    <t>Xavi</t>
  </si>
  <si>
    <t>Etarra</t>
  </si>
  <si>
    <t>Felip-Leon</t>
  </si>
  <si>
    <t>Luis</t>
  </si>
  <si>
    <t>Tu Mama</t>
  </si>
  <si>
    <t>Remis</t>
  </si>
  <si>
    <t>Enrique</t>
  </si>
  <si>
    <t>German</t>
  </si>
  <si>
    <t>Malo</t>
  </si>
  <si>
    <t>Villagomez</t>
  </si>
  <si>
    <t>Mauricio V</t>
  </si>
  <si>
    <t>Miguelillo</t>
  </si>
  <si>
    <t>Mauricio</t>
  </si>
  <si>
    <t>Valverde</t>
  </si>
  <si>
    <t>Chris</t>
  </si>
  <si>
    <t>Mr. Channels</t>
  </si>
  <si>
    <t>Christian</t>
  </si>
  <si>
    <t>Vanegas</t>
  </si>
  <si>
    <t>Valoracion</t>
  </si>
  <si>
    <t>Sede</t>
  </si>
  <si>
    <t>El Doctor</t>
  </si>
  <si>
    <t>Pts</t>
  </si>
  <si>
    <t>Convocado</t>
  </si>
  <si>
    <t>Jugo</t>
  </si>
  <si>
    <t>Acosta</t>
  </si>
  <si>
    <t>RSVP</t>
  </si>
  <si>
    <t>Covid</t>
  </si>
  <si>
    <t>Paredes</t>
  </si>
  <si>
    <t>Lewis</t>
  </si>
  <si>
    <t>Futbol</t>
  </si>
  <si>
    <t>Gomez de Arco</t>
  </si>
  <si>
    <t>Matias</t>
  </si>
  <si>
    <t>Pajaro</t>
  </si>
  <si>
    <t>Julian</t>
  </si>
  <si>
    <t>LuisMi</t>
  </si>
  <si>
    <t>Venizelos</t>
  </si>
  <si>
    <t>Goomba</t>
  </si>
  <si>
    <t>Nicolas</t>
  </si>
  <si>
    <t>Oliver</t>
  </si>
  <si>
    <t>David G</t>
  </si>
  <si>
    <t>Pago</t>
  </si>
  <si>
    <t>PtosFecha</t>
  </si>
  <si>
    <t>Jonathan</t>
  </si>
  <si>
    <t>Urtecho</t>
  </si>
  <si>
    <t>Pago/Tarde</t>
  </si>
  <si>
    <t>Roni</t>
  </si>
  <si>
    <t>Ordinario</t>
  </si>
  <si>
    <t>Levi</t>
  </si>
  <si>
    <t>Jose Ignacio</t>
  </si>
  <si>
    <t>Patito</t>
  </si>
  <si>
    <t>William</t>
  </si>
  <si>
    <t>Godoy</t>
  </si>
  <si>
    <t>Ramiro</t>
  </si>
  <si>
    <t>Nieto</t>
  </si>
  <si>
    <t>Sebas</t>
  </si>
  <si>
    <t>Little Tawa</t>
  </si>
  <si>
    <t>Sebatian</t>
  </si>
  <si>
    <t>Luciano</t>
  </si>
  <si>
    <t>Bolivar</t>
  </si>
  <si>
    <t>Crossa</t>
  </si>
  <si>
    <t>Amed Jr</t>
  </si>
  <si>
    <t>Carvajal</t>
  </si>
  <si>
    <t>Amed</t>
  </si>
  <si>
    <t>Usain Bolt</t>
  </si>
  <si>
    <t>Daniel</t>
  </si>
  <si>
    <t>Patito 2</t>
  </si>
  <si>
    <t>Mihai</t>
  </si>
  <si>
    <t>Mudo</t>
  </si>
  <si>
    <t>Israel</t>
  </si>
  <si>
    <t>Puntualidad</t>
  </si>
  <si>
    <t>Fernando Israel</t>
  </si>
  <si>
    <t>Diaz</t>
  </si>
  <si>
    <t>Pedro</t>
  </si>
  <si>
    <t>Pedrito</t>
  </si>
  <si>
    <t>Vasquez</t>
  </si>
  <si>
    <t>Tesla</t>
  </si>
  <si>
    <t>Grbic</t>
  </si>
  <si>
    <t>Jorge</t>
  </si>
  <si>
    <t>Moncayo</t>
  </si>
  <si>
    <t>Mariano</t>
  </si>
  <si>
    <t>Julio</t>
  </si>
  <si>
    <t>Eduardo</t>
  </si>
  <si>
    <t>Alban</t>
  </si>
  <si>
    <t>Macho alpha</t>
  </si>
  <si>
    <t>Varon</t>
  </si>
  <si>
    <t>Mediocre</t>
  </si>
  <si>
    <t>Hombre</t>
  </si>
  <si>
    <t>Cero a la izquierda</t>
  </si>
  <si>
    <t>Hijodeputa con honor</t>
  </si>
  <si>
    <t>Hijodeputa</t>
  </si>
  <si>
    <t>Maricon</t>
  </si>
  <si>
    <t>POR TALENTO</t>
  </si>
  <si>
    <t>POR EQUIPOS</t>
  </si>
  <si>
    <t>TALENTO INCIAL</t>
  </si>
  <si>
    <t>Talento</t>
  </si>
  <si>
    <t>The Best</t>
  </si>
  <si>
    <t>The Worst</t>
  </si>
  <si>
    <t>The SNAIL</t>
  </si>
  <si>
    <t>Ganador</t>
  </si>
  <si>
    <t>Valoracion Equipos</t>
  </si>
  <si>
    <t>VELOCIDAD INICIAL</t>
  </si>
  <si>
    <t>FACTOR MINIMO</t>
  </si>
  <si>
    <t>FACTOR MAXIMO</t>
  </si>
  <si>
    <t>TALENTO +</t>
  </si>
  <si>
    <t>TALENTO -</t>
  </si>
  <si>
    <t>VELOCIDAD</t>
  </si>
  <si>
    <t>Channels</t>
  </si>
  <si>
    <t>Ignacio</t>
  </si>
  <si>
    <t>Año</t>
  </si>
  <si>
    <t>Pre temporada</t>
  </si>
  <si>
    <t>Galas</t>
  </si>
  <si>
    <t>Socios fundadores</t>
  </si>
  <si>
    <t>Partido del Pavo</t>
  </si>
  <si>
    <t>Afitrion Gala</t>
  </si>
  <si>
    <t>Team Building</t>
  </si>
  <si>
    <t>2026 - Timbers</t>
  </si>
  <si>
    <t>2025 - Timbers</t>
  </si>
  <si>
    <t>Pipita</t>
  </si>
  <si>
    <t>Rayo</t>
  </si>
  <si>
    <t>Covid, Pipita</t>
  </si>
  <si>
    <t>David Jr</t>
  </si>
  <si>
    <t xml:space="preserve"> </t>
  </si>
  <si>
    <t>Santiago</t>
  </si>
  <si>
    <t>Paulo</t>
  </si>
  <si>
    <t>Cristian</t>
  </si>
  <si>
    <t>Tom</t>
  </si>
  <si>
    <t>Sebastian</t>
  </si>
  <si>
    <t>Jorge Jr</t>
  </si>
  <si>
    <t>Nico Bueno</t>
  </si>
  <si>
    <t>Pesos</t>
  </si>
  <si>
    <t>%</t>
  </si>
  <si>
    <t>Anualidad</t>
  </si>
  <si>
    <t>Pretemporada</t>
  </si>
  <si>
    <t>Gala</t>
  </si>
  <si>
    <t>Socio fundador</t>
  </si>
  <si>
    <t>Partido Pavo</t>
  </si>
  <si>
    <t>Anfitrion Gala</t>
  </si>
  <si>
    <t>Reglas</t>
  </si>
  <si>
    <t>El TDP es un multiplicador sobre los puntos obtenidos apartir del 1er partido post GALA</t>
  </si>
  <si>
    <t>Se debe jugar al menos 1 partido por anno para obtener el senority del mismo</t>
  </si>
  <si>
    <t>Los puntos para otono del 2022 se contaran basados en las ultimas 8 semanas antes de volver al coloso</t>
  </si>
  <si>
    <t>El TDP se recalculara cada gala y no se cambiara hasta la siguiente gala</t>
  </si>
  <si>
    <t>Los puntos se resetean post gala</t>
  </si>
  <si>
    <t>Sistema de puntos</t>
  </si>
  <si>
    <t>El Doctor Arjona</t>
  </si>
  <si>
    <t>Ene 05, 2023</t>
  </si>
  <si>
    <t>06 Abr 2023</t>
  </si>
  <si>
    <t>13 Abr 2023</t>
  </si>
  <si>
    <t>20 Abr 2023</t>
  </si>
  <si>
    <t>27 Abr 2023</t>
  </si>
  <si>
    <t>Isra 2</t>
  </si>
  <si>
    <t>No ha pagado</t>
  </si>
  <si>
    <t>Pagado sin ptos</t>
  </si>
  <si>
    <t>Plazo Vencido</t>
  </si>
  <si>
    <t>Tarjeta Roja</t>
  </si>
  <si>
    <t>16 Dic 2021</t>
  </si>
  <si>
    <t>23 Dic 2021</t>
  </si>
  <si>
    <t>30 Dic 2021</t>
  </si>
  <si>
    <t>6 Ene 2022</t>
  </si>
  <si>
    <t>13 Enero 2022</t>
  </si>
  <si>
    <t>20 Ene 2022</t>
  </si>
  <si>
    <t>27 Enero 2022</t>
  </si>
  <si>
    <t>7 Abr 2022</t>
  </si>
  <si>
    <t>21 Abr 2022</t>
  </si>
  <si>
    <t>28 Abr 2022</t>
  </si>
  <si>
    <t>PuntosVerano</t>
  </si>
  <si>
    <t>Cuota</t>
  </si>
  <si>
    <t>Julip Cesar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</si>
</sst>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dd mmmm yyyy"/>
    <numFmt numFmtId="166" formatCode="mmm d, yyyy"/>
    <numFmt numFmtId="167" formatCode="d mmm yyyy"/>
    <numFmt numFmtId="168" formatCode="dd mmm yyyy"/>
  </numFmts>
  <fonts count="12">
    <font>
      <sz val="10.0"/>
      <color rgb="FF000000"/>
      <name val="Arial"/>
    </font>
    <font/>
    <font>
      <color rgb="FFFFFFFF"/>
    </font>
    <font>
      <b/>
    </font>
    <font>
      <sz val="9.0"/>
      <color rgb="FF000000"/>
      <name val="&quot;Google Sans Mono&quot;"/>
    </font>
    <font>
      <b/>
      <color rgb="FFFFFFFF"/>
    </font>
    <font>
      <b/>
      <sz val="10.0"/>
    </font>
    <font>
      <b/>
      <color rgb="FF000000"/>
    </font>
    <font>
      <color rgb="FF000000"/>
    </font>
    <font>
      <b/>
      <name val="Arial"/>
    </font>
    <font>
      <sz val="11.0"/>
      <color rgb="FF000000"/>
      <name val="Inconsolata"/>
    </font>
    <font>
      <b/>
      <sz val="18.0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57BB8A"/>
        <bgColor rgb="FF57BB8A"/>
      </patternFill>
    </fill>
    <fill>
      <patternFill patternType="solid">
        <fgColor rgb="FFF4C7C3"/>
        <bgColor rgb="FFF4C7C3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</fills>
  <borders count="4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ck">
        <color rgb="FF4A86E8"/>
      </left>
      <top style="thick">
        <color rgb="FF4A86E8"/>
      </top>
    </border>
    <border>
      <top style="thick">
        <color rgb="FF4A86E8"/>
      </top>
    </border>
    <border>
      <right style="thick">
        <color rgb="FF4A86E8"/>
      </right>
      <top style="thick">
        <color rgb="FF4A86E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4A86E8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4A86E8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4A86E8"/>
      </right>
      <top style="thin">
        <color rgb="FF000000"/>
      </top>
    </border>
    <border>
      <left style="thick">
        <color rgb="FF4A86E8"/>
      </left>
      <top style="thin">
        <color rgb="FF000000"/>
      </top>
    </border>
    <border>
      <right style="thick">
        <color rgb="FF4A86E8"/>
      </right>
      <top style="thin">
        <color rgb="FF000000"/>
      </top>
    </border>
    <border>
      <right style="thick">
        <color rgb="FF4A86E8"/>
      </right>
    </border>
    <border>
      <left style="thick">
        <color rgb="FF4A86E8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4A86E8"/>
      </left>
      <bottom style="thick">
        <color rgb="FF4A86E8"/>
      </bottom>
    </border>
    <border>
      <bottom style="thick">
        <color rgb="FF4A86E8"/>
      </bottom>
    </border>
    <border>
      <right style="thick">
        <color rgb="FF4A86E8"/>
      </right>
      <bottom style="thick">
        <color rgb="FF4A86E8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0" fillId="2" fontId="2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4" fillId="0" fontId="3" numFmtId="164" xfId="0" applyAlignment="1" applyBorder="1" applyFont="1" applyNumberFormat="1">
      <alignment horizontal="center" readingOrder="0"/>
    </xf>
    <xf borderId="5" fillId="0" fontId="1" numFmtId="0" xfId="0" applyBorder="1" applyFont="1"/>
    <xf borderId="6" fillId="0" fontId="1" numFmtId="0" xfId="0" applyBorder="1" applyFont="1"/>
    <xf borderId="0" fillId="0" fontId="3" numFmtId="165" xfId="0" applyAlignment="1" applyFont="1" applyNumberFormat="1">
      <alignment horizontal="center" readingOrder="0"/>
    </xf>
    <xf borderId="4" fillId="0" fontId="3" numFmtId="165" xfId="0" applyAlignment="1" applyBorder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  <xf borderId="4" fillId="0" fontId="1" numFmtId="0" xfId="0" applyBorder="1" applyFont="1"/>
    <xf borderId="0" fillId="4" fontId="1" numFmtId="2" xfId="0" applyAlignment="1" applyFill="1" applyFont="1" applyNumberFormat="1">
      <alignment horizontal="center"/>
    </xf>
    <xf borderId="0" fillId="0" fontId="1" numFmtId="0" xfId="0" applyAlignment="1" applyFont="1">
      <alignment readingOrder="0"/>
    </xf>
    <xf borderId="0" fillId="5" fontId="4" numFmtId="0" xfId="0" applyFill="1" applyFont="1"/>
    <xf borderId="3" fillId="5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7" fillId="2" fontId="2" numFmtId="0" xfId="0" applyAlignment="1" applyBorder="1" applyFill="1" applyFont="1">
      <alignment horizontal="center" readingOrder="0" vertical="center"/>
    </xf>
    <xf borderId="8" fillId="2" fontId="2" numFmtId="0" xfId="0" applyAlignment="1" applyBorder="1" applyFill="1" applyFont="1">
      <alignment horizontal="center" readingOrder="0" vertical="center"/>
    </xf>
    <xf borderId="8" fillId="2" fontId="1" numFmtId="0" xfId="0" applyAlignment="1" applyBorder="1" applyFill="1" applyFont="1">
      <alignment horizontal="center" readingOrder="0"/>
    </xf>
    <xf borderId="9" fillId="2" fontId="1" numFmtId="0" xfId="0" applyAlignment="1" applyBorder="1" applyFill="1" applyFont="1">
      <alignment horizontal="center" readingOrder="0"/>
    </xf>
    <xf borderId="4" fillId="8" fontId="3" numFmtId="165" xfId="0" applyAlignment="1" applyBorder="1" applyFill="1" applyFont="1" applyNumberFormat="1">
      <alignment horizontal="center" readingOrder="0"/>
    </xf>
    <xf borderId="0" fillId="9" fontId="1" numFmtId="0" xfId="0" applyAlignment="1" applyFill="1" applyFont="1">
      <alignment horizontal="center"/>
    </xf>
    <xf borderId="2" fillId="2" fontId="5" numFmtId="0" xfId="0" applyAlignment="1" applyBorder="1" applyFill="1" applyFont="1">
      <alignment horizontal="center" readingOrder="0" vertical="center"/>
    </xf>
    <xf borderId="5" fillId="2" fontId="5" numFmtId="0" xfId="0" applyAlignment="1" applyBorder="1" applyFill="1" applyFont="1">
      <alignment horizontal="center" readingOrder="0" vertical="center"/>
    </xf>
    <xf borderId="10" fillId="2" fontId="2" numFmtId="0" xfId="0" applyAlignment="1" applyBorder="1" applyFill="1" applyFont="1">
      <alignment horizontal="center" readingOrder="0" vertical="center"/>
    </xf>
    <xf borderId="11" fillId="2" fontId="2" numFmtId="0" xfId="0" applyAlignment="1" applyBorder="1" applyFill="1" applyFont="1">
      <alignment horizontal="center" readingOrder="0" vertical="center"/>
    </xf>
    <xf borderId="6" fillId="2" fontId="5" numFmtId="0" xfId="0" applyAlignment="1" applyBorder="1" applyFill="1" applyFont="1">
      <alignment horizontal="center" readingOrder="0" vertical="center"/>
    </xf>
    <xf borderId="12" fillId="5" fontId="1" numFmtId="0" xfId="0" applyAlignment="1" applyBorder="1" applyFill="1" applyFont="1">
      <alignment horizontal="center" readingOrder="0"/>
    </xf>
    <xf borderId="0" fillId="0" fontId="1" numFmtId="2" xfId="0" applyAlignment="1" applyFont="1" applyNumberFormat="1">
      <alignment horizontal="center"/>
    </xf>
    <xf borderId="13" fillId="0" fontId="1" numFmtId="2" xfId="0" applyAlignment="1" applyBorder="1" applyFont="1" applyNumberFormat="1">
      <alignment horizontal="center"/>
    </xf>
    <xf borderId="14" fillId="0" fontId="1" numFmtId="0" xfId="0" applyAlignment="1" applyBorder="1" applyFont="1">
      <alignment horizontal="center" readingOrder="0"/>
    </xf>
    <xf borderId="15" fillId="10" fontId="1" numFmtId="0" xfId="0" applyAlignment="1" applyBorder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14" fillId="8" fontId="1" numFmtId="0" xfId="0" applyAlignment="1" applyBorder="1" applyFill="1" applyFont="1">
      <alignment horizontal="center" readingOrder="0"/>
    </xf>
    <xf borderId="16" fillId="0" fontId="1" numFmtId="0" xfId="0" applyAlignment="1" applyBorder="1" applyFont="1">
      <alignment horizontal="center"/>
    </xf>
    <xf borderId="15" fillId="8" fontId="1" numFmtId="0" xfId="0" applyAlignment="1" applyBorder="1" applyFill="1" applyFont="1">
      <alignment horizontal="center" readingOrder="0"/>
    </xf>
    <xf borderId="14" fillId="10" fontId="1" numFmtId="0" xfId="0" applyAlignment="1" applyBorder="1" applyFill="1" applyFont="1">
      <alignment horizontal="center" readingOrder="0"/>
    </xf>
    <xf borderId="17" fillId="2" fontId="2" numFmtId="0" xfId="0" applyAlignment="1" applyBorder="1" applyFill="1" applyFont="1">
      <alignment horizontal="center" readingOrder="0" vertical="center"/>
    </xf>
    <xf borderId="18" fillId="0" fontId="1" numFmtId="0" xfId="0" applyBorder="1" applyFont="1"/>
    <xf borderId="19" fillId="0" fontId="1" numFmtId="0" xfId="0" applyBorder="1" applyFont="1"/>
    <xf borderId="20" fillId="2" fontId="2" numFmtId="0" xfId="0" applyAlignment="1" applyBorder="1" applyFill="1" applyFont="1">
      <alignment horizontal="center" readingOrder="0" vertical="center"/>
    </xf>
    <xf borderId="15" fillId="2" fontId="2" numFmtId="0" xfId="0" applyAlignment="1" applyBorder="1" applyFill="1" applyFont="1">
      <alignment horizontal="center" readingOrder="0" vertical="center"/>
    </xf>
    <xf borderId="21" fillId="2" fontId="2" numFmtId="0" xfId="0" applyAlignment="1" applyBorder="1" applyFill="1" applyFont="1">
      <alignment horizontal="center" readingOrder="0" vertical="center"/>
    </xf>
    <xf borderId="22" fillId="2" fontId="2" numFmtId="0" xfId="0" applyAlignment="1" applyBorder="1" applyFill="1" applyFont="1">
      <alignment horizontal="center" readingOrder="0" vertical="center"/>
    </xf>
    <xf borderId="23" fillId="2" fontId="2" numFmtId="0" xfId="0" applyAlignment="1" applyBorder="1" applyFill="1" applyFont="1">
      <alignment horizontal="center" readingOrder="0" vertical="center"/>
    </xf>
    <xf borderId="24" fillId="2" fontId="2" numFmtId="0" xfId="0" applyAlignment="1" applyBorder="1" applyFill="1" applyFont="1">
      <alignment horizontal="center" readingOrder="0" vertical="center"/>
    </xf>
    <xf borderId="15" fillId="11" fontId="3" numFmtId="0" xfId="0" applyAlignment="1" applyBorder="1" applyFill="1" applyFont="1">
      <alignment horizontal="center" readingOrder="0"/>
    </xf>
    <xf borderId="21" fillId="11" fontId="3" numFmtId="0" xfId="0" applyAlignment="1" applyBorder="1" applyFill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21" fillId="12" fontId="6" numFmtId="0" xfId="0" applyAlignment="1" applyBorder="1" applyFill="1" applyFont="1">
      <alignment horizontal="center"/>
    </xf>
    <xf borderId="25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27" fillId="12" fontId="6" numFmtId="0" xfId="0" applyAlignment="1" applyBorder="1" applyFill="1" applyFont="1">
      <alignment horizontal="center"/>
    </xf>
    <xf borderId="14" fillId="11" fontId="3" numFmtId="0" xfId="0" applyAlignment="1" applyBorder="1" applyFill="1" applyFont="1">
      <alignment horizontal="center" readingOrder="0"/>
    </xf>
    <xf borderId="3" fillId="11" fontId="3" numFmtId="0" xfId="0" applyAlignment="1" applyBorder="1" applyFill="1" applyFont="1">
      <alignment horizontal="center" readingOrder="0"/>
    </xf>
    <xf borderId="3" fillId="12" fontId="6" numFmtId="0" xfId="0" applyAlignment="1" applyBorder="1" applyFill="1" applyFont="1">
      <alignment horizontal="center"/>
    </xf>
    <xf borderId="28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0" fillId="2" fontId="2" numFmtId="9" xfId="0" applyAlignment="1" applyFill="1" applyFont="1" applyNumberFormat="1">
      <alignment horizontal="center" readingOrder="0" vertical="center"/>
    </xf>
    <xf borderId="29" fillId="11" fontId="3" numFmtId="0" xfId="0" applyAlignment="1" applyBorder="1" applyFill="1" applyFont="1">
      <alignment horizontal="center" readingOrder="0"/>
    </xf>
    <xf borderId="30" fillId="11" fontId="3" numFmtId="0" xfId="0" applyAlignment="1" applyBorder="1" applyFill="1" applyFont="1">
      <alignment horizontal="center" readingOrder="0"/>
    </xf>
    <xf borderId="29" fillId="0" fontId="1" numFmtId="0" xfId="0" applyAlignment="1" applyBorder="1" applyFont="1">
      <alignment horizontal="center" readingOrder="0"/>
    </xf>
    <xf borderId="30" fillId="12" fontId="6" numFmtId="0" xfId="0" applyAlignment="1" applyBorder="1" applyFill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0" fontId="1" numFmtId="0" xfId="0" applyAlignment="1" applyBorder="1" applyFont="1">
      <alignment horizontal="center" readingOrder="0"/>
    </xf>
    <xf borderId="33" fillId="12" fontId="6" numFmtId="0" xfId="0" applyAlignment="1" applyBorder="1" applyFill="1" applyFont="1">
      <alignment horizontal="center"/>
    </xf>
    <xf borderId="0" fillId="2" fontId="5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 shrinkToFit="0" wrapText="1"/>
    </xf>
    <xf borderId="0" fillId="14" fontId="8" numFmtId="0" xfId="0" applyAlignment="1" applyFill="1" applyFont="1">
      <alignment horizontal="center" readingOrder="0"/>
    </xf>
    <xf borderId="20" fillId="2" fontId="2" numFmtId="0" xfId="0" applyAlignment="1" applyBorder="1" applyFill="1" applyFont="1">
      <alignment horizontal="center" readingOrder="0" shrinkToFit="0" vertical="center" wrapText="1"/>
    </xf>
    <xf borderId="21" fillId="15" fontId="2" numFmtId="0" xfId="0" applyAlignment="1" applyBorder="1" applyFill="1" applyFont="1">
      <alignment horizontal="center" readingOrder="0" shrinkToFit="0" wrapText="1"/>
    </xf>
    <xf borderId="21" fillId="16" fontId="2" numFmtId="0" xfId="0" applyAlignment="1" applyBorder="1" applyFill="1" applyFont="1">
      <alignment horizontal="center" readingOrder="0" shrinkToFit="0" wrapText="1"/>
    </xf>
    <xf borderId="21" fillId="17" fontId="2" numFmtId="0" xfId="0" applyAlignment="1" applyBorder="1" applyFill="1" applyFont="1">
      <alignment horizontal="center" readingOrder="0" shrinkToFit="0" wrapText="1"/>
    </xf>
    <xf borderId="1" fillId="13" fontId="8" numFmtId="0" xfId="0" applyAlignment="1" applyBorder="1" applyFill="1" applyFont="1">
      <alignment horizontal="center" readingOrder="0" vertical="center"/>
    </xf>
    <xf borderId="20" fillId="13" fontId="8" numFmtId="0" xfId="0" applyAlignment="1" applyBorder="1" applyFill="1" applyFont="1">
      <alignment horizontal="center" readingOrder="0" vertical="center"/>
    </xf>
    <xf borderId="2" fillId="14" fontId="8" numFmtId="0" xfId="0" applyAlignment="1" applyBorder="1" applyFill="1" applyFont="1">
      <alignment horizontal="center" readingOrder="0" vertical="center"/>
    </xf>
    <xf borderId="1" fillId="14" fontId="8" numFmtId="0" xfId="0" applyAlignment="1" applyBorder="1" applyFill="1" applyFont="1">
      <alignment horizontal="center" readingOrder="0" vertical="center"/>
    </xf>
    <xf borderId="20" fillId="14" fontId="8" numFmtId="0" xfId="0" applyAlignment="1" applyBorder="1" applyFill="1" applyFont="1">
      <alignment horizontal="center" readingOrder="0" vertical="center"/>
    </xf>
    <xf borderId="20" fillId="15" fontId="2" numFmtId="0" xfId="0" applyAlignment="1" applyBorder="1" applyFill="1" applyFont="1">
      <alignment horizontal="center" readingOrder="0" vertical="center"/>
    </xf>
    <xf borderId="20" fillId="16" fontId="2" numFmtId="0" xfId="0" applyAlignment="1" applyBorder="1" applyFill="1" applyFont="1">
      <alignment horizontal="center" readingOrder="0"/>
    </xf>
    <xf borderId="20" fillId="17" fontId="2" numFmtId="0" xfId="0" applyAlignment="1" applyBorder="1" applyFill="1" applyFont="1">
      <alignment horizontal="center" readingOrder="0"/>
    </xf>
    <xf borderId="14" fillId="11" fontId="1" numFmtId="0" xfId="0" applyAlignment="1" applyBorder="1" applyFill="1" applyFont="1">
      <alignment horizontal="center" readingOrder="0"/>
    </xf>
    <xf borderId="14" fillId="11" fontId="1" numFmtId="9" xfId="0" applyAlignment="1" applyBorder="1" applyFill="1" applyFont="1" applyNumberFormat="1">
      <alignment horizontal="center"/>
    </xf>
    <xf borderId="34" fillId="0" fontId="1" numFmtId="0" xfId="0" applyAlignment="1" applyBorder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34" fillId="13" fontId="1" numFmtId="0" xfId="0" applyAlignment="1" applyBorder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34" fillId="14" fontId="1" numFmtId="0" xfId="0" applyAlignment="1" applyBorder="1" applyFill="1" applyFont="1">
      <alignment horizontal="center" readingOrder="0"/>
    </xf>
    <xf borderId="14" fillId="15" fontId="1" numFmtId="0" xfId="0" applyAlignment="1" applyBorder="1" applyFill="1" applyFont="1">
      <alignment horizontal="center" readingOrder="0"/>
    </xf>
    <xf borderId="15" fillId="15" fontId="1" numFmtId="0" xfId="0" applyAlignment="1" applyBorder="1" applyFill="1" applyFont="1">
      <alignment horizontal="center" readingOrder="0"/>
    </xf>
    <xf borderId="6" fillId="16" fontId="1" numFmtId="0" xfId="0" applyAlignment="1" applyBorder="1" applyFill="1" applyFont="1">
      <alignment horizontal="center" readingOrder="0"/>
    </xf>
    <xf borderId="6" fillId="16" fontId="1" numFmtId="0" xfId="0" applyAlignment="1" applyBorder="1" applyFill="1" applyFont="1">
      <alignment horizontal="center"/>
    </xf>
    <xf borderId="6" fillId="17" fontId="1" numFmtId="0" xfId="0" applyAlignment="1" applyBorder="1" applyFill="1" applyFont="1">
      <alignment horizontal="center" readingOrder="0"/>
    </xf>
    <xf borderId="34" fillId="16" fontId="1" numFmtId="0" xfId="0" applyAlignment="1" applyBorder="1" applyFill="1" applyFont="1">
      <alignment horizontal="center"/>
    </xf>
    <xf borderId="34" fillId="17" fontId="1" numFmtId="0" xfId="0" applyAlignment="1" applyBorder="1" applyFill="1" applyFont="1">
      <alignment horizontal="center" readingOrder="0"/>
    </xf>
    <xf borderId="14" fillId="3" fontId="1" numFmtId="0" xfId="0" applyAlignment="1" applyBorder="1" applyFill="1" applyFont="1">
      <alignment horizontal="center" readingOrder="0"/>
    </xf>
    <xf borderId="14" fillId="15" fontId="1" numFmtId="0" xfId="0" applyAlignment="1" applyBorder="1" applyFill="1" applyFont="1">
      <alignment horizontal="center"/>
    </xf>
    <xf borderId="14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0" fillId="14" fontId="1" numFmtId="0" xfId="0" applyAlignment="1" applyFill="1" applyFont="1">
      <alignment horizontal="center"/>
    </xf>
    <xf borderId="34" fillId="17" fontId="1" numFmtId="0" xfId="0" applyAlignment="1" applyBorder="1" applyFill="1" applyFont="1">
      <alignment horizontal="center"/>
    </xf>
    <xf borderId="0" fillId="13" fontId="1" numFmtId="0" xfId="0" applyAlignment="1" applyFill="1" applyFont="1">
      <alignment readingOrder="0"/>
    </xf>
    <xf borderId="0" fillId="13" fontId="1" numFmtId="0" xfId="0" applyAlignment="1" applyFill="1" applyFont="1">
      <alignment horizontal="center"/>
    </xf>
    <xf borderId="34" fillId="13" fontId="1" numFmtId="0" xfId="0" applyAlignment="1" applyBorder="1" applyFill="1" applyFont="1">
      <alignment horizontal="center"/>
    </xf>
    <xf borderId="34" fillId="14" fontId="1" numFmtId="0" xfId="0" applyAlignment="1" applyBorder="1" applyFill="1" applyFont="1">
      <alignment horizontal="center"/>
    </xf>
    <xf borderId="34" fillId="16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/>
    </xf>
    <xf borderId="30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29" fillId="11" fontId="1" numFmtId="9" xfId="0" applyAlignment="1" applyBorder="1" applyFill="1" applyFont="1" applyNumberFormat="1">
      <alignment horizontal="center"/>
    </xf>
    <xf borderId="35" fillId="0" fontId="1" numFmtId="0" xfId="0" applyAlignment="1" applyBorder="1" applyFont="1">
      <alignment horizontal="center"/>
    </xf>
    <xf borderId="16" fillId="13" fontId="1" numFmtId="0" xfId="0" applyAlignment="1" applyBorder="1" applyFill="1" applyFont="1">
      <alignment horizontal="center"/>
    </xf>
    <xf borderId="35" fillId="13" fontId="1" numFmtId="0" xfId="0" applyAlignment="1" applyBorder="1" applyFill="1" applyFont="1">
      <alignment horizontal="center"/>
    </xf>
    <xf borderId="16" fillId="14" fontId="1" numFmtId="0" xfId="0" applyAlignment="1" applyBorder="1" applyFill="1" applyFont="1">
      <alignment horizontal="center" readingOrder="0"/>
    </xf>
    <xf borderId="16" fillId="14" fontId="1" numFmtId="0" xfId="0" applyAlignment="1" applyBorder="1" applyFill="1" applyFont="1">
      <alignment horizontal="center"/>
    </xf>
    <xf borderId="35" fillId="14" fontId="1" numFmtId="0" xfId="0" applyAlignment="1" applyBorder="1" applyFill="1" applyFont="1">
      <alignment horizontal="center"/>
    </xf>
    <xf borderId="29" fillId="0" fontId="1" numFmtId="0" xfId="0" applyAlignment="1" applyBorder="1" applyFont="1">
      <alignment horizontal="center"/>
    </xf>
    <xf borderId="29" fillId="15" fontId="1" numFmtId="0" xfId="0" applyAlignment="1" applyBorder="1" applyFill="1" applyFont="1">
      <alignment horizontal="center"/>
    </xf>
    <xf borderId="35" fillId="16" fontId="1" numFmtId="0" xfId="0" applyAlignment="1" applyBorder="1" applyFill="1" applyFont="1">
      <alignment horizontal="center"/>
    </xf>
    <xf borderId="35" fillId="17" fontId="1" numFmtId="0" xfId="0" applyAlignment="1" applyBorder="1" applyFill="1" applyFont="1">
      <alignment horizontal="center" readingOrder="0"/>
    </xf>
    <xf borderId="16" fillId="0" fontId="1" numFmtId="0" xfId="0" applyBorder="1" applyFont="1"/>
    <xf borderId="34" fillId="0" fontId="1" numFmtId="0" xfId="0" applyBorder="1" applyFont="1"/>
    <xf borderId="1" fillId="2" fontId="2" numFmtId="0" xfId="0" applyAlignment="1" applyBorder="1" applyFill="1" applyFont="1">
      <alignment horizontal="center" readingOrder="0"/>
    </xf>
    <xf borderId="20" fillId="2" fontId="2" numFmtId="0" xfId="0" applyAlignment="1" applyBorder="1" applyFill="1" applyFont="1">
      <alignment horizontal="center" readingOrder="0"/>
    </xf>
    <xf borderId="14" fillId="0" fontId="1" numFmtId="9" xfId="0" applyAlignment="1" applyBorder="1" applyFont="1" applyNumberFormat="1">
      <alignment horizontal="center" readingOrder="0"/>
    </xf>
    <xf borderId="29" fillId="0" fontId="1" numFmtId="9" xfId="0" applyAlignment="1" applyBorder="1" applyFont="1" applyNumberFormat="1">
      <alignment horizontal="center" readingOrder="0"/>
    </xf>
    <xf borderId="20" fillId="2" fontId="5" numFmtId="0" xfId="0" applyAlignment="1" applyBorder="1" applyFill="1" applyFont="1">
      <alignment readingOrder="0"/>
    </xf>
    <xf borderId="14" fillId="0" fontId="1" numFmtId="0" xfId="0" applyAlignment="1" applyBorder="1" applyFont="1">
      <alignment readingOrder="0"/>
    </xf>
    <xf borderId="29" fillId="0" fontId="1" numFmtId="0" xfId="0" applyAlignment="1" applyBorder="1" applyFont="1">
      <alignment readingOrder="0"/>
    </xf>
    <xf borderId="1" fillId="2" fontId="5" numFmtId="0" xfId="0" applyAlignment="1" applyBorder="1" applyFill="1" applyFont="1">
      <alignment horizontal="center" readingOrder="0"/>
    </xf>
    <xf borderId="2" fillId="2" fontId="5" numFmtId="0" xfId="0" applyAlignment="1" applyBorder="1" applyFill="1" applyFont="1">
      <alignment horizontal="center" readingOrder="0"/>
    </xf>
    <xf borderId="5" fillId="2" fontId="5" numFmtId="0" xfId="0" applyAlignment="1" applyBorder="1" applyFill="1" applyFont="1">
      <alignment horizontal="center" readingOrder="0"/>
    </xf>
    <xf borderId="35" fillId="0" fontId="1" numFmtId="0" xfId="0" applyAlignment="1" applyBorder="1" applyFont="1">
      <alignment horizontal="center" readingOrder="0"/>
    </xf>
    <xf borderId="14" fillId="18" fontId="1" numFmtId="0" xfId="0" applyAlignment="1" applyBorder="1" applyFill="1" applyFont="1">
      <alignment horizontal="center" readingOrder="0"/>
    </xf>
    <xf borderId="14" fillId="19" fontId="1" numFmtId="0" xfId="0" applyAlignment="1" applyBorder="1" applyFill="1" applyFont="1">
      <alignment horizontal="center" readingOrder="0"/>
    </xf>
    <xf borderId="14" fillId="6" fontId="2" numFmtId="0" xfId="0" applyAlignment="1" applyBorder="1" applyFill="1" applyFont="1">
      <alignment horizontal="center" readingOrder="0"/>
    </xf>
    <xf borderId="14" fillId="6" fontId="1" numFmtId="0" xfId="0" applyAlignment="1" applyBorder="1" applyFill="1" applyFont="1">
      <alignment horizontal="center" readingOrder="0"/>
    </xf>
    <xf borderId="14" fillId="6" fontId="2" numFmtId="0" xfId="0" applyAlignment="1" applyBorder="1" applyFill="1" applyFont="1">
      <alignment readingOrder="0"/>
    </xf>
    <xf borderId="20" fillId="20" fontId="1" numFmtId="0" xfId="0" applyAlignment="1" applyBorder="1" applyFill="1" applyFont="1">
      <alignment horizontal="center" readingOrder="0"/>
    </xf>
    <xf borderId="21" fillId="8" fontId="3" numFmtId="166" xfId="0" applyAlignment="1" applyBorder="1" applyFill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8" fontId="3" numFmtId="166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21" fillId="8" fontId="3" numFmtId="167" xfId="0" applyAlignment="1" applyBorder="1" applyFill="1" applyFont="1" applyNumberFormat="1">
      <alignment horizontal="center" readingOrder="0"/>
    </xf>
    <xf borderId="4" fillId="0" fontId="3" numFmtId="167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/>
    </xf>
    <xf borderId="3" fillId="0" fontId="1" numFmtId="0" xfId="0" applyAlignment="1" applyBorder="1" applyFont="1">
      <alignment horizontal="center"/>
    </xf>
    <xf borderId="14" fillId="17" fontId="1" numFmtId="0" xfId="0" applyAlignment="1" applyBorder="1" applyFill="1" applyFont="1">
      <alignment horizontal="center" readingOrder="0"/>
    </xf>
    <xf borderId="20" fillId="17" fontId="1" numFmtId="0" xfId="0" applyAlignment="1" applyBorder="1" applyFill="1" applyFont="1">
      <alignment horizontal="center" readingOrder="0"/>
    </xf>
    <xf borderId="36" fillId="5" fontId="1" numFmtId="0" xfId="0" applyAlignment="1" applyBorder="1" applyFill="1" applyFont="1">
      <alignment horizontal="center" readingOrder="0"/>
    </xf>
    <xf borderId="37" fillId="5" fontId="1" numFmtId="0" xfId="0" applyAlignment="1" applyBorder="1" applyFill="1" applyFont="1">
      <alignment horizontal="center" readingOrder="0"/>
    </xf>
    <xf borderId="37" fillId="0" fontId="1" numFmtId="0" xfId="0" applyAlignment="1" applyBorder="1" applyFont="1">
      <alignment horizontal="center"/>
    </xf>
    <xf borderId="37" fillId="0" fontId="1" numFmtId="9" xfId="0" applyAlignment="1" applyBorder="1" applyFont="1" applyNumberFormat="1">
      <alignment horizontal="center"/>
    </xf>
    <xf borderId="38" fillId="0" fontId="1" numFmtId="2" xfId="0" applyAlignment="1" applyBorder="1" applyFont="1" applyNumberFormat="1">
      <alignment horizontal="center"/>
    </xf>
    <xf borderId="29" fillId="10" fontId="1" numFmtId="0" xfId="0" applyAlignment="1" applyBorder="1" applyFill="1" applyFont="1">
      <alignment horizontal="center" readingOrder="0"/>
    </xf>
    <xf borderId="16" fillId="8" fontId="1" numFmtId="0" xfId="0" applyAlignment="1" applyBorder="1" applyFill="1" applyFont="1">
      <alignment horizontal="center" readingOrder="0"/>
    </xf>
    <xf borderId="29" fillId="8" fontId="1" numFmtId="0" xfId="0" applyAlignment="1" applyBorder="1" applyFill="1" applyFont="1">
      <alignment horizontal="center" readingOrder="0"/>
    </xf>
    <xf borderId="30" fillId="5" fontId="1" numFmtId="0" xfId="0" applyAlignment="1" applyBorder="1" applyFill="1" applyFont="1">
      <alignment horizontal="center" readingOrder="0"/>
    </xf>
    <xf borderId="16" fillId="5" fontId="1" numFmtId="0" xfId="0" applyAlignment="1" applyBorder="1" applyFill="1" applyFont="1">
      <alignment horizontal="center" readingOrder="0"/>
    </xf>
    <xf borderId="16" fillId="0" fontId="1" numFmtId="9" xfId="0" applyAlignment="1" applyBorder="1" applyFont="1" applyNumberFormat="1">
      <alignment horizontal="center"/>
    </xf>
    <xf borderId="0" fillId="11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2" xfId="0" applyFont="1" applyNumberFormat="1"/>
    <xf borderId="0" fillId="19" fontId="1" numFmtId="0" xfId="0" applyAlignment="1" applyFill="1" applyFont="1">
      <alignment horizontal="center" readingOrder="0"/>
    </xf>
    <xf borderId="16" fillId="0" fontId="1" numFmtId="4" xfId="0" applyAlignment="1" applyBorder="1" applyFont="1" applyNumberFormat="1">
      <alignment horizontal="center"/>
    </xf>
    <xf borderId="30" fillId="0" fontId="1" numFmtId="0" xfId="0" applyAlignment="1" applyBorder="1" applyFont="1">
      <alignment horizontal="center"/>
    </xf>
    <xf borderId="21" fillId="8" fontId="3" numFmtId="0" xfId="0" applyAlignment="1" applyBorder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21" fillId="0" fontId="3" numFmtId="0" xfId="0" applyAlignment="1" applyBorder="1" applyFont="1">
      <alignment horizontal="center" readingOrder="0"/>
    </xf>
    <xf borderId="21" fillId="0" fontId="3" numFmtId="165" xfId="0" applyAlignment="1" applyBorder="1" applyFont="1" applyNumberFormat="1">
      <alignment horizontal="center" readingOrder="0"/>
    </xf>
    <xf borderId="1" fillId="8" fontId="9" numFmtId="168" xfId="0" applyAlignment="1" applyBorder="1" applyFill="1" applyFont="1" applyNumberFormat="1">
      <alignment horizontal="center" vertical="bottom"/>
    </xf>
    <xf borderId="2" fillId="0" fontId="1" numFmtId="0" xfId="0" applyBorder="1" applyFont="1"/>
    <xf borderId="16" fillId="0" fontId="9" numFmtId="167" xfId="0" applyAlignment="1" applyBorder="1" applyFont="1" applyNumberFormat="1">
      <alignment horizontal="center" vertical="bottom"/>
    </xf>
    <xf borderId="16" fillId="8" fontId="9" numFmtId="167" xfId="0" applyAlignment="1" applyBorder="1" applyFill="1" applyFont="1" applyNumberFormat="1">
      <alignment horizontal="center" vertical="bottom"/>
    </xf>
    <xf borderId="16" fillId="0" fontId="9" numFmtId="167" xfId="0" applyAlignment="1" applyBorder="1" applyFont="1" applyNumberFormat="1">
      <alignment horizontal="center" readingOrder="0" vertical="bottom"/>
    </xf>
    <xf borderId="21" fillId="8" fontId="3" numFmtId="168" xfId="0" applyAlignment="1" applyBorder="1" applyFill="1" applyFont="1" applyNumberFormat="1">
      <alignment horizontal="center" readingOrder="0"/>
    </xf>
    <xf borderId="0" fillId="8" fontId="3" numFmtId="167" xfId="0" applyAlignment="1" applyFill="1" applyFont="1" applyNumberFormat="1">
      <alignment horizontal="center" readingOrder="0"/>
    </xf>
    <xf borderId="0" fillId="5" fontId="10" numFmtId="2" xfId="0" applyFill="1" applyFont="1" applyNumberFormat="1"/>
    <xf borderId="0" fillId="5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21" fillId="5" fontId="1" numFmtId="0" xfId="0" applyAlignment="1" applyBorder="1" applyFill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readingOrder="0"/>
    </xf>
    <xf borderId="34" fillId="0" fontId="1" numFmtId="0" xfId="0" applyAlignment="1" applyBorder="1" applyFont="1">
      <alignment readingOrder="0"/>
    </xf>
    <xf borderId="3" fillId="9" fontId="1" numFmtId="0" xfId="0" applyAlignment="1" applyBorder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39" fillId="2" fontId="2" numFmtId="0" xfId="0" applyAlignment="1" applyBorder="1" applyFill="1" applyFont="1">
      <alignment horizontal="center" readingOrder="0" vertical="center"/>
    </xf>
    <xf borderId="40" fillId="2" fontId="2" numFmtId="0" xfId="0" applyAlignment="1" applyBorder="1" applyFill="1" applyFont="1">
      <alignment horizontal="center" readingOrder="0" vertical="center"/>
    </xf>
    <xf borderId="41" fillId="0" fontId="11" numFmtId="0" xfId="0" applyBorder="1" applyFont="1"/>
  </cellXfs>
  <cellStyles count="1">
    <cellStyle xfId="0" name="Normal" builtinId="0"/>
  </cellStyles>
  <dxfs count="6"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e2e63ea0-1cb7-4b79-8171-cc562a7ca471}">
    <Anchor>
      <Comment id="{5a0dd01d-ee28-4e76-b81e-d4ea558411c4}"/>
    </Anchor>
    <History>
      <Event time="2024-01-29T00:30:49.00" id="{a1e0986b-4b0b-4385-b475-9e40b8899a8f}">
        <Attribution userId="placeholder@email.com" userName="Mario S Strasburger" userProvider="google-sheets"/>
        <Anchor>
          <Comment id="{5a0dd01d-ee28-4e76-b81e-d4ea558411c4}"/>
        </Anchor>
        <Create/>
      </Event>
      <Event time="2024-01-29T00:30:49.00" id="{03cb9387-882a-44a0-8778-4229cb96322a}">
        <Attribution userId="placeholder@email.com" userName="Mario S Strasburger" userProvider="google-sheets"/>
        <Anchor>
          <Comment id="{5a0dd01d-ee28-4e76-b81e-d4ea558411c4}"/>
        </Anchor>
        <Assign userId="i.patricio.hernandez@gmail.com" userName="i.patricio.hernandez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28575</xdr:rowOff>
    </xdr:from>
    <xdr:ext cx="1266825" cy="419100"/>
    <xdr:sp>
      <xdr:nvSpPr>
        <xdr:cNvPr id="3" name="Shape 3"/>
        <xdr:cNvSpPr/>
      </xdr:nvSpPr>
      <xdr:spPr>
        <a:xfrm>
          <a:off x="1830325" y="666650"/>
          <a:ext cx="1624800" cy="525000"/>
        </a:xfrm>
        <a:prstGeom prst="roundRect">
          <a:avLst>
            <a:gd fmla="val 16667" name="adj"/>
          </a:avLst>
        </a:prstGeom>
        <a:solidFill>
          <a:srgbClr val="1155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Agrega Partido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45</xdr:row>
      <xdr:rowOff>190500</xdr:rowOff>
    </xdr:from>
    <xdr:ext cx="1152525" cy="381000"/>
    <xdr:sp>
      <xdr:nvSpPr>
        <xdr:cNvPr id="4" name="Shape 4"/>
        <xdr:cNvSpPr/>
      </xdr:nvSpPr>
      <xdr:spPr>
        <a:xfrm>
          <a:off x="1830325" y="666650"/>
          <a:ext cx="1624800" cy="525000"/>
        </a:xfrm>
        <a:prstGeom prst="roundRect">
          <a:avLst>
            <a:gd fmla="val 16667" name="adj"/>
          </a:avLst>
        </a:prstGeom>
        <a:solidFill>
          <a:srgbClr val="1155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Agrega Partido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41</xdr:row>
      <xdr:rowOff>95250</xdr:rowOff>
    </xdr:from>
    <xdr:ext cx="1152525" cy="381000"/>
    <xdr:sp>
      <xdr:nvSpPr>
        <xdr:cNvPr id="4" name="Shape 4"/>
        <xdr:cNvSpPr/>
      </xdr:nvSpPr>
      <xdr:spPr>
        <a:xfrm>
          <a:off x="1830325" y="666650"/>
          <a:ext cx="1624800" cy="525000"/>
        </a:xfrm>
        <a:prstGeom prst="roundRect">
          <a:avLst>
            <a:gd fmla="val 16667" name="adj"/>
          </a:avLst>
        </a:prstGeom>
        <a:solidFill>
          <a:srgbClr val="1155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Agrega Partido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942975</xdr:colOff>
      <xdr:row>1</xdr:row>
      <xdr:rowOff>171450</xdr:rowOff>
    </xdr:from>
    <xdr:ext cx="695325" cy="1038225"/>
    <xdr:grpSp>
      <xdr:nvGrpSpPr>
        <xdr:cNvPr id="2" name="Shape 2" title="Drawing"/>
        <xdr:cNvGrpSpPr/>
      </xdr:nvGrpSpPr>
      <xdr:grpSpPr>
        <a:xfrm>
          <a:off x="0" y="94975"/>
          <a:ext cx="687000" cy="1021450"/>
          <a:chOff x="0" y="94975"/>
          <a:chExt cx="687000" cy="1021450"/>
        </a:xfrm>
      </xdr:grpSpPr>
      <xdr:sp>
        <xdr:nvSpPr>
          <xdr:cNvPr id="5" name="Shape 5"/>
          <xdr:cNvSpPr/>
        </xdr:nvSpPr>
        <xdr:spPr>
          <a:xfrm>
            <a:off x="0" y="94975"/>
            <a:ext cx="686875" cy="621250"/>
          </a:xfrm>
          <a:prstGeom prst="flowChartExtract">
            <a:avLst/>
          </a:prstGeom>
          <a:solidFill>
            <a:srgbClr val="6AA84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0" y="716225"/>
            <a:ext cx="687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Ganó</a:t>
            </a:r>
            <a:endParaRPr sz="1400"/>
          </a:p>
        </xdr:txBody>
      </xdr:sp>
    </xdr:grpSp>
    <xdr:clientData fLocksWithSheet="0"/>
  </xdr:oneCellAnchor>
  <xdr:oneCellAnchor>
    <xdr:from>
      <xdr:col>10</xdr:col>
      <xdr:colOff>942975</xdr:colOff>
      <xdr:row>7</xdr:row>
      <xdr:rowOff>180975</xdr:rowOff>
    </xdr:from>
    <xdr:ext cx="733425" cy="1162050"/>
    <xdr:grpSp>
      <xdr:nvGrpSpPr>
        <xdr:cNvPr id="2" name="Shape 2" title="Drawing"/>
        <xdr:cNvGrpSpPr/>
      </xdr:nvGrpSpPr>
      <xdr:grpSpPr>
        <a:xfrm>
          <a:off x="-2325" y="0"/>
          <a:ext cx="728025" cy="1155250"/>
          <a:chOff x="-2325" y="0"/>
          <a:chExt cx="728025" cy="1155250"/>
        </a:xfrm>
      </xdr:grpSpPr>
      <xdr:sp>
        <xdr:nvSpPr>
          <xdr:cNvPr id="7" name="Shape 7"/>
          <xdr:cNvSpPr/>
        </xdr:nvSpPr>
        <xdr:spPr>
          <a:xfrm>
            <a:off x="0" y="0"/>
            <a:ext cx="725700" cy="630950"/>
          </a:xfrm>
          <a:prstGeom prst="flowChartMerge">
            <a:avLst/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-2325" y="755050"/>
            <a:ext cx="725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Perdió</a:t>
            </a:r>
            <a:endParaRPr sz="1400"/>
          </a:p>
        </xdr:txBody>
      </xdr: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o S Strasburger" id="{95d7b006-f76a-487e-9eeb-55922904a8c5}" providerId="google-sheets"/>
  <x18tc:person displayName="i.patricio.hernandez@gmail.com" id="{5d899c9d-8a34-4012-ac70-d3ce773f63e5}" userId="i.patricio.hernandez@gmail.com" providerId="google-sheets"/>
  <x18tc:person displayName="Ivan Patricio Hernandez" id="{534d7bad-fe2c-4bbf-88e2-60d9b923d255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12" dT="2026-01-27T17:53:33.00" personId="{534d7bad-fe2c-4bbf-88e2-60d9b923d255}" id="{16958381-79a1-482a-be03-56ff18c3e91f}" done="0">
    <x18tc:text xml:space="preserve">Llego tarde, supension por reincidencia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E12" dT="2025-11-20T02:48:34.00" personId="{534d7bad-fe2c-4bbf-88e2-60d9b923d255}" id="{910c16dd-4c6c-4b15-931f-24c188081a46}" done="0">
    <x18tc:text xml:space="preserve">No pago</x18tc:text>
  </x18tc:threadedComment>
  <x18tc:threadedComment ref="GU12" dT="2025-11-18T17:20:29.00" personId="{534d7bad-fe2c-4bbf-88e2-60d9b923d255}" id="{a2f658aa-7ea7-4bc8-b54d-d860404231db}" done="0">
    <x18tc:text xml:space="preserve">Tarjeta roja por llegar tarde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N28" dT="2024-01-31T17:21:01.00" personId="{534d7bad-fe2c-4bbf-88e2-60d9b923d255}" id="{e7f28e58-4624-4cee-a080-4fdbd3741f6b}" done="1">
    <x18tc:text xml:space="preserve">Cupo expat</x18tc:text>
  </x18tc:threadedComment>
  <x18tc:threadedComment ref="AF10" dT="2024-01-29T00:30:49.00" personId="{95d7b006-f76a-487e-9eeb-55922904a8c5}" id="{5a0dd01d-ee28-4e76-b81e-d4ea558411c4}" done="1">
    <x18tc:text xml:space="preserve">@i.patricio.hernandez@gmail.com
0 pts debido a 15min llegada tardia al coloso.
Assigned to i.patricio.hernandez@gmail.com</x18tc:text>
    <x18tc:mentions>
      <x18tc:mention mentionpersonId="{5d899c9d-8a34-4012-ac70-d3ce773f63e5}" mentionId="{a87bf93c-5072-41af-9a8f-67d4ae2dfd91}" startIndex="0" length="31"/>
    </x18tc:mentions>
  </x18tc:threadedComment>
  <x18tc:threadedComment ref="AF10" dT="2024-01-29T00:34:00.00" personId="{95d7b006-f76a-487e-9eeb-55922904a8c5}" id="{20dd7c31-3bed-4910-94d2-8c03f044e5e2}" parentId="{5a0dd01d-ee28-4e76-b81e-d4ea558411c4}">
    <x18tc:text xml:space="preserve">Muchas reinicidencias de este tipo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2.63" defaultRowHeight="15.75"/>
  <cols>
    <col customWidth="1" min="1" max="1" width="10.38"/>
    <col customWidth="1" min="2" max="2" width="13.13"/>
    <col customWidth="1" min="3" max="3" width="7.25"/>
    <col customWidth="1" min="4" max="4" width="13.0"/>
    <col customWidth="1" min="5" max="5" width="11.5"/>
    <col customWidth="1" hidden="1" min="6" max="6" width="9.38"/>
    <col customWidth="1" hidden="1" min="7" max="7" width="3.63"/>
    <col customWidth="1" hidden="1" min="8" max="8" width="7.25"/>
    <col customWidth="1" hidden="1" min="9" max="9" width="7.75"/>
    <col customWidth="1" hidden="1" min="10" max="10" width="6.63"/>
    <col customWidth="1" hidden="1" min="11" max="11" width="6.88"/>
    <col customWidth="1" hidden="1" min="12" max="12" width="5.13"/>
    <col customWidth="1" hidden="1" min="13" max="13" width="9.38"/>
    <col customWidth="1" hidden="1" min="14" max="16" width="5.0"/>
    <col customWidth="1" hidden="1" min="17" max="17" width="3.63"/>
    <col customWidth="1" hidden="1" min="18" max="18" width="6.63"/>
    <col customWidth="1" hidden="1" min="19" max="20" width="5.0"/>
    <col customWidth="1" hidden="1" min="21" max="21" width="3.63"/>
    <col customWidth="1" hidden="1" min="22" max="22" width="7.63"/>
    <col customWidth="1" hidden="1" min="23" max="23" width="5.0"/>
    <col customWidth="1" hidden="1" min="24" max="24" width="6.0"/>
    <col customWidth="1" hidden="1" min="25" max="25" width="3.63"/>
    <col customWidth="1" hidden="1" min="26" max="26" width="5.13"/>
    <col customWidth="1" hidden="1" min="27" max="27" width="9.38"/>
    <col customWidth="1" hidden="1" min="28" max="28" width="7.25"/>
    <col customWidth="1" hidden="1" min="29" max="30" width="5.0"/>
    <col customWidth="1" hidden="1" min="31" max="31" width="3.63"/>
    <col customWidth="1" hidden="1" min="32" max="32" width="5.13"/>
    <col customWidth="1" hidden="1" min="33" max="33" width="9.38"/>
    <col customWidth="1" hidden="1" min="34" max="34" width="6.75"/>
    <col customWidth="1" hidden="1" min="35" max="36" width="5.0"/>
    <col customWidth="1" hidden="1" min="37" max="37" width="3.63"/>
    <col customWidth="1" hidden="1" min="38" max="38" width="5.13"/>
    <col customWidth="1" hidden="1" min="39" max="39" width="8.0"/>
    <col customWidth="1" hidden="1" min="40" max="40" width="5.25"/>
    <col customWidth="1" hidden="1" min="41" max="41" width="5.63"/>
    <col customWidth="1" hidden="1" min="42" max="42" width="5.88"/>
    <col customWidth="1" hidden="1" min="43" max="43" width="6.13"/>
    <col customWidth="1" hidden="1" min="44" max="44" width="5.13"/>
    <col customWidth="1" hidden="1" min="45" max="45" width="7.63"/>
    <col customWidth="1" hidden="1" min="46" max="47" width="4.75"/>
    <col customWidth="1" hidden="1" min="48" max="48" width="5.63"/>
    <col customWidth="1" hidden="1" min="49" max="50" width="6.13"/>
    <col customWidth="1" hidden="1" min="51" max="51" width="7.63"/>
    <col customWidth="1" hidden="1" min="52" max="52" width="5.38"/>
    <col customWidth="1" hidden="1" min="53" max="53" width="4.38"/>
    <col customWidth="1" hidden="1" min="54" max="54" width="5.25"/>
    <col customWidth="1" hidden="1" min="55" max="55" width="6.13"/>
    <col customWidth="1" hidden="1" min="56" max="56" width="6.63"/>
    <col customWidth="1" hidden="1" min="57" max="57" width="6.88"/>
    <col customWidth="1" hidden="1" min="58" max="58" width="5.13"/>
    <col customWidth="1" hidden="1" min="59" max="59" width="4.88"/>
    <col customWidth="1" hidden="1" min="60" max="60" width="4.75"/>
    <col customWidth="1" hidden="1" min="61" max="61" width="3.63"/>
    <col customWidth="1" hidden="1" min="62" max="123" width="6.88"/>
    <col customWidth="1" min="124" max="249" width="6.88"/>
  </cols>
  <sheetData>
    <row r="1">
      <c r="A1" s="6"/>
      <c r="B1" s="6"/>
      <c r="C1" s="6"/>
      <c r="D1" s="9" t="s">
        <v>14</v>
      </c>
      <c r="E1" s="11"/>
      <c r="F1" s="6"/>
      <c r="G1" s="6"/>
      <c r="H1" s="13"/>
      <c r="I1" s="13"/>
      <c r="J1" s="13"/>
      <c r="K1" s="13"/>
      <c r="L1" s="13"/>
      <c r="M1" s="13"/>
      <c r="N1" s="6"/>
      <c r="O1" s="6"/>
      <c r="P1" s="6"/>
      <c r="Q1" s="6"/>
      <c r="R1" s="6"/>
      <c r="S1" s="6"/>
      <c r="T1" s="6"/>
      <c r="U1" s="6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</row>
    <row r="2">
      <c r="A2" s="6"/>
      <c r="B2" s="6"/>
      <c r="C2" s="6"/>
      <c r="D2" s="22" t="s">
        <v>38</v>
      </c>
      <c r="F2" s="6"/>
      <c r="G2" s="6"/>
      <c r="H2" s="13"/>
      <c r="I2" s="13"/>
      <c r="J2" s="13"/>
      <c r="K2" s="13"/>
      <c r="L2" s="13"/>
      <c r="M2" s="13"/>
      <c r="N2" s="6"/>
      <c r="O2" s="6"/>
      <c r="P2" s="6"/>
      <c r="Q2" s="6"/>
      <c r="R2" s="6"/>
      <c r="S2" s="6"/>
      <c r="T2" s="6"/>
      <c r="U2" s="6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</row>
    <row r="3">
      <c r="A3" s="6"/>
      <c r="B3" s="6"/>
      <c r="C3" s="6"/>
      <c r="D3" s="24" t="s">
        <v>44</v>
      </c>
      <c r="E3" s="11"/>
      <c r="F3" s="6"/>
      <c r="G3" s="6"/>
      <c r="H3" s="13"/>
      <c r="I3" s="13"/>
      <c r="J3" s="13"/>
      <c r="K3" s="13"/>
      <c r="L3" s="13"/>
      <c r="M3" s="13"/>
      <c r="N3" s="6"/>
      <c r="O3" s="6"/>
      <c r="P3" s="6"/>
      <c r="Q3" s="6"/>
      <c r="R3" s="6"/>
      <c r="S3" s="6"/>
      <c r="T3" s="6"/>
      <c r="U3" s="6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</row>
    <row r="4">
      <c r="A4" s="25"/>
      <c r="B4" s="26"/>
      <c r="C4" s="27"/>
      <c r="D4" s="27"/>
      <c r="E4" s="28"/>
      <c r="F4" s="10">
        <v>46002.0</v>
      </c>
      <c r="G4" s="12"/>
      <c r="H4" s="14">
        <f>F$4+7</f>
        <v>46009</v>
      </c>
      <c r="I4" s="16"/>
      <c r="J4" s="16"/>
      <c r="K4" s="16"/>
      <c r="L4" s="16"/>
      <c r="M4" s="12"/>
      <c r="N4" s="29">
        <f>H$4+7</f>
        <v>46016</v>
      </c>
      <c r="O4" s="16"/>
      <c r="P4" s="16"/>
      <c r="Q4" s="12"/>
      <c r="R4" s="29">
        <f>N$4+7</f>
        <v>46023</v>
      </c>
      <c r="S4" s="16"/>
      <c r="T4" s="16"/>
      <c r="U4" s="12"/>
      <c r="V4" s="14">
        <f>R$4+7</f>
        <v>46030</v>
      </c>
      <c r="W4" s="16"/>
      <c r="X4" s="16"/>
      <c r="Y4" s="16"/>
      <c r="Z4" s="16"/>
      <c r="AA4" s="12"/>
      <c r="AB4" s="14">
        <f>V$4+7</f>
        <v>46037</v>
      </c>
      <c r="AC4" s="16"/>
      <c r="AD4" s="16"/>
      <c r="AE4" s="16"/>
      <c r="AF4" s="16"/>
      <c r="AG4" s="12"/>
      <c r="AH4" s="14">
        <f>AB$4+7</f>
        <v>46044</v>
      </c>
      <c r="AI4" s="16"/>
      <c r="AJ4" s="16"/>
      <c r="AK4" s="16"/>
      <c r="AL4" s="16"/>
      <c r="AM4" s="12"/>
      <c r="AN4" s="14">
        <f>AH$4+7</f>
        <v>46051</v>
      </c>
      <c r="AO4" s="16"/>
      <c r="AP4" s="16"/>
      <c r="AQ4" s="16"/>
      <c r="AR4" s="16"/>
      <c r="AS4" s="12"/>
      <c r="AT4" s="14">
        <f>AN$4+7</f>
        <v>46058</v>
      </c>
      <c r="AU4" s="16"/>
      <c r="AV4" s="16"/>
      <c r="AW4" s="16"/>
      <c r="AX4" s="16"/>
      <c r="AY4" s="12"/>
      <c r="AZ4" s="14">
        <f>AT$4+7</f>
        <v>46065</v>
      </c>
      <c r="BA4" s="16"/>
      <c r="BB4" s="16"/>
      <c r="BC4" s="16"/>
      <c r="BD4" s="16"/>
      <c r="BE4" s="12"/>
      <c r="BF4" s="14">
        <f>AZ$4+7</f>
        <v>46072</v>
      </c>
      <c r="BG4" s="16"/>
      <c r="BH4" s="16"/>
      <c r="BI4" s="16"/>
      <c r="BJ4" s="16"/>
      <c r="BK4" s="12"/>
      <c r="BL4" s="14">
        <f>BF$4+7</f>
        <v>46079</v>
      </c>
      <c r="BM4" s="16"/>
      <c r="BN4" s="16"/>
      <c r="BO4" s="16"/>
      <c r="BP4" s="16"/>
      <c r="BQ4" s="12"/>
      <c r="BR4" s="14">
        <f>BL$4+7</f>
        <v>46086</v>
      </c>
      <c r="BS4" s="16"/>
      <c r="BT4" s="16"/>
      <c r="BU4" s="16"/>
      <c r="BV4" s="16"/>
      <c r="BW4" s="12"/>
      <c r="BX4" s="14">
        <f>BR$4+7</f>
        <v>46093</v>
      </c>
      <c r="BY4" s="16"/>
      <c r="BZ4" s="16"/>
      <c r="CA4" s="16"/>
      <c r="CB4" s="16"/>
      <c r="CC4" s="12"/>
      <c r="CD4" s="14">
        <f>BX$4+7</f>
        <v>46100</v>
      </c>
      <c r="CE4" s="16"/>
      <c r="CF4" s="16"/>
      <c r="CG4" s="16"/>
      <c r="CH4" s="16"/>
      <c r="CI4" s="12"/>
      <c r="CJ4" s="14">
        <f>CD$4+7</f>
        <v>46107</v>
      </c>
      <c r="CK4" s="16"/>
      <c r="CL4" s="16"/>
      <c r="CM4" s="16"/>
      <c r="CN4" s="16"/>
      <c r="CO4" s="12"/>
      <c r="CP4" s="14">
        <f>CJ$4+7</f>
        <v>46114</v>
      </c>
      <c r="CQ4" s="16"/>
      <c r="CR4" s="16"/>
      <c r="CS4" s="16"/>
      <c r="CT4" s="16"/>
      <c r="CU4" s="12"/>
      <c r="CV4" s="14">
        <f>CP$4+7</f>
        <v>46121</v>
      </c>
      <c r="CW4" s="16"/>
      <c r="CX4" s="16"/>
      <c r="CY4" s="16"/>
      <c r="CZ4" s="16"/>
      <c r="DA4" s="12"/>
      <c r="DB4" s="14">
        <f>CV$4+7</f>
        <v>46128</v>
      </c>
      <c r="DC4" s="16"/>
      <c r="DD4" s="16"/>
      <c r="DE4" s="16"/>
      <c r="DF4" s="16"/>
      <c r="DG4" s="12"/>
      <c r="DH4" s="14">
        <f>DB$4+7</f>
        <v>46135</v>
      </c>
      <c r="DI4" s="16"/>
      <c r="DJ4" s="16"/>
      <c r="DK4" s="16"/>
      <c r="DL4" s="16"/>
      <c r="DM4" s="12"/>
      <c r="DN4" s="14">
        <f>DH$4+7</f>
        <v>46142</v>
      </c>
      <c r="DO4" s="16"/>
      <c r="DP4" s="16"/>
      <c r="DQ4" s="16"/>
      <c r="DR4" s="16"/>
      <c r="DS4" s="12"/>
      <c r="DT4" s="14">
        <f>DN$4+7</f>
        <v>46149</v>
      </c>
      <c r="DU4" s="16"/>
      <c r="DV4" s="16"/>
      <c r="DW4" s="16"/>
      <c r="DX4" s="16"/>
      <c r="DY4" s="12"/>
      <c r="DZ4" s="14">
        <f>DT$4+7</f>
        <v>46156</v>
      </c>
      <c r="EA4" s="16"/>
      <c r="EB4" s="16"/>
      <c r="EC4" s="16"/>
      <c r="ED4" s="16"/>
      <c r="EE4" s="12"/>
      <c r="EF4" s="14">
        <f>DZ$4+7</f>
        <v>46163</v>
      </c>
      <c r="EG4" s="16"/>
      <c r="EH4" s="16"/>
      <c r="EI4" s="16"/>
      <c r="EJ4" s="16"/>
      <c r="EK4" s="12"/>
      <c r="EL4" s="14">
        <f>EF$4+7</f>
        <v>46170</v>
      </c>
      <c r="EM4" s="16"/>
      <c r="EN4" s="16"/>
      <c r="EO4" s="16"/>
      <c r="EP4" s="16"/>
      <c r="EQ4" s="12"/>
      <c r="ER4" s="14">
        <f>EL$4+7</f>
        <v>46177</v>
      </c>
      <c r="ES4" s="16"/>
      <c r="ET4" s="16"/>
      <c r="EU4" s="16"/>
      <c r="EV4" s="16"/>
      <c r="EW4" s="12"/>
      <c r="EX4" s="14">
        <f>ER$4+7</f>
        <v>46184</v>
      </c>
      <c r="EY4" s="16"/>
      <c r="EZ4" s="16"/>
      <c r="FA4" s="16"/>
      <c r="FB4" s="16"/>
      <c r="FC4" s="12"/>
      <c r="FD4" s="14">
        <f>EX$4+7</f>
        <v>46191</v>
      </c>
      <c r="FE4" s="16"/>
      <c r="FF4" s="16"/>
      <c r="FG4" s="16"/>
      <c r="FH4" s="16"/>
      <c r="FI4" s="12"/>
      <c r="FJ4" s="14">
        <f>FD$4+7</f>
        <v>46198</v>
      </c>
      <c r="FK4" s="16"/>
      <c r="FL4" s="16"/>
      <c r="FM4" s="16"/>
      <c r="FN4" s="16"/>
      <c r="FO4" s="12"/>
      <c r="FP4" s="14">
        <f>FJ$4+7</f>
        <v>46205</v>
      </c>
      <c r="FQ4" s="16"/>
      <c r="FR4" s="16"/>
      <c r="FS4" s="16"/>
      <c r="FT4" s="16"/>
      <c r="FU4" s="12"/>
      <c r="FV4" s="14">
        <f>FP$4+7</f>
        <v>46212</v>
      </c>
      <c r="FW4" s="16"/>
      <c r="FX4" s="16"/>
      <c r="FY4" s="16"/>
      <c r="FZ4" s="16"/>
      <c r="GA4" s="12"/>
      <c r="GB4" s="14">
        <f>FV$4+7</f>
        <v>46219</v>
      </c>
      <c r="GC4" s="16"/>
      <c r="GD4" s="16"/>
      <c r="GE4" s="16"/>
      <c r="GF4" s="16"/>
      <c r="GG4" s="12"/>
      <c r="GH4" s="14">
        <f>GB$4+7</f>
        <v>46226</v>
      </c>
      <c r="GI4" s="16"/>
      <c r="GJ4" s="16"/>
      <c r="GK4" s="16"/>
      <c r="GL4" s="16"/>
      <c r="GM4" s="12"/>
      <c r="GN4" s="14">
        <f>GH$4+7</f>
        <v>46233</v>
      </c>
      <c r="GO4" s="16"/>
      <c r="GP4" s="16"/>
      <c r="GQ4" s="16"/>
      <c r="GR4" s="16"/>
      <c r="GS4" s="12"/>
      <c r="GT4" s="14">
        <f>GN$4+7</f>
        <v>46240</v>
      </c>
      <c r="GU4" s="16"/>
      <c r="GV4" s="16"/>
      <c r="GW4" s="16"/>
      <c r="GX4" s="16"/>
      <c r="GY4" s="12"/>
      <c r="GZ4" s="14">
        <f>GT$4+7</f>
        <v>46247</v>
      </c>
      <c r="HA4" s="16"/>
      <c r="HB4" s="16"/>
      <c r="HC4" s="16"/>
      <c r="HD4" s="16"/>
      <c r="HE4" s="12"/>
      <c r="HF4" s="14">
        <f>GZ$4+7</f>
        <v>46254</v>
      </c>
      <c r="HG4" s="16"/>
      <c r="HH4" s="16"/>
      <c r="HI4" s="16"/>
      <c r="HJ4" s="16"/>
      <c r="HK4" s="12"/>
      <c r="HL4" s="14">
        <f>HF$4+7</f>
        <v>46261</v>
      </c>
      <c r="HM4" s="16"/>
      <c r="HN4" s="16"/>
      <c r="HO4" s="16"/>
      <c r="HP4" s="16"/>
      <c r="HQ4" s="12"/>
      <c r="HR4" s="14">
        <f>HL$4+7</f>
        <v>46268</v>
      </c>
      <c r="HS4" s="16"/>
      <c r="HT4" s="16"/>
      <c r="HU4" s="16"/>
      <c r="HV4" s="16"/>
      <c r="HW4" s="12"/>
      <c r="HX4" s="14">
        <f>HR$4+7</f>
        <v>46275</v>
      </c>
      <c r="HY4" s="16"/>
      <c r="HZ4" s="16"/>
      <c r="IA4" s="16"/>
      <c r="IB4" s="16"/>
      <c r="IC4" s="12"/>
      <c r="ID4" s="14">
        <f>HX$4+7</f>
        <v>46282</v>
      </c>
      <c r="IE4" s="16"/>
      <c r="IF4" s="16"/>
      <c r="IG4" s="16"/>
      <c r="IH4" s="16"/>
      <c r="II4" s="12"/>
      <c r="IJ4" s="14">
        <f>ID$4+7</f>
        <v>46289</v>
      </c>
      <c r="IK4" s="16"/>
      <c r="IL4" s="16"/>
      <c r="IM4" s="16"/>
      <c r="IN4" s="16"/>
      <c r="IO4" s="12"/>
    </row>
    <row r="5">
      <c r="A5" s="33" t="s">
        <v>0</v>
      </c>
      <c r="B5" s="3" t="s">
        <v>1</v>
      </c>
      <c r="C5" s="3" t="s">
        <v>2</v>
      </c>
      <c r="D5" s="3" t="s">
        <v>3</v>
      </c>
      <c r="E5" s="34" t="s">
        <v>4</v>
      </c>
      <c r="F5" s="31" t="s">
        <v>68</v>
      </c>
      <c r="G5" s="32" t="s">
        <v>70</v>
      </c>
      <c r="H5" s="31" t="s">
        <v>74</v>
      </c>
      <c r="I5" s="31" t="s">
        <v>72</v>
      </c>
      <c r="J5" s="31" t="s">
        <v>68</v>
      </c>
      <c r="K5" s="35" t="s">
        <v>70</v>
      </c>
      <c r="L5" s="31" t="s">
        <v>89</v>
      </c>
      <c r="M5" s="31" t="s">
        <v>90</v>
      </c>
      <c r="N5" s="31" t="s">
        <v>74</v>
      </c>
      <c r="O5" s="31" t="s">
        <v>72</v>
      </c>
      <c r="P5" s="31" t="s">
        <v>68</v>
      </c>
      <c r="Q5" s="32" t="s">
        <v>70</v>
      </c>
      <c r="R5" s="31" t="s">
        <v>74</v>
      </c>
      <c r="S5" s="31" t="s">
        <v>72</v>
      </c>
      <c r="T5" s="31" t="s">
        <v>68</v>
      </c>
      <c r="U5" s="32" t="s">
        <v>70</v>
      </c>
      <c r="V5" s="31" t="s">
        <v>74</v>
      </c>
      <c r="W5" s="31" t="s">
        <v>72</v>
      </c>
      <c r="X5" s="31" t="s">
        <v>68</v>
      </c>
      <c r="Y5" s="32" t="s">
        <v>70</v>
      </c>
      <c r="Z5" s="31" t="s">
        <v>89</v>
      </c>
      <c r="AA5" s="31" t="s">
        <v>90</v>
      </c>
      <c r="AB5" s="31" t="s">
        <v>74</v>
      </c>
      <c r="AC5" s="31" t="s">
        <v>72</v>
      </c>
      <c r="AD5" s="31" t="s">
        <v>68</v>
      </c>
      <c r="AE5" s="32" t="s">
        <v>70</v>
      </c>
      <c r="AF5" s="31" t="s">
        <v>89</v>
      </c>
      <c r="AG5" s="31" t="s">
        <v>90</v>
      </c>
      <c r="AH5" s="31" t="s">
        <v>74</v>
      </c>
      <c r="AI5" s="31" t="s">
        <v>72</v>
      </c>
      <c r="AJ5" s="31" t="s">
        <v>68</v>
      </c>
      <c r="AK5" s="32" t="s">
        <v>70</v>
      </c>
      <c r="AL5" s="31" t="s">
        <v>93</v>
      </c>
      <c r="AM5" s="31" t="s">
        <v>90</v>
      </c>
      <c r="AN5" s="31" t="s">
        <v>74</v>
      </c>
      <c r="AO5" s="31" t="s">
        <v>72</v>
      </c>
      <c r="AP5" s="31" t="s">
        <v>68</v>
      </c>
      <c r="AQ5" s="32" t="s">
        <v>70</v>
      </c>
      <c r="AR5" s="31" t="s">
        <v>93</v>
      </c>
      <c r="AS5" s="31" t="s">
        <v>90</v>
      </c>
      <c r="AT5" s="31" t="s">
        <v>74</v>
      </c>
      <c r="AU5" s="31" t="s">
        <v>72</v>
      </c>
      <c r="AV5" s="31" t="s">
        <v>68</v>
      </c>
      <c r="AW5" s="32" t="s">
        <v>70</v>
      </c>
      <c r="AX5" s="31" t="s">
        <v>93</v>
      </c>
      <c r="AY5" s="31" t="s">
        <v>90</v>
      </c>
      <c r="AZ5" s="31" t="s">
        <v>74</v>
      </c>
      <c r="BA5" s="31" t="s">
        <v>72</v>
      </c>
      <c r="BB5" s="31" t="s">
        <v>68</v>
      </c>
      <c r="BC5" s="32" t="s">
        <v>70</v>
      </c>
      <c r="BD5" s="31" t="s">
        <v>93</v>
      </c>
      <c r="BE5" s="31" t="s">
        <v>90</v>
      </c>
      <c r="BF5" s="31" t="s">
        <v>74</v>
      </c>
      <c r="BG5" s="31" t="s">
        <v>72</v>
      </c>
      <c r="BH5" s="31" t="s">
        <v>68</v>
      </c>
      <c r="BI5" s="32" t="s">
        <v>70</v>
      </c>
      <c r="BJ5" s="31" t="s">
        <v>93</v>
      </c>
      <c r="BK5" s="31" t="s">
        <v>90</v>
      </c>
      <c r="BL5" s="31" t="s">
        <v>74</v>
      </c>
      <c r="BM5" s="31" t="s">
        <v>72</v>
      </c>
      <c r="BN5" s="31" t="s">
        <v>68</v>
      </c>
      <c r="BO5" s="32" t="s">
        <v>70</v>
      </c>
      <c r="BP5" s="31" t="s">
        <v>93</v>
      </c>
      <c r="BQ5" s="31" t="s">
        <v>90</v>
      </c>
      <c r="BR5" s="31" t="s">
        <v>74</v>
      </c>
      <c r="BS5" s="31" t="s">
        <v>72</v>
      </c>
      <c r="BT5" s="31" t="s">
        <v>68</v>
      </c>
      <c r="BU5" s="32" t="s">
        <v>70</v>
      </c>
      <c r="BV5" s="31" t="s">
        <v>93</v>
      </c>
      <c r="BW5" s="31" t="s">
        <v>90</v>
      </c>
      <c r="BX5" s="31" t="s">
        <v>74</v>
      </c>
      <c r="BY5" s="31" t="s">
        <v>72</v>
      </c>
      <c r="BZ5" s="31" t="s">
        <v>68</v>
      </c>
      <c r="CA5" s="32" t="s">
        <v>70</v>
      </c>
      <c r="CB5" s="31" t="s">
        <v>93</v>
      </c>
      <c r="CC5" s="31" t="s">
        <v>90</v>
      </c>
      <c r="CD5" s="31" t="s">
        <v>74</v>
      </c>
      <c r="CE5" s="31" t="s">
        <v>72</v>
      </c>
      <c r="CF5" s="31" t="s">
        <v>68</v>
      </c>
      <c r="CG5" s="32" t="s">
        <v>70</v>
      </c>
      <c r="CH5" s="31" t="s">
        <v>93</v>
      </c>
      <c r="CI5" s="31" t="s">
        <v>90</v>
      </c>
      <c r="CJ5" s="31" t="s">
        <v>74</v>
      </c>
      <c r="CK5" s="31" t="s">
        <v>72</v>
      </c>
      <c r="CL5" s="31" t="s">
        <v>68</v>
      </c>
      <c r="CM5" s="32" t="s">
        <v>70</v>
      </c>
      <c r="CN5" s="31" t="s">
        <v>93</v>
      </c>
      <c r="CO5" s="31" t="s">
        <v>90</v>
      </c>
      <c r="CP5" s="31" t="s">
        <v>74</v>
      </c>
      <c r="CQ5" s="31" t="s">
        <v>72</v>
      </c>
      <c r="CR5" s="31" t="s">
        <v>68</v>
      </c>
      <c r="CS5" s="32" t="s">
        <v>70</v>
      </c>
      <c r="CT5" s="31" t="s">
        <v>93</v>
      </c>
      <c r="CU5" s="31" t="s">
        <v>90</v>
      </c>
      <c r="CV5" s="31" t="s">
        <v>74</v>
      </c>
      <c r="CW5" s="31" t="s">
        <v>72</v>
      </c>
      <c r="CX5" s="31" t="s">
        <v>68</v>
      </c>
      <c r="CY5" s="32" t="s">
        <v>70</v>
      </c>
      <c r="CZ5" s="31" t="s">
        <v>93</v>
      </c>
      <c r="DA5" s="31" t="s">
        <v>90</v>
      </c>
      <c r="DB5" s="31" t="s">
        <v>74</v>
      </c>
      <c r="DC5" s="31" t="s">
        <v>72</v>
      </c>
      <c r="DD5" s="31" t="s">
        <v>68</v>
      </c>
      <c r="DE5" s="32" t="s">
        <v>70</v>
      </c>
      <c r="DF5" s="31" t="s">
        <v>93</v>
      </c>
      <c r="DG5" s="31" t="s">
        <v>90</v>
      </c>
      <c r="DH5" s="31" t="s">
        <v>74</v>
      </c>
      <c r="DI5" s="31" t="s">
        <v>72</v>
      </c>
      <c r="DJ5" s="31" t="s">
        <v>68</v>
      </c>
      <c r="DK5" s="32" t="s">
        <v>70</v>
      </c>
      <c r="DL5" s="31" t="s">
        <v>93</v>
      </c>
      <c r="DM5" s="31" t="s">
        <v>90</v>
      </c>
      <c r="DN5" s="31" t="s">
        <v>74</v>
      </c>
      <c r="DO5" s="31" t="s">
        <v>72</v>
      </c>
      <c r="DP5" s="31" t="s">
        <v>68</v>
      </c>
      <c r="DQ5" s="32" t="s">
        <v>70</v>
      </c>
      <c r="DR5" s="31" t="s">
        <v>93</v>
      </c>
      <c r="DS5" s="31" t="s">
        <v>90</v>
      </c>
      <c r="DT5" s="31" t="s">
        <v>74</v>
      </c>
      <c r="DU5" s="31" t="s">
        <v>72</v>
      </c>
      <c r="DV5" s="31" t="s">
        <v>68</v>
      </c>
      <c r="DW5" s="32" t="s">
        <v>70</v>
      </c>
      <c r="DX5" s="31" t="s">
        <v>93</v>
      </c>
      <c r="DY5" s="31" t="s">
        <v>90</v>
      </c>
      <c r="DZ5" s="31" t="s">
        <v>74</v>
      </c>
      <c r="EA5" s="31" t="s">
        <v>72</v>
      </c>
      <c r="EB5" s="31" t="s">
        <v>68</v>
      </c>
      <c r="EC5" s="32" t="s">
        <v>70</v>
      </c>
      <c r="ED5" s="31" t="s">
        <v>93</v>
      </c>
      <c r="EE5" s="31" t="s">
        <v>90</v>
      </c>
      <c r="EF5" s="31" t="s">
        <v>74</v>
      </c>
      <c r="EG5" s="31" t="s">
        <v>72</v>
      </c>
      <c r="EH5" s="31" t="s">
        <v>68</v>
      </c>
      <c r="EI5" s="32" t="s">
        <v>70</v>
      </c>
      <c r="EJ5" s="31" t="s">
        <v>93</v>
      </c>
      <c r="EK5" s="31" t="s">
        <v>90</v>
      </c>
      <c r="EL5" s="31" t="s">
        <v>74</v>
      </c>
      <c r="EM5" s="31" t="s">
        <v>72</v>
      </c>
      <c r="EN5" s="31" t="s">
        <v>68</v>
      </c>
      <c r="EO5" s="32" t="s">
        <v>70</v>
      </c>
      <c r="EP5" s="31" t="s">
        <v>93</v>
      </c>
      <c r="EQ5" s="31" t="s">
        <v>90</v>
      </c>
      <c r="ER5" s="31" t="s">
        <v>74</v>
      </c>
      <c r="ES5" s="31" t="s">
        <v>72</v>
      </c>
      <c r="ET5" s="31" t="s">
        <v>68</v>
      </c>
      <c r="EU5" s="32" t="s">
        <v>70</v>
      </c>
      <c r="EV5" s="31" t="s">
        <v>93</v>
      </c>
      <c r="EW5" s="31" t="s">
        <v>90</v>
      </c>
      <c r="EX5" s="31" t="s">
        <v>74</v>
      </c>
      <c r="EY5" s="31" t="s">
        <v>72</v>
      </c>
      <c r="EZ5" s="31" t="s">
        <v>68</v>
      </c>
      <c r="FA5" s="32" t="s">
        <v>70</v>
      </c>
      <c r="FB5" s="31" t="s">
        <v>93</v>
      </c>
      <c r="FC5" s="31" t="s">
        <v>90</v>
      </c>
      <c r="FD5" s="31" t="s">
        <v>74</v>
      </c>
      <c r="FE5" s="31" t="s">
        <v>72</v>
      </c>
      <c r="FF5" s="31" t="s">
        <v>68</v>
      </c>
      <c r="FG5" s="32" t="s">
        <v>70</v>
      </c>
      <c r="FH5" s="31" t="s">
        <v>93</v>
      </c>
      <c r="FI5" s="31" t="s">
        <v>90</v>
      </c>
      <c r="FJ5" s="31" t="s">
        <v>74</v>
      </c>
      <c r="FK5" s="31" t="s">
        <v>72</v>
      </c>
      <c r="FL5" s="31" t="s">
        <v>68</v>
      </c>
      <c r="FM5" s="32" t="s">
        <v>70</v>
      </c>
      <c r="FN5" s="31" t="s">
        <v>93</v>
      </c>
      <c r="FO5" s="31" t="s">
        <v>90</v>
      </c>
      <c r="FP5" s="31" t="s">
        <v>74</v>
      </c>
      <c r="FQ5" s="31" t="s">
        <v>72</v>
      </c>
      <c r="FR5" s="31" t="s">
        <v>68</v>
      </c>
      <c r="FS5" s="32" t="s">
        <v>70</v>
      </c>
      <c r="FT5" s="31" t="s">
        <v>93</v>
      </c>
      <c r="FU5" s="31" t="s">
        <v>90</v>
      </c>
      <c r="FV5" s="31" t="s">
        <v>74</v>
      </c>
      <c r="FW5" s="31" t="s">
        <v>72</v>
      </c>
      <c r="FX5" s="31" t="s">
        <v>68</v>
      </c>
      <c r="FY5" s="32" t="s">
        <v>70</v>
      </c>
      <c r="FZ5" s="31" t="s">
        <v>93</v>
      </c>
      <c r="GA5" s="31" t="s">
        <v>90</v>
      </c>
      <c r="GB5" s="31" t="s">
        <v>74</v>
      </c>
      <c r="GC5" s="31" t="s">
        <v>72</v>
      </c>
      <c r="GD5" s="31" t="s">
        <v>68</v>
      </c>
      <c r="GE5" s="32" t="s">
        <v>70</v>
      </c>
      <c r="GF5" s="31" t="s">
        <v>93</v>
      </c>
      <c r="GG5" s="31" t="s">
        <v>90</v>
      </c>
      <c r="GH5" s="31" t="s">
        <v>74</v>
      </c>
      <c r="GI5" s="31" t="s">
        <v>72</v>
      </c>
      <c r="GJ5" s="31" t="s">
        <v>68</v>
      </c>
      <c r="GK5" s="32" t="s">
        <v>70</v>
      </c>
      <c r="GL5" s="31" t="s">
        <v>93</v>
      </c>
      <c r="GM5" s="31" t="s">
        <v>90</v>
      </c>
      <c r="GN5" s="31" t="s">
        <v>74</v>
      </c>
      <c r="GO5" s="31" t="s">
        <v>72</v>
      </c>
      <c r="GP5" s="31" t="s">
        <v>68</v>
      </c>
      <c r="GQ5" s="32" t="s">
        <v>70</v>
      </c>
      <c r="GR5" s="31" t="s">
        <v>93</v>
      </c>
      <c r="GS5" s="31" t="s">
        <v>90</v>
      </c>
      <c r="GT5" s="31" t="s">
        <v>74</v>
      </c>
      <c r="GU5" s="31" t="s">
        <v>72</v>
      </c>
      <c r="GV5" s="31" t="s">
        <v>68</v>
      </c>
      <c r="GW5" s="32" t="s">
        <v>70</v>
      </c>
      <c r="GX5" s="31" t="s">
        <v>93</v>
      </c>
      <c r="GY5" s="31" t="s">
        <v>90</v>
      </c>
      <c r="GZ5" s="31" t="s">
        <v>74</v>
      </c>
      <c r="HA5" s="31" t="s">
        <v>72</v>
      </c>
      <c r="HB5" s="31" t="s">
        <v>68</v>
      </c>
      <c r="HC5" s="32" t="s">
        <v>70</v>
      </c>
      <c r="HD5" s="31" t="s">
        <v>93</v>
      </c>
      <c r="HE5" s="31" t="s">
        <v>90</v>
      </c>
      <c r="HF5" s="31" t="s">
        <v>74</v>
      </c>
      <c r="HG5" s="31" t="s">
        <v>72</v>
      </c>
      <c r="HH5" s="31" t="s">
        <v>68</v>
      </c>
      <c r="HI5" s="32" t="s">
        <v>70</v>
      </c>
      <c r="HJ5" s="31" t="s">
        <v>93</v>
      </c>
      <c r="HK5" s="31" t="s">
        <v>90</v>
      </c>
      <c r="HL5" s="31" t="s">
        <v>74</v>
      </c>
      <c r="HM5" s="31" t="s">
        <v>72</v>
      </c>
      <c r="HN5" s="31" t="s">
        <v>68</v>
      </c>
      <c r="HO5" s="32" t="s">
        <v>70</v>
      </c>
      <c r="HP5" s="31" t="s">
        <v>93</v>
      </c>
      <c r="HQ5" s="31" t="s">
        <v>90</v>
      </c>
      <c r="HR5" s="31" t="s">
        <v>74</v>
      </c>
      <c r="HS5" s="31" t="s">
        <v>72</v>
      </c>
      <c r="HT5" s="31" t="s">
        <v>68</v>
      </c>
      <c r="HU5" s="32" t="s">
        <v>70</v>
      </c>
      <c r="HV5" s="31" t="s">
        <v>93</v>
      </c>
      <c r="HW5" s="31" t="s">
        <v>90</v>
      </c>
      <c r="HX5" s="31" t="s">
        <v>74</v>
      </c>
      <c r="HY5" s="31" t="s">
        <v>72</v>
      </c>
      <c r="HZ5" s="31" t="s">
        <v>68</v>
      </c>
      <c r="IA5" s="32" t="s">
        <v>70</v>
      </c>
      <c r="IB5" s="31" t="s">
        <v>93</v>
      </c>
      <c r="IC5" s="31" t="s">
        <v>90</v>
      </c>
      <c r="ID5" s="31" t="s">
        <v>74</v>
      </c>
      <c r="IE5" s="31" t="s">
        <v>72</v>
      </c>
      <c r="IF5" s="31" t="s">
        <v>68</v>
      </c>
      <c r="IG5" s="32" t="s">
        <v>70</v>
      </c>
      <c r="IH5" s="31" t="s">
        <v>93</v>
      </c>
      <c r="II5" s="31" t="s">
        <v>90</v>
      </c>
      <c r="IJ5" s="31" t="s">
        <v>74</v>
      </c>
      <c r="IK5" s="31" t="s">
        <v>72</v>
      </c>
      <c r="IL5" s="31" t="s">
        <v>68</v>
      </c>
      <c r="IM5" s="32" t="s">
        <v>70</v>
      </c>
      <c r="IN5" s="31" t="s">
        <v>93</v>
      </c>
      <c r="IO5" s="31" t="s">
        <v>90</v>
      </c>
    </row>
    <row r="6">
      <c r="A6" s="36" t="s">
        <v>17</v>
      </c>
      <c r="B6" s="21" t="s">
        <v>18</v>
      </c>
      <c r="C6" s="1">
        <f t="shared" ref="C6:C49" si="1">countA($A$6:A6)</f>
        <v>1</v>
      </c>
      <c r="D6" s="15">
        <f>VLOOKUP(A6,TDP!A:C,3,FALSE)</f>
        <v>0.54</v>
      </c>
      <c r="E6" s="38">
        <f t="shared" ref="E6:E49" si="2">(1+$D6)*sum($G6,$M6,$Q6,$U6,$AA6,$AG6,$AM6,$AS6,$AY6,$BE6,$BK6,$BQ6,$BW6,$CC6,$CI6,$CO6,$CU6,$DA6,$DG6,$DM6,$DS6,$DY6,$EE6,$EK6,$EQ6,$EW6,$FC6,$FI6,$FO6,$FU6,$GA6,$GG6,$GM6,$GS6,$GY6,$HE6,$HK6,$HQ6,$HW6,$IC6,$II6,$IO6)</f>
        <v>227.92</v>
      </c>
      <c r="F6" s="7">
        <v>1.0</v>
      </c>
      <c r="G6" s="39">
        <f t="shared" ref="G6:G36" si="3">if(F6=1, 7, 0 )</f>
        <v>7</v>
      </c>
      <c r="H6" s="7"/>
      <c r="I6" s="7"/>
      <c r="J6" s="7"/>
      <c r="K6" s="7">
        <f t="shared" ref="K6:K49" si="4"> if( H6=1, if( I6=1, if( J6=1, 5, 3), if( J6=1, 1, -3 ) ), if(I6=1,if(J6=1, -1, -2 ), if(J6=1, 7, 0 ) ) )</f>
        <v>0</v>
      </c>
      <c r="L6" s="7"/>
      <c r="M6" s="40">
        <f t="shared" ref="M6:M49" si="5">if(I6=0,K6,K6*L6)</f>
        <v>0</v>
      </c>
      <c r="N6" s="41"/>
      <c r="O6" s="41"/>
      <c r="P6" s="41"/>
      <c r="Q6" s="42">
        <f t="shared" ref="Q6:Q49" si="6"> if( N6=1, if( O6=1, if( P6=1, 5, 3), if( P6=1, 1, -3 ) ), if(O6=1,if(P6=1, -1, -2 ), if(P6=1, 7, 0 ) ) )</f>
        <v>0</v>
      </c>
      <c r="R6" s="41"/>
      <c r="S6" s="41"/>
      <c r="T6" s="41"/>
      <c r="U6" s="42">
        <f t="shared" ref="U6:U49" si="7"> if( R6=1, if( S6=1, if( T6=1, 5, 3), if( T6=1, 1, -3 ) ), if(S6=1,if(T6=1, -1, -2 ), if(T6=1, 7, 0 ) ) )</f>
        <v>0</v>
      </c>
      <c r="V6" s="7">
        <v>1.0</v>
      </c>
      <c r="W6" s="7">
        <v>1.0</v>
      </c>
      <c r="X6" s="7">
        <v>1.0</v>
      </c>
      <c r="Y6" s="7">
        <f t="shared" ref="Y6:Y49" si="8"> if( V6=1, if( W6=1, if( X6=1, 5, 3), if( X6=1, 1, -3 ) ), if(W6=1,if(X6=1, -1, -2 ), if(X6=1, 7, 0 ) ) )</f>
        <v>5</v>
      </c>
      <c r="Z6" s="7">
        <v>1.0</v>
      </c>
      <c r="AA6" s="40">
        <f t="shared" ref="AA6:AA49" si="9">if(W6=0,Y6,Y6*Z6)</f>
        <v>5</v>
      </c>
      <c r="AB6" s="7">
        <v>1.0</v>
      </c>
      <c r="AC6" s="7">
        <v>1.0</v>
      </c>
      <c r="AD6" s="7">
        <v>1.0</v>
      </c>
      <c r="AE6" s="7">
        <f t="shared" ref="AE6:AE49" si="10"> if( AB6=1, if( AC6=1, if( AD6=1, 5, 3), if( AD6=1, 1, -3 ) ), if(AC6=1,if(AD6=1, -1, -2 ), if(AD6=1, 7, 0 ) ) )</f>
        <v>5</v>
      </c>
      <c r="AF6" s="7">
        <v>1.0</v>
      </c>
      <c r="AG6" s="40">
        <f t="shared" ref="AG6:AG49" si="11">if(AC6=0,AE6,AE6*AF6)</f>
        <v>5</v>
      </c>
      <c r="AH6" s="7">
        <v>1.0</v>
      </c>
      <c r="AI6" s="7">
        <v>1.0</v>
      </c>
      <c r="AJ6" s="7">
        <v>1.0</v>
      </c>
      <c r="AK6" s="7">
        <f t="shared" ref="AK6:AK49" si="12"> if( AH6=1, if( AI6=1, if( AJ6=1, 5, 3), if( AJ6=1, 1, -3 ) ), if(AI6=1,if(AJ6=1, -1, -2 ), if(AJ6=1, 7, 0 ) ) )</f>
        <v>5</v>
      </c>
      <c r="AL6" s="7">
        <v>1.0</v>
      </c>
      <c r="AM6" s="40">
        <f t="shared" ref="AM6:AM49" si="13">if(AI6=0,AK6,AK6*AL6)</f>
        <v>5</v>
      </c>
      <c r="AN6" s="7">
        <v>1.0</v>
      </c>
      <c r="AO6" s="7">
        <v>1.0</v>
      </c>
      <c r="AP6" s="7">
        <v>1.0</v>
      </c>
      <c r="AQ6" s="7">
        <f t="shared" ref="AQ6:AQ49" si="14"> if( AN6=1, if( AO6=1, if( AP6=1, 5, 3), if( AP6=1, 1, -3 ) ), if(AO6=1,if(AP6=1, -1, -2 ), if(AP6=1, 7, 0 ) ) )</f>
        <v>5</v>
      </c>
      <c r="AR6" s="7">
        <v>1.0</v>
      </c>
      <c r="AS6" s="40">
        <f t="shared" ref="AS6:AS49" si="15">if(AO6=0,AQ6,AQ6*AR6)</f>
        <v>5</v>
      </c>
      <c r="AT6" s="7">
        <v>1.0</v>
      </c>
      <c r="AU6" s="7">
        <v>1.0</v>
      </c>
      <c r="AV6" s="7">
        <v>1.0</v>
      </c>
      <c r="AW6" s="7">
        <f t="shared" ref="AW6:AW49" si="16"> if( AT6=1, if( AU6=1, if( AV6=1, 5, 3), if( AV6=1, 1, -3 ) ), if(AU6=1,if(AV6=1, -1, -2 ), if(AV6=1, 7, 0 ) ) )</f>
        <v>5</v>
      </c>
      <c r="AX6" s="7">
        <v>1.0</v>
      </c>
      <c r="AY6" s="40">
        <f t="shared" ref="AY6:AY49" si="17">if(AU6=0,AW6,AW6*AX6)</f>
        <v>5</v>
      </c>
      <c r="AZ6" s="7">
        <v>1.0</v>
      </c>
      <c r="BA6" s="7">
        <v>1.0</v>
      </c>
      <c r="BB6" s="7">
        <v>1.0</v>
      </c>
      <c r="BC6" s="7">
        <f t="shared" ref="BC6:BC49" si="18"> if( AZ6=1, if( BA6=1, if( BB6=1, 5, 3), if( BB6=1, 1, -3 ) ), if(BA6=1,if(BB6=1, -1, -2 ), if(BB6=1, 7, 0 ) ) )</f>
        <v>5</v>
      </c>
      <c r="BD6" s="7">
        <v>1.0</v>
      </c>
      <c r="BE6" s="40">
        <f t="shared" ref="BE6:BE49" si="19">if(BA6=0,BC6,BC6*BD6)</f>
        <v>5</v>
      </c>
      <c r="BF6" s="7">
        <v>1.0</v>
      </c>
      <c r="BG6" s="7">
        <v>1.0</v>
      </c>
      <c r="BH6" s="7">
        <v>1.0</v>
      </c>
      <c r="BI6" s="7">
        <f t="shared" ref="BI6:BI49" si="20"> if( BF6=1, if( BG6=1, if( BH6=1, 5, 3), if( BH6=1, 1, -3 ) ), if(BG6=1,if(BH6=1, -1, -2 ), if(BH6=1, 7, 0 ) ) )</f>
        <v>5</v>
      </c>
      <c r="BJ6" s="7">
        <v>1.0</v>
      </c>
      <c r="BK6" s="40">
        <f t="shared" ref="BK6:BK49" si="21">if(BG6=0,BI6,BI6*BJ6)</f>
        <v>5</v>
      </c>
      <c r="BL6" s="7">
        <v>1.0</v>
      </c>
      <c r="BM6" s="7">
        <v>1.0</v>
      </c>
      <c r="BN6" s="7"/>
      <c r="BO6" s="7">
        <f t="shared" ref="BO6:BO49" si="22"> if( BL6=1, if( BM6=1, if( BN6=1, 5, 3), if( BN6=1, 1, -3 ) ), if(BM6=1,if(BN6=1, -1, -2 ), if(BN6=1, 7, 0 ) ) )</f>
        <v>3</v>
      </c>
      <c r="BP6" s="7">
        <v>1.0</v>
      </c>
      <c r="BQ6" s="40">
        <f t="shared" ref="BQ6:BQ49" si="23">if(BM6=0,BO6,BO6*BP6)</f>
        <v>3</v>
      </c>
      <c r="BR6" s="7">
        <v>1.0</v>
      </c>
      <c r="BS6" s="7">
        <v>1.0</v>
      </c>
      <c r="BT6" s="7">
        <v>1.0</v>
      </c>
      <c r="BU6" s="7">
        <f t="shared" ref="BU6:BU49" si="24"> if( BR6=1, if( BS6=1, if( BT6=1, 5, 3), if( BT6=1, 1, -3 ) ), if(BS6=1,if(BT6=1, -1, -2 ), if(BT6=1, 7, 0 ) ) )</f>
        <v>5</v>
      </c>
      <c r="BV6" s="7">
        <v>1.0</v>
      </c>
      <c r="BW6" s="40">
        <f t="shared" ref="BW6:BW49" si="25">if(BS6=0,BU6,BU6*BV6)</f>
        <v>5</v>
      </c>
      <c r="BX6" s="7">
        <v>1.0</v>
      </c>
      <c r="BY6" s="7">
        <v>1.0</v>
      </c>
      <c r="BZ6" s="7">
        <v>1.0</v>
      </c>
      <c r="CA6" s="7">
        <f t="shared" ref="CA6:CA49" si="26"> if( BX6=1, if( BY6=1, if( BZ6=1, 5, 3), if( BZ6=1, 1, -3 ) ), if(BY6=1,if(BZ6=1, -1, -2 ), if(BZ6=1, 7, 0 ) ) )</f>
        <v>5</v>
      </c>
      <c r="CB6" s="7">
        <v>1.0</v>
      </c>
      <c r="CC6" s="40">
        <f t="shared" ref="CC6:CC49" si="27">if(BY6=0,CA6,CA6*CB6)</f>
        <v>5</v>
      </c>
      <c r="CD6" s="7">
        <v>1.0</v>
      </c>
      <c r="CE6" s="7">
        <v>1.0</v>
      </c>
      <c r="CF6" s="7">
        <v>1.0</v>
      </c>
      <c r="CG6" s="7">
        <f t="shared" ref="CG6:CG49" si="28"> if( CD6=1, if( CE6=1, if( CF6=1, 5, 3), if( CF6=1, 1, -3 ) ), if(CE6=1,if(CF6=1, -1, -2 ), if(CF6=1, 7, 0 ) ) )</f>
        <v>5</v>
      </c>
      <c r="CH6" s="7">
        <v>1.0</v>
      </c>
      <c r="CI6" s="40">
        <f t="shared" ref="CI6:CI49" si="29">if(CE6=0,CG6,CG6*CH6)</f>
        <v>5</v>
      </c>
      <c r="CJ6" s="7">
        <v>1.0</v>
      </c>
      <c r="CK6" s="7">
        <v>1.0</v>
      </c>
      <c r="CL6" s="7">
        <v>1.0</v>
      </c>
      <c r="CM6" s="7">
        <f t="shared" ref="CM6:CM49" si="30"> if( CJ6=1, if( CK6=1, if( CL6=1, 5, 3), if( CL6=1, 1, -3 ) ), if(CK6=1,if(CL6=1, -1, -2 ), if(CL6=1, 7, 0 ) ) )</f>
        <v>5</v>
      </c>
      <c r="CN6" s="7">
        <v>1.0</v>
      </c>
      <c r="CO6" s="40">
        <f t="shared" ref="CO6:CO49" si="31">if(CK6=0,CM6,CM6*CN6)</f>
        <v>5</v>
      </c>
      <c r="CP6" s="7">
        <v>1.0</v>
      </c>
      <c r="CQ6" s="7">
        <v>1.0</v>
      </c>
      <c r="CR6" s="7">
        <v>1.0</v>
      </c>
      <c r="CS6" s="7">
        <f t="shared" ref="CS6:CS49" si="32"> if( CP6=1, if( CQ6=1, if( CR6=1, 5, 3), if( CR6=1, 1, -3 ) ), if(CQ6=1,if(CR6=1, -1, -2 ), if(CR6=1, 7, 0 ) ) )</f>
        <v>5</v>
      </c>
      <c r="CT6" s="7">
        <v>1.0</v>
      </c>
      <c r="CU6" s="40">
        <f t="shared" ref="CU6:CU49" si="33">if(CQ6=0,CS6,CS6*CT6)</f>
        <v>5</v>
      </c>
      <c r="CV6" s="7">
        <v>1.0</v>
      </c>
      <c r="CW6" s="7">
        <v>1.0</v>
      </c>
      <c r="CX6" s="7">
        <v>1.0</v>
      </c>
      <c r="CY6" s="7">
        <f t="shared" ref="CY6:CY49" si="34"> if( CV6=1, if( CW6=1, if( CX6=1, 5, 3), if( CX6=1, 1, -3 ) ), if(CW6=1,if(CX6=1, -1, -2 ), if(CX6=1, 7, 0 ) ) )</f>
        <v>5</v>
      </c>
      <c r="CZ6" s="7">
        <v>1.0</v>
      </c>
      <c r="DA6" s="40">
        <f t="shared" ref="DA6:DA49" si="35">if(CW6=0,CY6,CY6*CZ6)</f>
        <v>5</v>
      </c>
      <c r="DB6" s="7">
        <v>1.0</v>
      </c>
      <c r="DC6" s="7">
        <v>1.0</v>
      </c>
      <c r="DD6" s="7">
        <v>1.0</v>
      </c>
      <c r="DE6" s="7">
        <f t="shared" ref="DE6:DE49" si="36"> if( DB6=1, if( DC6=1, if( DD6=1, 5, 3), if( DD6=1, 1, -3 ) ), if(DC6=1,if(DD6=1, -1, -2 ), if(DD6=1, 7, 0 ) ) )</f>
        <v>5</v>
      </c>
      <c r="DF6" s="7">
        <v>1.0</v>
      </c>
      <c r="DG6" s="40">
        <f t="shared" ref="DG6:DG49" si="37">if(DC6=0,DE6,DE6*DF6)</f>
        <v>5</v>
      </c>
      <c r="DH6" s="7">
        <v>1.0</v>
      </c>
      <c r="DI6" s="7">
        <v>1.0</v>
      </c>
      <c r="DJ6" s="7">
        <v>1.0</v>
      </c>
      <c r="DK6" s="7">
        <f t="shared" ref="DK6:DK49" si="38"> if( DH6=1, if( DI6=1, if( DJ6=1, 5, 3), if( DJ6=1, 1, -3 ) ), if(DI6=1,if(DJ6=1, -1, -2 ), if(DJ6=1, 7, 0 ) ) )</f>
        <v>5</v>
      </c>
      <c r="DL6" s="7">
        <v>1.0</v>
      </c>
      <c r="DM6" s="40">
        <f t="shared" ref="DM6:DM49" si="39">if(DI6=0,DK6,DK6*DL6)</f>
        <v>5</v>
      </c>
      <c r="DN6" s="7">
        <v>1.0</v>
      </c>
      <c r="DO6" s="7">
        <v>1.0</v>
      </c>
      <c r="DP6" s="7">
        <v>1.0</v>
      </c>
      <c r="DQ6" s="7">
        <f t="shared" ref="DQ6:DQ49" si="40"> if( DN6=1, if( DO6=1, if( DP6=1, 5, 3), if( DP6=1, 1, -3 ) ), if(DO6=1,if(DP6=1, -1, -2 ), if(DP6=1, 7, 0 ) ) )</f>
        <v>5</v>
      </c>
      <c r="DR6" s="7">
        <v>1.0</v>
      </c>
      <c r="DS6" s="40">
        <f t="shared" ref="DS6:DS49" si="41">if(DO6=0,DQ6,DQ6*DR6)</f>
        <v>5</v>
      </c>
      <c r="DT6" s="7">
        <v>1.0</v>
      </c>
      <c r="DU6" s="7">
        <v>1.0</v>
      </c>
      <c r="DV6" s="7">
        <v>1.0</v>
      </c>
      <c r="DW6" s="7">
        <f t="shared" ref="DW6:DW49" si="42"> if( DT6=1, if( DU6=1, if( DV6=1, 5, 3), if( DV6=1, 1, -3 ) ), if(DU6=1,if(DV6=1, -1, -2 ), if(DV6=1, 7, 0 ) ) )</f>
        <v>5</v>
      </c>
      <c r="DX6" s="7">
        <v>1.0</v>
      </c>
      <c r="DY6" s="40">
        <f t="shared" ref="DY6:DY49" si="43">if(DU6=0,DW6,DW6*DX6)</f>
        <v>5</v>
      </c>
      <c r="DZ6" s="7"/>
      <c r="EA6" s="7"/>
      <c r="EB6" s="7"/>
      <c r="EC6" s="7">
        <f t="shared" ref="EC6:EC49" si="44"> if( DZ6=1, if( EA6=1, if( EB6=1, 5, 3), if( EB6=1, 1, -3 ) ), if(EA6=1,if(EB6=1, -1, -2 ), if(EB6=1, 7, 0 ) ) )</f>
        <v>0</v>
      </c>
      <c r="ED6" s="7">
        <v>1.0</v>
      </c>
      <c r="EE6" s="40">
        <f t="shared" ref="EE6:EE49" si="45">if(EA6=0,EC6,EC6*ED6)</f>
        <v>0</v>
      </c>
      <c r="EF6" s="7">
        <v>1.0</v>
      </c>
      <c r="EG6" s="7">
        <v>1.0</v>
      </c>
      <c r="EH6" s="7">
        <v>1.0</v>
      </c>
      <c r="EI6" s="7">
        <f t="shared" ref="EI6:EI49" si="46"> if( EF6=1, if( EG6=1, if( EH6=1, 5, 3), if( EH6=1, 1, -3 ) ), if(EG6=1,if(EH6=1, -1, -2 ), if(EH6=1, 7, 0 ) ) )</f>
        <v>5</v>
      </c>
      <c r="EJ6" s="7">
        <v>1.0</v>
      </c>
      <c r="EK6" s="40">
        <f t="shared" ref="EK6:EK49" si="47">if(EG6=0,EI6,EI6*EJ6)</f>
        <v>5</v>
      </c>
      <c r="EL6" s="7">
        <v>1.0</v>
      </c>
      <c r="EM6" s="7">
        <v>1.0</v>
      </c>
      <c r="EN6" s="7">
        <v>1.0</v>
      </c>
      <c r="EO6" s="7">
        <f t="shared" ref="EO6:EO49" si="48"> if( EL6=1, if( EM6=1, if( EN6=1, 5, 3), if( EN6=1, 1, -3 ) ), if(EM6=1,if(EN6=1, -1, -2 ), if(EN6=1, 7, 0 ) ) )</f>
        <v>5</v>
      </c>
      <c r="EP6" s="7">
        <v>1.0</v>
      </c>
      <c r="EQ6" s="40">
        <f t="shared" ref="EQ6:EQ49" si="49">if(EM6=0,EO6,EO6*EP6)</f>
        <v>5</v>
      </c>
      <c r="ER6" s="7">
        <v>1.0</v>
      </c>
      <c r="ES6" s="7">
        <v>1.0</v>
      </c>
      <c r="ET6" s="7"/>
      <c r="EU6" s="7">
        <f t="shared" ref="EU6:EU49" si="50"> if( ER6=1, if( ES6=1, if( ET6=1, 5, 3), if( ET6=1, 1, -3 ) ), if(ES6=1,if(ET6=1, -1, -2 ), if(ET6=1, 7, 0 ) ) )</f>
        <v>3</v>
      </c>
      <c r="EV6" s="7">
        <v>1.0</v>
      </c>
      <c r="EW6" s="40">
        <f t="shared" ref="EW6:EW49" si="51">if(ES6=0,EU6,EU6*EV6)</f>
        <v>3</v>
      </c>
      <c r="EX6" s="7">
        <v>1.0</v>
      </c>
      <c r="EY6" s="7">
        <v>1.0</v>
      </c>
      <c r="EZ6" s="7">
        <v>1.0</v>
      </c>
      <c r="FA6" s="7">
        <f t="shared" ref="FA6:FA49" si="52"> if( EX6=1, if( EY6=1, if( EZ6=1, 5, 3), if( EZ6=1, 1, -3 ) ), if(EY6=1,if(EZ6=1, -1, -2 ), if(EZ6=1, 7, 0 ) ) )</f>
        <v>5</v>
      </c>
      <c r="FB6" s="7">
        <v>1.0</v>
      </c>
      <c r="FC6" s="40">
        <f t="shared" ref="FC6:FC49" si="53">if(EY6=0,FA6,FA6*FB6)</f>
        <v>5</v>
      </c>
      <c r="FD6" s="41"/>
      <c r="FE6" s="41"/>
      <c r="FF6" s="41"/>
      <c r="FG6" s="41">
        <f t="shared" ref="FG6:FG49" si="54"> if( FD6=1, if( FE6=1, if( FF6=1, 5, 3), if( FF6=1, 1, -3 ) ), if(FE6=1,if(FF6=1, -1, -2 ), if(FF6=1, 7, 0 ) ) )</f>
        <v>0</v>
      </c>
      <c r="FH6" s="41">
        <v>1.0</v>
      </c>
      <c r="FI6" s="44">
        <f t="shared" ref="FI6:FI49" si="55">if(FE6=0,FG6,FG6*FH6)</f>
        <v>0</v>
      </c>
      <c r="FJ6" s="41"/>
      <c r="FK6" s="41"/>
      <c r="FL6" s="41"/>
      <c r="FM6" s="41">
        <f t="shared" ref="FM6:FM49" si="56"> if( FJ6=1, if( FK6=1, if( FL6=1, 5, 3), if( FL6=1, 1, -3 ) ), if(FK6=1,if(FL6=1, -1, -2 ), if(FL6=1, 7, 0 ) ) )</f>
        <v>0</v>
      </c>
      <c r="FN6" s="41">
        <v>1.0</v>
      </c>
      <c r="FO6" s="44">
        <f t="shared" ref="FO6:FO49" si="57">if(FK6=0,FM6,FM6*FN6)</f>
        <v>0</v>
      </c>
      <c r="FP6" s="7">
        <v>1.0</v>
      </c>
      <c r="FQ6" s="7">
        <v>1.0</v>
      </c>
      <c r="FR6" s="7">
        <v>1.0</v>
      </c>
      <c r="FS6" s="7">
        <f t="shared" ref="FS6:FS49" si="58"> if( FP6=1, if( FQ6=1, if( FR6=1, 5, 3), if( FR6=1, 1, -3 ) ), if(FQ6=1,if(FR6=1, -1, -2 ), if(FR6=1, 7, 0 ) ) )</f>
        <v>5</v>
      </c>
      <c r="FT6" s="7">
        <v>1.0</v>
      </c>
      <c r="FU6" s="40">
        <f t="shared" ref="FU6:FU49" si="59">if(FQ6=0,FS6,FS6*FT6)</f>
        <v>5</v>
      </c>
      <c r="FV6" s="7">
        <v>1.0</v>
      </c>
      <c r="FW6" s="7">
        <v>1.0</v>
      </c>
      <c r="FX6" s="7">
        <v>1.0</v>
      </c>
      <c r="FY6" s="7">
        <f t="shared" ref="FY6:FY49" si="60"> if( FV6=1, if( FW6=1, if( FX6=1, 5, 3), if( FX6=1, 1, -3 ) ), if(FW6=1,if(FX6=1, -1, -2 ), if(FX6=1, 7, 0 ) ) )</f>
        <v>5</v>
      </c>
      <c r="FZ6" s="7">
        <v>1.0</v>
      </c>
      <c r="GA6" s="40">
        <f t="shared" ref="GA6:GA49" si="61">if(FW6=0,FY6,FY6*FZ6)</f>
        <v>5</v>
      </c>
      <c r="GB6" s="7">
        <v>1.0</v>
      </c>
      <c r="GC6" s="7">
        <v>1.0</v>
      </c>
      <c r="GD6" s="7">
        <v>1.0</v>
      </c>
      <c r="GE6" s="7">
        <f t="shared" ref="GE6:GE49" si="62"> if( GB6=1, if( GC6=1, if( GD6=1, 5, 3), if( GD6=1, 1, -3 ) ), if(GC6=1,if(GD6=1, -1, -2 ), if(GD6=1, 7, 0 ) ) )</f>
        <v>5</v>
      </c>
      <c r="GF6" s="7">
        <v>1.0</v>
      </c>
      <c r="GG6" s="40">
        <f t="shared" ref="GG6:GG49" si="63">if(GC6=0,GE6,GE6*GF6)</f>
        <v>5</v>
      </c>
      <c r="GH6" s="7">
        <v>1.0</v>
      </c>
      <c r="GI6" s="7">
        <v>1.0</v>
      </c>
      <c r="GJ6" s="7">
        <v>1.0</v>
      </c>
      <c r="GK6" s="7">
        <f t="shared" ref="GK6:GK49" si="64"> if( GH6=1, if( GI6=1, if( GJ6=1, 5, 3), if( GJ6=1, 1, -3 ) ), if(GI6=1,if(GJ6=1, -1, -2 ), if(GJ6=1, 7, 0 ) ) )</f>
        <v>5</v>
      </c>
      <c r="GL6" s="7">
        <v>1.0</v>
      </c>
      <c r="GM6" s="40">
        <f t="shared" ref="GM6:GM49" si="65">if(GI6=0,GK6,GK6*GL6)</f>
        <v>5</v>
      </c>
      <c r="GN6" s="41"/>
      <c r="GO6" s="41"/>
      <c r="GP6" s="41"/>
      <c r="GQ6" s="41">
        <f t="shared" ref="GQ6:GQ49" si="66"> if( GN6=1, if( GO6=1, if( GP6=1, 5, 3), if( GP6=1, 1, -3 ) ), if(GO6=1,if(GP6=1, -1, -2 ), if(GP6=1, 7, 0 ) ) )</f>
        <v>0</v>
      </c>
      <c r="GR6" s="41">
        <v>1.0</v>
      </c>
      <c r="GS6" s="44">
        <f t="shared" ref="GS6:GS49" si="67">if(GO6=0,GQ6,GQ6*GR6)</f>
        <v>0</v>
      </c>
      <c r="GT6" s="7">
        <v>1.0</v>
      </c>
      <c r="GU6" s="7">
        <v>1.0</v>
      </c>
      <c r="GV6" s="7">
        <v>1.0</v>
      </c>
      <c r="GW6" s="7">
        <f t="shared" ref="GW6:GW49" si="68"> if( GT6=1, if( GU6=1, if( GV6=1, 5, 3), if( GV6=1, 1, -3 ) ), if(GU6=1,if(GV6=1, -1, -2 ), if(GV6=1, 7, 0 ) ) )</f>
        <v>5</v>
      </c>
      <c r="GX6" s="7">
        <v>1.0</v>
      </c>
      <c r="GY6" s="40">
        <f t="shared" ref="GY6:GY49" si="69">if(GU6=0,GW6,GW6*GX6)</f>
        <v>5</v>
      </c>
      <c r="GZ6" s="7">
        <v>1.0</v>
      </c>
      <c r="HA6" s="7">
        <v>1.0</v>
      </c>
      <c r="HB6" s="7">
        <v>1.0</v>
      </c>
      <c r="HC6" s="7">
        <f t="shared" ref="HC6:HC49" si="70"> if( GZ6=1, if( HA6=1, if( HB6=1, 5, 3), if( HB6=1, 1, -3 ) ), if(HA6=1,if(HB6=1, -1, -2 ), if(HB6=1, 7, 0 ) ) )</f>
        <v>5</v>
      </c>
      <c r="HD6" s="7">
        <v>1.0</v>
      </c>
      <c r="HE6" s="40">
        <f t="shared" ref="HE6:HE49" si="71">if(HA6=0,HC6,HC6*HD6)</f>
        <v>5</v>
      </c>
      <c r="HF6" s="7">
        <v>1.0</v>
      </c>
      <c r="HG6" s="7">
        <v>1.0</v>
      </c>
      <c r="HH6" s="7">
        <v>1.0</v>
      </c>
      <c r="HI6" s="7">
        <f t="shared" ref="HI6:HI49" si="72"> if( HF6=1, if( HG6=1, if( HH6=1, 5, 3), if( HH6=1, 1, -3 ) ), if(HG6=1,if(HH6=1, -1, -2 ), if(HH6=1, 7, 0 ) ) )</f>
        <v>5</v>
      </c>
      <c r="HJ6" s="7">
        <v>1.0</v>
      </c>
      <c r="HK6" s="40">
        <f t="shared" ref="HK6:HK49" si="73">if(HG6=0,HI6,HI6*HJ6)</f>
        <v>5</v>
      </c>
      <c r="HL6" s="7"/>
      <c r="HM6" s="7"/>
      <c r="HN6" s="7"/>
      <c r="HO6" s="7">
        <f t="shared" ref="HO6:HO49" si="74"> if( HL6=1, if( HM6=1, if( HN6=1, 5, 3), if( HN6=1, 1, -3 ) ), if(HM6=1,if(HN6=1, -1, -2 ), if(HN6=1, 7, 0 ) ) )</f>
        <v>0</v>
      </c>
      <c r="HP6" s="7">
        <v>1.0</v>
      </c>
      <c r="HQ6" s="40">
        <f t="shared" ref="HQ6:HQ49" si="75">if(HM6=0,HO6,HO6*HP6)</f>
        <v>0</v>
      </c>
      <c r="HR6" s="7"/>
      <c r="HS6" s="7"/>
      <c r="HT6" s="7"/>
      <c r="HU6" s="7">
        <f t="shared" ref="HU6:HU49" si="76"> if( HR6=1, if( HS6=1, if( HT6=1, 5, 3), if( HT6=1, 1, -3 ) ), if(HS6=1,if(HT6=1, -1, -2 ), if(HT6=1, 7, 0 ) ) )</f>
        <v>0</v>
      </c>
      <c r="HV6" s="7">
        <v>1.0</v>
      </c>
      <c r="HW6" s="40">
        <f t="shared" ref="HW6:HW49" si="77">if(HS6=0,HU6,HU6*HV6)</f>
        <v>0</v>
      </c>
      <c r="HX6" s="7"/>
      <c r="HY6" s="7"/>
      <c r="HZ6" s="7"/>
      <c r="IA6" s="7">
        <f t="shared" ref="IA6:IA49" si="78"> if( HX6=1, if( HY6=1, if( HZ6=1, 5, 3), if( HZ6=1, 1, -3 ) ), if(HY6=1,if(HZ6=1, -1, -2 ), if(HZ6=1, 7, 0 ) ) )</f>
        <v>0</v>
      </c>
      <c r="IB6" s="7">
        <v>1.0</v>
      </c>
      <c r="IC6" s="40">
        <f t="shared" ref="IC6:IC49" si="79">if(HY6=0,IA6,IA6*IB6)</f>
        <v>0</v>
      </c>
      <c r="ID6" s="7"/>
      <c r="IE6" s="7"/>
      <c r="IF6" s="7"/>
      <c r="IG6" s="7">
        <f t="shared" ref="IG6:IG49" si="80"> if( ID6=1, if( IE6=1, if( IF6=1, 5, 3), if( IF6=1, 1, -3 ) ), if(IE6=1,if(IF6=1, -1, -2 ), if(IF6=1, 7, 0 ) ) )</f>
        <v>0</v>
      </c>
      <c r="IH6" s="7">
        <v>1.0</v>
      </c>
      <c r="II6" s="40">
        <f t="shared" ref="II6:II49" si="81">if(IE6=0,IG6,IG6*IH6)</f>
        <v>0</v>
      </c>
      <c r="IJ6" s="7"/>
      <c r="IK6" s="7"/>
      <c r="IL6" s="7"/>
      <c r="IM6" s="7">
        <f t="shared" ref="IM6:IM49" si="82"> if( IJ6=1, if( IK6=1, if( IL6=1, 5, 3), if( IL6=1, 1, -3 ) ), if(IK6=1,if(IL6=1, -1, -2 ), if(IL6=1, 7, 0 ) ) )</f>
        <v>0</v>
      </c>
      <c r="IN6" s="7">
        <v>1.0</v>
      </c>
      <c r="IO6" s="40">
        <f t="shared" ref="IO6:IO49" si="83">if(IK6=0,IM6,IM6*IN6)</f>
        <v>0</v>
      </c>
    </row>
    <row r="7">
      <c r="A7" s="36" t="s">
        <v>35</v>
      </c>
      <c r="B7" s="23" t="s">
        <v>43</v>
      </c>
      <c r="C7" s="1">
        <f t="shared" si="1"/>
        <v>2</v>
      </c>
      <c r="D7" s="15">
        <f>VLOOKUP(A7,TDP!A:C,3,FALSE)</f>
        <v>0.41</v>
      </c>
      <c r="E7" s="38">
        <f t="shared" si="2"/>
        <v>197.4</v>
      </c>
      <c r="F7" s="7">
        <v>1.0</v>
      </c>
      <c r="G7" s="39">
        <f t="shared" si="3"/>
        <v>7</v>
      </c>
      <c r="H7" s="7">
        <v>1.0</v>
      </c>
      <c r="I7" s="7">
        <v>1.0</v>
      </c>
      <c r="J7" s="7">
        <v>1.0</v>
      </c>
      <c r="K7" s="7">
        <f t="shared" si="4"/>
        <v>5</v>
      </c>
      <c r="L7" s="7">
        <v>1.0</v>
      </c>
      <c r="M7" s="45">
        <f t="shared" si="5"/>
        <v>5</v>
      </c>
      <c r="N7" s="41"/>
      <c r="O7" s="41"/>
      <c r="P7" s="41"/>
      <c r="Q7" s="42">
        <f t="shared" si="6"/>
        <v>0</v>
      </c>
      <c r="R7" s="41"/>
      <c r="S7" s="41"/>
      <c r="T7" s="41"/>
      <c r="U7" s="42">
        <f t="shared" si="7"/>
        <v>0</v>
      </c>
      <c r="V7" s="7">
        <v>1.0</v>
      </c>
      <c r="W7" s="7">
        <v>1.0</v>
      </c>
      <c r="X7" s="7">
        <v>1.0</v>
      </c>
      <c r="Y7" s="7">
        <f t="shared" si="8"/>
        <v>5</v>
      </c>
      <c r="Z7" s="7">
        <v>1.0</v>
      </c>
      <c r="AA7" s="45">
        <f t="shared" si="9"/>
        <v>5</v>
      </c>
      <c r="AB7" s="7">
        <v>1.0</v>
      </c>
      <c r="AC7" s="7">
        <v>1.0</v>
      </c>
      <c r="AD7" s="7">
        <v>1.0</v>
      </c>
      <c r="AE7" s="7">
        <f t="shared" si="10"/>
        <v>5</v>
      </c>
      <c r="AF7" s="7">
        <v>1.0</v>
      </c>
      <c r="AG7" s="45">
        <f t="shared" si="11"/>
        <v>5</v>
      </c>
      <c r="AH7" s="7">
        <v>1.0</v>
      </c>
      <c r="AI7" s="7">
        <v>1.0</v>
      </c>
      <c r="AJ7" s="7">
        <v>1.0</v>
      </c>
      <c r="AK7" s="7">
        <f t="shared" si="12"/>
        <v>5</v>
      </c>
      <c r="AL7" s="7">
        <v>1.0</v>
      </c>
      <c r="AM7" s="45">
        <f t="shared" si="13"/>
        <v>5</v>
      </c>
      <c r="AN7" s="7">
        <v>1.0</v>
      </c>
      <c r="AO7" s="7">
        <v>1.0</v>
      </c>
      <c r="AP7" s="7">
        <v>1.0</v>
      </c>
      <c r="AQ7" s="7">
        <f t="shared" si="14"/>
        <v>5</v>
      </c>
      <c r="AR7" s="7">
        <v>1.0</v>
      </c>
      <c r="AS7" s="45">
        <f t="shared" si="15"/>
        <v>5</v>
      </c>
      <c r="AT7" s="7">
        <v>1.0</v>
      </c>
      <c r="AU7" s="7">
        <v>1.0</v>
      </c>
      <c r="AV7" s="7">
        <v>1.0</v>
      </c>
      <c r="AW7" s="7">
        <f t="shared" si="16"/>
        <v>5</v>
      </c>
      <c r="AX7" s="7">
        <v>1.0</v>
      </c>
      <c r="AY7" s="45">
        <f t="shared" si="17"/>
        <v>5</v>
      </c>
      <c r="AZ7" s="7">
        <v>1.0</v>
      </c>
      <c r="BA7" s="7">
        <v>1.0</v>
      </c>
      <c r="BB7" s="7">
        <v>1.0</v>
      </c>
      <c r="BC7" s="7">
        <f t="shared" si="18"/>
        <v>5</v>
      </c>
      <c r="BD7" s="7">
        <v>1.0</v>
      </c>
      <c r="BE7" s="45">
        <f t="shared" si="19"/>
        <v>5</v>
      </c>
      <c r="BF7" s="7">
        <v>1.0</v>
      </c>
      <c r="BG7" s="7">
        <v>1.0</v>
      </c>
      <c r="BH7" s="7">
        <v>1.0</v>
      </c>
      <c r="BI7" s="7">
        <f t="shared" si="20"/>
        <v>5</v>
      </c>
      <c r="BJ7" s="7">
        <v>1.0</v>
      </c>
      <c r="BK7" s="45">
        <f t="shared" si="21"/>
        <v>5</v>
      </c>
      <c r="BL7" s="7">
        <v>1.0</v>
      </c>
      <c r="BM7" s="7">
        <v>1.0</v>
      </c>
      <c r="BN7" s="7">
        <v>1.0</v>
      </c>
      <c r="BO7" s="7">
        <f t="shared" si="22"/>
        <v>5</v>
      </c>
      <c r="BP7" s="7">
        <v>1.0</v>
      </c>
      <c r="BQ7" s="45">
        <f t="shared" si="23"/>
        <v>5</v>
      </c>
      <c r="BR7" s="7">
        <v>1.0</v>
      </c>
      <c r="BS7" s="7">
        <v>1.0</v>
      </c>
      <c r="BT7" s="7">
        <v>1.0</v>
      </c>
      <c r="BU7" s="7">
        <f t="shared" si="24"/>
        <v>5</v>
      </c>
      <c r="BV7" s="7">
        <v>1.0</v>
      </c>
      <c r="BW7" s="45">
        <f t="shared" si="25"/>
        <v>5</v>
      </c>
      <c r="BX7" s="7">
        <v>1.0</v>
      </c>
      <c r="BY7" s="7">
        <v>1.0</v>
      </c>
      <c r="BZ7" s="7">
        <v>1.0</v>
      </c>
      <c r="CA7" s="7">
        <f t="shared" si="26"/>
        <v>5</v>
      </c>
      <c r="CB7" s="7">
        <v>1.0</v>
      </c>
      <c r="CC7" s="45">
        <f t="shared" si="27"/>
        <v>5</v>
      </c>
      <c r="CD7" s="7">
        <v>1.0</v>
      </c>
      <c r="CE7" s="7">
        <v>1.0</v>
      </c>
      <c r="CF7" s="7">
        <v>1.0</v>
      </c>
      <c r="CG7" s="7">
        <f t="shared" si="28"/>
        <v>5</v>
      </c>
      <c r="CH7" s="7">
        <v>1.0</v>
      </c>
      <c r="CI7" s="45">
        <f t="shared" si="29"/>
        <v>5</v>
      </c>
      <c r="CJ7" s="7">
        <v>1.0</v>
      </c>
      <c r="CK7" s="7">
        <v>1.0</v>
      </c>
      <c r="CL7" s="7">
        <v>1.0</v>
      </c>
      <c r="CM7" s="7">
        <f t="shared" si="30"/>
        <v>5</v>
      </c>
      <c r="CN7" s="7">
        <v>1.0</v>
      </c>
      <c r="CO7" s="45">
        <f t="shared" si="31"/>
        <v>5</v>
      </c>
      <c r="CP7" s="7">
        <v>1.0</v>
      </c>
      <c r="CQ7" s="7">
        <v>1.0</v>
      </c>
      <c r="CR7" s="7">
        <v>1.0</v>
      </c>
      <c r="CS7" s="7">
        <f t="shared" si="32"/>
        <v>5</v>
      </c>
      <c r="CT7" s="7">
        <v>1.0</v>
      </c>
      <c r="CU7" s="45">
        <f t="shared" si="33"/>
        <v>5</v>
      </c>
      <c r="CV7" s="7">
        <v>1.0</v>
      </c>
      <c r="CW7" s="7">
        <v>1.0</v>
      </c>
      <c r="CX7" s="7">
        <v>1.0</v>
      </c>
      <c r="CY7" s="7">
        <f t="shared" si="34"/>
        <v>5</v>
      </c>
      <c r="CZ7" s="7">
        <v>1.0</v>
      </c>
      <c r="DA7" s="45">
        <f t="shared" si="35"/>
        <v>5</v>
      </c>
      <c r="DB7" s="7">
        <v>1.0</v>
      </c>
      <c r="DC7" s="7">
        <v>1.0</v>
      </c>
      <c r="DD7" s="7">
        <v>1.0</v>
      </c>
      <c r="DE7" s="7">
        <f t="shared" si="36"/>
        <v>5</v>
      </c>
      <c r="DF7" s="7">
        <v>1.0</v>
      </c>
      <c r="DG7" s="45">
        <f t="shared" si="37"/>
        <v>5</v>
      </c>
      <c r="DH7" s="7"/>
      <c r="DI7" s="7"/>
      <c r="DJ7" s="7"/>
      <c r="DK7" s="7">
        <f t="shared" si="38"/>
        <v>0</v>
      </c>
      <c r="DL7" s="7"/>
      <c r="DM7" s="45">
        <f t="shared" si="39"/>
        <v>0</v>
      </c>
      <c r="DN7" s="7"/>
      <c r="DO7" s="7"/>
      <c r="DP7" s="7"/>
      <c r="DQ7" s="7">
        <f t="shared" si="40"/>
        <v>0</v>
      </c>
      <c r="DR7" s="7">
        <v>1.0</v>
      </c>
      <c r="DS7" s="45">
        <f t="shared" si="41"/>
        <v>0</v>
      </c>
      <c r="DT7" s="7"/>
      <c r="DU7" s="7"/>
      <c r="DV7" s="7"/>
      <c r="DW7" s="7">
        <f t="shared" si="42"/>
        <v>0</v>
      </c>
      <c r="DX7" s="7">
        <v>1.0</v>
      </c>
      <c r="DY7" s="45">
        <f t="shared" si="43"/>
        <v>0</v>
      </c>
      <c r="DZ7" s="7">
        <v>1.0</v>
      </c>
      <c r="EA7" s="7">
        <v>1.0</v>
      </c>
      <c r="EB7" s="7"/>
      <c r="EC7" s="7">
        <f t="shared" si="44"/>
        <v>3</v>
      </c>
      <c r="ED7" s="7">
        <v>1.0</v>
      </c>
      <c r="EE7" s="45">
        <f t="shared" si="45"/>
        <v>3</v>
      </c>
      <c r="EF7" s="7">
        <v>1.0</v>
      </c>
      <c r="EG7" s="7">
        <v>1.0</v>
      </c>
      <c r="EH7" s="7">
        <v>1.0</v>
      </c>
      <c r="EI7" s="7">
        <f t="shared" si="46"/>
        <v>5</v>
      </c>
      <c r="EJ7" s="7">
        <v>1.0</v>
      </c>
      <c r="EK7" s="45">
        <f t="shared" si="47"/>
        <v>5</v>
      </c>
      <c r="EL7" s="7">
        <v>1.0</v>
      </c>
      <c r="EM7" s="7">
        <v>1.0</v>
      </c>
      <c r="EN7" s="7">
        <v>1.0</v>
      </c>
      <c r="EO7" s="7">
        <f t="shared" si="48"/>
        <v>5</v>
      </c>
      <c r="EP7" s="7">
        <v>1.0</v>
      </c>
      <c r="EQ7" s="45">
        <f t="shared" si="49"/>
        <v>5</v>
      </c>
      <c r="ER7" s="7">
        <v>1.0</v>
      </c>
      <c r="ES7" s="7">
        <v>1.0</v>
      </c>
      <c r="ET7" s="7">
        <v>1.0</v>
      </c>
      <c r="EU7" s="7">
        <f t="shared" si="50"/>
        <v>5</v>
      </c>
      <c r="EV7" s="7">
        <v>1.0</v>
      </c>
      <c r="EW7" s="45">
        <f t="shared" si="51"/>
        <v>5</v>
      </c>
      <c r="EX7" s="7">
        <v>1.0</v>
      </c>
      <c r="EY7" s="7">
        <v>1.0</v>
      </c>
      <c r="EZ7" s="7">
        <v>1.0</v>
      </c>
      <c r="FA7" s="7">
        <f t="shared" si="52"/>
        <v>5</v>
      </c>
      <c r="FB7" s="7">
        <v>1.0</v>
      </c>
      <c r="FC7" s="45">
        <f t="shared" si="53"/>
        <v>5</v>
      </c>
      <c r="FD7" s="41"/>
      <c r="FE7" s="41"/>
      <c r="FF7" s="41"/>
      <c r="FG7" s="41">
        <f t="shared" si="54"/>
        <v>0</v>
      </c>
      <c r="FH7" s="41">
        <v>1.0</v>
      </c>
      <c r="FI7" s="42">
        <f t="shared" si="55"/>
        <v>0</v>
      </c>
      <c r="FJ7" s="41"/>
      <c r="FK7" s="41"/>
      <c r="FL7" s="41"/>
      <c r="FM7" s="41">
        <f t="shared" si="56"/>
        <v>0</v>
      </c>
      <c r="FN7" s="41">
        <v>1.0</v>
      </c>
      <c r="FO7" s="42">
        <f t="shared" si="57"/>
        <v>0</v>
      </c>
      <c r="FP7" s="7">
        <v>1.0</v>
      </c>
      <c r="FQ7" s="7">
        <v>1.0</v>
      </c>
      <c r="FR7" s="7">
        <v>1.0</v>
      </c>
      <c r="FS7" s="7">
        <f t="shared" si="58"/>
        <v>5</v>
      </c>
      <c r="FT7" s="7">
        <v>1.0</v>
      </c>
      <c r="FU7" s="45">
        <f t="shared" si="59"/>
        <v>5</v>
      </c>
      <c r="FV7" s="7">
        <v>1.0</v>
      </c>
      <c r="FW7" s="7">
        <v>1.0</v>
      </c>
      <c r="FX7" s="7">
        <v>1.0</v>
      </c>
      <c r="FY7" s="7">
        <f t="shared" si="60"/>
        <v>5</v>
      </c>
      <c r="FZ7" s="7">
        <v>1.0</v>
      </c>
      <c r="GA7" s="45">
        <f t="shared" si="61"/>
        <v>5</v>
      </c>
      <c r="GB7" s="7">
        <v>1.0</v>
      </c>
      <c r="GC7" s="7">
        <v>1.0</v>
      </c>
      <c r="GD7" s="7">
        <v>1.0</v>
      </c>
      <c r="GE7" s="7">
        <f t="shared" si="62"/>
        <v>5</v>
      </c>
      <c r="GF7" s="7">
        <v>1.0</v>
      </c>
      <c r="GG7" s="45">
        <f t="shared" si="63"/>
        <v>5</v>
      </c>
      <c r="GH7" s="7">
        <v>1.0</v>
      </c>
      <c r="GI7" s="7">
        <v>1.0</v>
      </c>
      <c r="GJ7" s="7">
        <v>1.0</v>
      </c>
      <c r="GK7" s="7">
        <f t="shared" si="64"/>
        <v>5</v>
      </c>
      <c r="GL7" s="7">
        <v>1.0</v>
      </c>
      <c r="GM7" s="45">
        <f t="shared" si="65"/>
        <v>5</v>
      </c>
      <c r="GN7" s="41"/>
      <c r="GO7" s="41"/>
      <c r="GP7" s="41"/>
      <c r="GQ7" s="41">
        <f t="shared" si="66"/>
        <v>0</v>
      </c>
      <c r="GR7" s="41">
        <v>1.0</v>
      </c>
      <c r="GS7" s="42">
        <f t="shared" si="67"/>
        <v>0</v>
      </c>
      <c r="GT7" s="7">
        <v>1.0</v>
      </c>
      <c r="GU7" s="7">
        <v>1.0</v>
      </c>
      <c r="GV7" s="7">
        <v>1.0</v>
      </c>
      <c r="GW7" s="7">
        <f t="shared" si="68"/>
        <v>5</v>
      </c>
      <c r="GX7" s="7">
        <v>1.0</v>
      </c>
      <c r="GY7" s="45">
        <f t="shared" si="69"/>
        <v>5</v>
      </c>
      <c r="GZ7" s="7"/>
      <c r="HA7" s="7"/>
      <c r="HB7" s="7"/>
      <c r="HC7" s="7">
        <f t="shared" si="70"/>
        <v>0</v>
      </c>
      <c r="HD7" s="7">
        <v>1.0</v>
      </c>
      <c r="HE7" s="45">
        <f t="shared" si="71"/>
        <v>0</v>
      </c>
      <c r="HF7" s="7">
        <v>1.0</v>
      </c>
      <c r="HG7" s="7">
        <v>1.0</v>
      </c>
      <c r="HH7" s="7">
        <v>1.0</v>
      </c>
      <c r="HI7" s="7">
        <f t="shared" si="72"/>
        <v>5</v>
      </c>
      <c r="HJ7" s="7">
        <v>1.0</v>
      </c>
      <c r="HK7" s="45">
        <f t="shared" si="73"/>
        <v>5</v>
      </c>
      <c r="HL7" s="7"/>
      <c r="HM7" s="7"/>
      <c r="HN7" s="7"/>
      <c r="HO7" s="7">
        <f t="shared" si="74"/>
        <v>0</v>
      </c>
      <c r="HP7" s="7">
        <v>1.0</v>
      </c>
      <c r="HQ7" s="45">
        <f t="shared" si="75"/>
        <v>0</v>
      </c>
      <c r="HR7" s="7"/>
      <c r="HS7" s="7"/>
      <c r="HT7" s="7"/>
      <c r="HU7" s="7">
        <f t="shared" si="76"/>
        <v>0</v>
      </c>
      <c r="HV7" s="7">
        <v>1.0</v>
      </c>
      <c r="HW7" s="45">
        <f t="shared" si="77"/>
        <v>0</v>
      </c>
      <c r="HX7" s="7"/>
      <c r="HY7" s="7"/>
      <c r="HZ7" s="7"/>
      <c r="IA7" s="7">
        <f t="shared" si="78"/>
        <v>0</v>
      </c>
      <c r="IB7" s="7">
        <v>1.0</v>
      </c>
      <c r="IC7" s="45">
        <f t="shared" si="79"/>
        <v>0</v>
      </c>
      <c r="ID7" s="7"/>
      <c r="IE7" s="7"/>
      <c r="IF7" s="7"/>
      <c r="IG7" s="7">
        <f t="shared" si="80"/>
        <v>0</v>
      </c>
      <c r="IH7" s="7">
        <v>1.0</v>
      </c>
      <c r="II7" s="45">
        <f t="shared" si="81"/>
        <v>0</v>
      </c>
      <c r="IJ7" s="7"/>
      <c r="IK7" s="7"/>
      <c r="IL7" s="7"/>
      <c r="IM7" s="7">
        <f t="shared" si="82"/>
        <v>0</v>
      </c>
      <c r="IN7" s="7">
        <v>1.0</v>
      </c>
      <c r="IO7" s="45">
        <f t="shared" si="83"/>
        <v>0</v>
      </c>
    </row>
    <row r="8">
      <c r="A8" s="62" t="s">
        <v>12</v>
      </c>
      <c r="B8" s="7" t="s">
        <v>13</v>
      </c>
      <c r="C8" s="1">
        <f t="shared" si="1"/>
        <v>3</v>
      </c>
      <c r="D8" s="15">
        <f>VLOOKUP(A8,TDP!A:C,3,FALSE)</f>
        <v>0.56</v>
      </c>
      <c r="E8" s="38">
        <f t="shared" si="2"/>
        <v>163.8</v>
      </c>
      <c r="F8" s="7">
        <v>1.0</v>
      </c>
      <c r="G8" s="39">
        <f t="shared" si="3"/>
        <v>7</v>
      </c>
      <c r="H8" s="7"/>
      <c r="I8" s="7"/>
      <c r="J8" s="7">
        <v>1.0</v>
      </c>
      <c r="K8" s="7">
        <f t="shared" si="4"/>
        <v>7</v>
      </c>
      <c r="L8" s="7"/>
      <c r="M8" s="45">
        <f t="shared" si="5"/>
        <v>7</v>
      </c>
      <c r="N8" s="41"/>
      <c r="O8" s="41"/>
      <c r="P8" s="41"/>
      <c r="Q8" s="42">
        <f t="shared" si="6"/>
        <v>0</v>
      </c>
      <c r="R8" s="41"/>
      <c r="S8" s="41"/>
      <c r="T8" s="41"/>
      <c r="U8" s="42">
        <f t="shared" si="7"/>
        <v>0</v>
      </c>
      <c r="V8" s="7">
        <v>1.0</v>
      </c>
      <c r="W8" s="7">
        <v>1.0</v>
      </c>
      <c r="X8" s="7"/>
      <c r="Y8" s="7">
        <f t="shared" si="8"/>
        <v>3</v>
      </c>
      <c r="Z8" s="7">
        <v>1.0</v>
      </c>
      <c r="AA8" s="45">
        <f t="shared" si="9"/>
        <v>3</v>
      </c>
      <c r="AB8" s="7">
        <v>1.0</v>
      </c>
      <c r="AC8" s="7">
        <v>1.0</v>
      </c>
      <c r="AD8" s="7">
        <v>1.0</v>
      </c>
      <c r="AE8" s="7">
        <f t="shared" si="10"/>
        <v>5</v>
      </c>
      <c r="AF8" s="7">
        <v>1.0</v>
      </c>
      <c r="AG8" s="45">
        <f t="shared" si="11"/>
        <v>5</v>
      </c>
      <c r="AH8" s="7"/>
      <c r="AI8" s="7"/>
      <c r="AJ8" s="7"/>
      <c r="AK8" s="7">
        <f t="shared" si="12"/>
        <v>0</v>
      </c>
      <c r="AL8" s="7"/>
      <c r="AM8" s="45">
        <f t="shared" si="13"/>
        <v>0</v>
      </c>
      <c r="AN8" s="7">
        <v>1.0</v>
      </c>
      <c r="AO8" s="7">
        <v>1.0</v>
      </c>
      <c r="AP8" s="7">
        <v>1.0</v>
      </c>
      <c r="AQ8" s="7">
        <f t="shared" si="14"/>
        <v>5</v>
      </c>
      <c r="AR8" s="7">
        <v>1.0</v>
      </c>
      <c r="AS8" s="45">
        <f t="shared" si="15"/>
        <v>5</v>
      </c>
      <c r="AT8" s="7">
        <v>1.0</v>
      </c>
      <c r="AU8" s="7">
        <v>1.0</v>
      </c>
      <c r="AV8" s="7"/>
      <c r="AW8" s="7">
        <f t="shared" si="16"/>
        <v>3</v>
      </c>
      <c r="AX8" s="7">
        <v>1.0</v>
      </c>
      <c r="AY8" s="45">
        <f t="shared" si="17"/>
        <v>3</v>
      </c>
      <c r="AZ8" s="7">
        <v>1.0</v>
      </c>
      <c r="BA8" s="7">
        <v>1.0</v>
      </c>
      <c r="BB8" s="7">
        <v>1.0</v>
      </c>
      <c r="BC8" s="7">
        <f t="shared" si="18"/>
        <v>5</v>
      </c>
      <c r="BD8" s="7">
        <v>1.0</v>
      </c>
      <c r="BE8" s="45">
        <f t="shared" si="19"/>
        <v>5</v>
      </c>
      <c r="BF8" s="7"/>
      <c r="BG8" s="7"/>
      <c r="BH8" s="7"/>
      <c r="BI8" s="7">
        <f t="shared" si="20"/>
        <v>0</v>
      </c>
      <c r="BJ8" s="7"/>
      <c r="BK8" s="45">
        <f t="shared" si="21"/>
        <v>0</v>
      </c>
      <c r="BL8" s="7">
        <v>1.0</v>
      </c>
      <c r="BM8" s="7">
        <v>1.0</v>
      </c>
      <c r="BN8" s="7"/>
      <c r="BO8" s="7">
        <f t="shared" si="22"/>
        <v>3</v>
      </c>
      <c r="BP8" s="7">
        <v>1.0</v>
      </c>
      <c r="BQ8" s="45">
        <f t="shared" si="23"/>
        <v>3</v>
      </c>
      <c r="BR8" s="7">
        <v>1.0</v>
      </c>
      <c r="BS8" s="7">
        <v>1.0</v>
      </c>
      <c r="BT8" s="7">
        <v>1.0</v>
      </c>
      <c r="BU8" s="7">
        <f t="shared" si="24"/>
        <v>5</v>
      </c>
      <c r="BV8" s="7">
        <v>1.0</v>
      </c>
      <c r="BW8" s="45">
        <f t="shared" si="25"/>
        <v>5</v>
      </c>
      <c r="BX8" s="7">
        <v>1.0</v>
      </c>
      <c r="BY8" s="7">
        <v>1.0</v>
      </c>
      <c r="BZ8" s="7">
        <v>1.0</v>
      </c>
      <c r="CA8" s="7">
        <f t="shared" si="26"/>
        <v>5</v>
      </c>
      <c r="CB8" s="7">
        <v>1.0</v>
      </c>
      <c r="CC8" s="45">
        <f t="shared" si="27"/>
        <v>5</v>
      </c>
      <c r="CD8" s="7"/>
      <c r="CE8" s="7"/>
      <c r="CF8" s="7"/>
      <c r="CG8" s="7">
        <f t="shared" si="28"/>
        <v>0</v>
      </c>
      <c r="CH8" s="7"/>
      <c r="CI8" s="45">
        <f t="shared" si="29"/>
        <v>0</v>
      </c>
      <c r="CJ8" s="7"/>
      <c r="CK8" s="7"/>
      <c r="CL8" s="7"/>
      <c r="CM8" s="7">
        <f t="shared" si="30"/>
        <v>0</v>
      </c>
      <c r="CN8" s="7"/>
      <c r="CO8" s="45">
        <f t="shared" si="31"/>
        <v>0</v>
      </c>
      <c r="CP8" s="7"/>
      <c r="CQ8" s="7"/>
      <c r="CR8" s="7"/>
      <c r="CS8" s="7">
        <f t="shared" si="32"/>
        <v>0</v>
      </c>
      <c r="CT8" s="7"/>
      <c r="CU8" s="45">
        <f t="shared" si="33"/>
        <v>0</v>
      </c>
      <c r="CV8" s="7"/>
      <c r="CW8" s="7"/>
      <c r="CX8" s="7"/>
      <c r="CY8" s="7">
        <f t="shared" si="34"/>
        <v>0</v>
      </c>
      <c r="CZ8" s="7">
        <v>1.0</v>
      </c>
      <c r="DA8" s="45">
        <f t="shared" si="35"/>
        <v>0</v>
      </c>
      <c r="DB8" s="7">
        <v>1.0</v>
      </c>
      <c r="DC8" s="7">
        <v>1.0</v>
      </c>
      <c r="DD8" s="7">
        <v>1.0</v>
      </c>
      <c r="DE8" s="7">
        <f t="shared" si="36"/>
        <v>5</v>
      </c>
      <c r="DF8" s="7">
        <v>1.0</v>
      </c>
      <c r="DG8" s="45">
        <f t="shared" si="37"/>
        <v>5</v>
      </c>
      <c r="DH8" s="7">
        <v>1.0</v>
      </c>
      <c r="DI8" s="7">
        <v>1.0</v>
      </c>
      <c r="DJ8" s="7"/>
      <c r="DK8" s="7">
        <f t="shared" si="38"/>
        <v>3</v>
      </c>
      <c r="DL8" s="7">
        <v>1.0</v>
      </c>
      <c r="DM8" s="45">
        <f t="shared" si="39"/>
        <v>3</v>
      </c>
      <c r="DN8" s="7">
        <v>1.0</v>
      </c>
      <c r="DO8" s="7">
        <v>1.0</v>
      </c>
      <c r="DP8" s="7">
        <v>1.0</v>
      </c>
      <c r="DQ8" s="7">
        <f t="shared" si="40"/>
        <v>5</v>
      </c>
      <c r="DR8" s="7">
        <v>1.0</v>
      </c>
      <c r="DS8" s="45">
        <f t="shared" si="41"/>
        <v>5</v>
      </c>
      <c r="DT8" s="7">
        <v>1.0</v>
      </c>
      <c r="DU8" s="7">
        <v>1.0</v>
      </c>
      <c r="DV8" s="7">
        <v>1.0</v>
      </c>
      <c r="DW8" s="7">
        <f t="shared" si="42"/>
        <v>5</v>
      </c>
      <c r="DX8" s="7">
        <v>1.0</v>
      </c>
      <c r="DY8" s="45">
        <f t="shared" si="43"/>
        <v>5</v>
      </c>
      <c r="DZ8" s="7"/>
      <c r="EA8" s="7"/>
      <c r="EB8" s="7"/>
      <c r="EC8" s="7">
        <f t="shared" si="44"/>
        <v>0</v>
      </c>
      <c r="ED8" s="7">
        <v>1.0</v>
      </c>
      <c r="EE8" s="45">
        <f t="shared" si="45"/>
        <v>0</v>
      </c>
      <c r="EF8" s="7">
        <v>1.0</v>
      </c>
      <c r="EG8" s="7">
        <v>1.0</v>
      </c>
      <c r="EH8" s="7">
        <v>1.0</v>
      </c>
      <c r="EI8" s="7">
        <f t="shared" si="46"/>
        <v>5</v>
      </c>
      <c r="EJ8" s="7">
        <v>1.0</v>
      </c>
      <c r="EK8" s="45">
        <f t="shared" si="47"/>
        <v>5</v>
      </c>
      <c r="EL8" s="7"/>
      <c r="EM8" s="7"/>
      <c r="EN8" s="7"/>
      <c r="EO8" s="7">
        <f t="shared" si="48"/>
        <v>0</v>
      </c>
      <c r="EP8" s="7">
        <v>1.0</v>
      </c>
      <c r="EQ8" s="45">
        <f t="shared" si="49"/>
        <v>0</v>
      </c>
      <c r="ER8" s="7">
        <v>1.0</v>
      </c>
      <c r="ES8" s="7">
        <v>1.0</v>
      </c>
      <c r="ET8" s="7">
        <v>1.0</v>
      </c>
      <c r="EU8" s="7">
        <f t="shared" si="50"/>
        <v>5</v>
      </c>
      <c r="EV8" s="7">
        <v>1.0</v>
      </c>
      <c r="EW8" s="45">
        <f t="shared" si="51"/>
        <v>5</v>
      </c>
      <c r="EX8" s="7"/>
      <c r="EY8" s="7"/>
      <c r="EZ8" s="7"/>
      <c r="FA8" s="7">
        <f t="shared" si="52"/>
        <v>0</v>
      </c>
      <c r="FB8" s="7">
        <v>1.0</v>
      </c>
      <c r="FC8" s="45">
        <f t="shared" si="53"/>
        <v>0</v>
      </c>
      <c r="FD8" s="41"/>
      <c r="FE8" s="41"/>
      <c r="FF8" s="41"/>
      <c r="FG8" s="41">
        <f t="shared" si="54"/>
        <v>0</v>
      </c>
      <c r="FH8" s="41">
        <v>1.0</v>
      </c>
      <c r="FI8" s="42">
        <f t="shared" si="55"/>
        <v>0</v>
      </c>
      <c r="FJ8" s="41"/>
      <c r="FK8" s="41"/>
      <c r="FL8" s="41"/>
      <c r="FM8" s="41">
        <f t="shared" si="56"/>
        <v>0</v>
      </c>
      <c r="FN8" s="41">
        <v>1.0</v>
      </c>
      <c r="FO8" s="42">
        <f t="shared" si="57"/>
        <v>0</v>
      </c>
      <c r="FP8" s="7">
        <v>1.0</v>
      </c>
      <c r="FQ8" s="7">
        <v>1.0</v>
      </c>
      <c r="FR8" s="7"/>
      <c r="FS8" s="7">
        <f t="shared" si="58"/>
        <v>3</v>
      </c>
      <c r="FT8" s="7">
        <v>1.0</v>
      </c>
      <c r="FU8" s="45">
        <f t="shared" si="59"/>
        <v>3</v>
      </c>
      <c r="FV8" s="7">
        <v>1.0</v>
      </c>
      <c r="FW8" s="7">
        <v>1.0</v>
      </c>
      <c r="FX8" s="7"/>
      <c r="FY8" s="7">
        <f t="shared" si="60"/>
        <v>3</v>
      </c>
      <c r="FZ8" s="7">
        <v>1.0</v>
      </c>
      <c r="GA8" s="45">
        <f t="shared" si="61"/>
        <v>3</v>
      </c>
      <c r="GB8" s="7">
        <v>1.0</v>
      </c>
      <c r="GC8" s="7">
        <v>1.0</v>
      </c>
      <c r="GD8" s="7"/>
      <c r="GE8" s="7">
        <f t="shared" si="62"/>
        <v>3</v>
      </c>
      <c r="GF8" s="7">
        <v>1.0</v>
      </c>
      <c r="GG8" s="45">
        <f t="shared" si="63"/>
        <v>3</v>
      </c>
      <c r="GH8" s="7">
        <v>1.0</v>
      </c>
      <c r="GI8" s="7">
        <v>1.0</v>
      </c>
      <c r="GJ8" s="7">
        <v>1.0</v>
      </c>
      <c r="GK8" s="7">
        <f t="shared" si="64"/>
        <v>5</v>
      </c>
      <c r="GL8" s="7">
        <v>1.0</v>
      </c>
      <c r="GM8" s="45">
        <f t="shared" si="65"/>
        <v>5</v>
      </c>
      <c r="GN8" s="41"/>
      <c r="GO8" s="41"/>
      <c r="GP8" s="41"/>
      <c r="GQ8" s="41">
        <f t="shared" si="66"/>
        <v>0</v>
      </c>
      <c r="GR8" s="41">
        <v>1.0</v>
      </c>
      <c r="GS8" s="42">
        <f t="shared" si="67"/>
        <v>0</v>
      </c>
      <c r="GT8" s="7">
        <v>1.0</v>
      </c>
      <c r="GU8" s="7">
        <v>1.0</v>
      </c>
      <c r="GV8" s="7">
        <v>1.0</v>
      </c>
      <c r="GW8" s="7">
        <f t="shared" si="68"/>
        <v>5</v>
      </c>
      <c r="GX8" s="7">
        <v>1.0</v>
      </c>
      <c r="GY8" s="45">
        <f t="shared" si="69"/>
        <v>5</v>
      </c>
      <c r="GZ8" s="7">
        <v>1.0</v>
      </c>
      <c r="HA8" s="7">
        <v>1.0</v>
      </c>
      <c r="HB8" s="7">
        <v>1.0</v>
      </c>
      <c r="HC8" s="7">
        <f t="shared" si="70"/>
        <v>5</v>
      </c>
      <c r="HD8" s="7">
        <v>1.0</v>
      </c>
      <c r="HE8" s="45">
        <f t="shared" si="71"/>
        <v>5</v>
      </c>
      <c r="HF8" s="7">
        <v>1.0</v>
      </c>
      <c r="HG8" s="7">
        <v>1.0</v>
      </c>
      <c r="HH8" s="7">
        <v>1.0</v>
      </c>
      <c r="HI8" s="7">
        <f t="shared" si="72"/>
        <v>5</v>
      </c>
      <c r="HJ8" s="7">
        <v>1.0</v>
      </c>
      <c r="HK8" s="45">
        <f t="shared" si="73"/>
        <v>5</v>
      </c>
      <c r="HL8" s="7"/>
      <c r="HM8" s="7"/>
      <c r="HN8" s="7"/>
      <c r="HO8" s="7">
        <f t="shared" si="74"/>
        <v>0</v>
      </c>
      <c r="HP8" s="7">
        <v>1.0</v>
      </c>
      <c r="HQ8" s="45">
        <f t="shared" si="75"/>
        <v>0</v>
      </c>
      <c r="HR8" s="7"/>
      <c r="HS8" s="7"/>
      <c r="HT8" s="7"/>
      <c r="HU8" s="7">
        <f t="shared" si="76"/>
        <v>0</v>
      </c>
      <c r="HV8" s="7">
        <v>1.0</v>
      </c>
      <c r="HW8" s="45">
        <f t="shared" si="77"/>
        <v>0</v>
      </c>
      <c r="HX8" s="7"/>
      <c r="HY8" s="7"/>
      <c r="HZ8" s="7"/>
      <c r="IA8" s="7">
        <f t="shared" si="78"/>
        <v>0</v>
      </c>
      <c r="IB8" s="7">
        <v>1.0</v>
      </c>
      <c r="IC8" s="45">
        <f t="shared" si="79"/>
        <v>0</v>
      </c>
      <c r="ID8" s="7"/>
      <c r="IE8" s="7"/>
      <c r="IF8" s="7"/>
      <c r="IG8" s="7">
        <f t="shared" si="80"/>
        <v>0</v>
      </c>
      <c r="IH8" s="7">
        <v>1.0</v>
      </c>
      <c r="II8" s="45">
        <f t="shared" si="81"/>
        <v>0</v>
      </c>
      <c r="IJ8" s="7"/>
      <c r="IK8" s="7"/>
      <c r="IL8" s="7"/>
      <c r="IM8" s="7">
        <f t="shared" si="82"/>
        <v>0</v>
      </c>
      <c r="IN8" s="7">
        <v>1.0</v>
      </c>
      <c r="IO8" s="45">
        <f t="shared" si="83"/>
        <v>0</v>
      </c>
    </row>
    <row r="9">
      <c r="A9" s="62" t="s">
        <v>26</v>
      </c>
      <c r="B9" s="7" t="s">
        <v>85</v>
      </c>
      <c r="C9" s="1">
        <f t="shared" si="1"/>
        <v>4</v>
      </c>
      <c r="D9" s="15">
        <f>VLOOKUP(A9,TDP!A:C,3,FALSE)</f>
        <v>0.27</v>
      </c>
      <c r="E9" s="38">
        <f t="shared" si="2"/>
        <v>161.29</v>
      </c>
      <c r="F9" s="7">
        <v>1.0</v>
      </c>
      <c r="G9" s="39">
        <f t="shared" si="3"/>
        <v>7</v>
      </c>
      <c r="H9" s="7">
        <v>1.0</v>
      </c>
      <c r="I9" s="7">
        <v>1.0</v>
      </c>
      <c r="J9" s="7">
        <v>1.0</v>
      </c>
      <c r="K9" s="7">
        <f t="shared" si="4"/>
        <v>5</v>
      </c>
      <c r="L9" s="7"/>
      <c r="M9" s="45">
        <f t="shared" si="5"/>
        <v>0</v>
      </c>
      <c r="N9" s="41"/>
      <c r="O9" s="41"/>
      <c r="P9" s="41"/>
      <c r="Q9" s="42">
        <f t="shared" si="6"/>
        <v>0</v>
      </c>
      <c r="R9" s="41"/>
      <c r="S9" s="41"/>
      <c r="T9" s="41"/>
      <c r="U9" s="42">
        <f t="shared" si="7"/>
        <v>0</v>
      </c>
      <c r="V9" s="7"/>
      <c r="W9" s="7"/>
      <c r="X9" s="7">
        <v>1.0</v>
      </c>
      <c r="Y9" s="7">
        <f t="shared" si="8"/>
        <v>7</v>
      </c>
      <c r="Z9" s="7"/>
      <c r="AA9" s="45">
        <f t="shared" si="9"/>
        <v>7</v>
      </c>
      <c r="AB9" s="7"/>
      <c r="AC9" s="7"/>
      <c r="AD9" s="7">
        <v>1.0</v>
      </c>
      <c r="AE9" s="7">
        <f t="shared" si="10"/>
        <v>7</v>
      </c>
      <c r="AF9" s="7"/>
      <c r="AG9" s="45">
        <f t="shared" si="11"/>
        <v>7</v>
      </c>
      <c r="AH9" s="7"/>
      <c r="AI9" s="7"/>
      <c r="AJ9" s="7">
        <v>1.0</v>
      </c>
      <c r="AK9" s="7">
        <f t="shared" si="12"/>
        <v>7</v>
      </c>
      <c r="AL9" s="7"/>
      <c r="AM9" s="45">
        <f t="shared" si="13"/>
        <v>7</v>
      </c>
      <c r="AN9" s="7"/>
      <c r="AO9" s="7"/>
      <c r="AP9" s="7"/>
      <c r="AQ9" s="7">
        <f t="shared" si="14"/>
        <v>0</v>
      </c>
      <c r="AR9" s="7"/>
      <c r="AS9" s="45">
        <f t="shared" si="15"/>
        <v>0</v>
      </c>
      <c r="AT9" s="7"/>
      <c r="AU9" s="7"/>
      <c r="AV9" s="7">
        <v>1.0</v>
      </c>
      <c r="AW9" s="7">
        <f t="shared" si="16"/>
        <v>7</v>
      </c>
      <c r="AX9" s="7"/>
      <c r="AY9" s="45">
        <f t="shared" si="17"/>
        <v>7</v>
      </c>
      <c r="AZ9" s="7"/>
      <c r="BA9" s="7"/>
      <c r="BB9" s="7"/>
      <c r="BC9" s="7">
        <f t="shared" si="18"/>
        <v>0</v>
      </c>
      <c r="BD9" s="7"/>
      <c r="BE9" s="45">
        <f t="shared" si="19"/>
        <v>0</v>
      </c>
      <c r="BF9" s="7"/>
      <c r="BG9" s="7"/>
      <c r="BH9" s="7">
        <v>1.0</v>
      </c>
      <c r="BI9" s="7">
        <f t="shared" si="20"/>
        <v>7</v>
      </c>
      <c r="BJ9" s="7"/>
      <c r="BK9" s="45">
        <f t="shared" si="21"/>
        <v>7</v>
      </c>
      <c r="BL9" s="7"/>
      <c r="BM9" s="7"/>
      <c r="BN9" s="7">
        <v>1.0</v>
      </c>
      <c r="BO9" s="7">
        <f t="shared" si="22"/>
        <v>7</v>
      </c>
      <c r="BP9" s="7"/>
      <c r="BQ9" s="45">
        <f t="shared" si="23"/>
        <v>7</v>
      </c>
      <c r="BR9" s="7"/>
      <c r="BS9" s="7"/>
      <c r="BT9" s="7"/>
      <c r="BU9" s="7">
        <f t="shared" si="24"/>
        <v>0</v>
      </c>
      <c r="BV9" s="7"/>
      <c r="BW9" s="45">
        <f t="shared" si="25"/>
        <v>0</v>
      </c>
      <c r="BX9" s="7"/>
      <c r="BY9" s="7"/>
      <c r="BZ9" s="7"/>
      <c r="CA9" s="7">
        <f t="shared" si="26"/>
        <v>0</v>
      </c>
      <c r="CB9" s="7"/>
      <c r="CC9" s="45">
        <f t="shared" si="27"/>
        <v>0</v>
      </c>
      <c r="CD9" s="7">
        <v>1.0</v>
      </c>
      <c r="CE9" s="7">
        <v>1.0</v>
      </c>
      <c r="CF9" s="7">
        <v>1.0</v>
      </c>
      <c r="CG9" s="7">
        <f t="shared" si="28"/>
        <v>5</v>
      </c>
      <c r="CH9" s="7">
        <v>1.0</v>
      </c>
      <c r="CI9" s="45">
        <f t="shared" si="29"/>
        <v>5</v>
      </c>
      <c r="CJ9" s="7">
        <v>1.0</v>
      </c>
      <c r="CK9" s="7">
        <v>1.0</v>
      </c>
      <c r="CL9" s="7">
        <v>1.0</v>
      </c>
      <c r="CM9" s="7">
        <f t="shared" si="30"/>
        <v>5</v>
      </c>
      <c r="CN9" s="7">
        <v>1.0</v>
      </c>
      <c r="CO9" s="45">
        <f t="shared" si="31"/>
        <v>5</v>
      </c>
      <c r="CP9" s="7"/>
      <c r="CQ9" s="7"/>
      <c r="CR9" s="7"/>
      <c r="CS9" s="7">
        <f t="shared" si="32"/>
        <v>0</v>
      </c>
      <c r="CT9" s="7"/>
      <c r="CU9" s="45">
        <f t="shared" si="33"/>
        <v>0</v>
      </c>
      <c r="CV9" s="7">
        <v>1.0</v>
      </c>
      <c r="CW9" s="7">
        <v>1.0</v>
      </c>
      <c r="CX9" s="7">
        <v>1.0</v>
      </c>
      <c r="CY9" s="7">
        <f t="shared" si="34"/>
        <v>5</v>
      </c>
      <c r="CZ9" s="7">
        <v>1.0</v>
      </c>
      <c r="DA9" s="45">
        <f t="shared" si="35"/>
        <v>5</v>
      </c>
      <c r="DB9" s="7">
        <v>1.0</v>
      </c>
      <c r="DC9" s="7">
        <v>1.0</v>
      </c>
      <c r="DD9" s="7">
        <v>1.0</v>
      </c>
      <c r="DE9" s="7">
        <f t="shared" si="36"/>
        <v>5</v>
      </c>
      <c r="DF9" s="7">
        <v>1.0</v>
      </c>
      <c r="DG9" s="45">
        <f t="shared" si="37"/>
        <v>5</v>
      </c>
      <c r="DH9" s="7">
        <v>1.0</v>
      </c>
      <c r="DI9" s="7">
        <v>1.0</v>
      </c>
      <c r="DJ9" s="7">
        <v>1.0</v>
      </c>
      <c r="DK9" s="7">
        <f t="shared" si="38"/>
        <v>5</v>
      </c>
      <c r="DL9" s="7">
        <v>1.0</v>
      </c>
      <c r="DM9" s="45">
        <f t="shared" si="39"/>
        <v>5</v>
      </c>
      <c r="DN9" s="7">
        <v>1.0</v>
      </c>
      <c r="DO9" s="7">
        <v>1.0</v>
      </c>
      <c r="DP9" s="7">
        <v>1.0</v>
      </c>
      <c r="DQ9" s="7">
        <f t="shared" si="40"/>
        <v>5</v>
      </c>
      <c r="DR9" s="7">
        <v>1.0</v>
      </c>
      <c r="DS9" s="45">
        <f t="shared" si="41"/>
        <v>5</v>
      </c>
      <c r="DT9" s="7">
        <v>1.0</v>
      </c>
      <c r="DU9" s="7">
        <v>1.0</v>
      </c>
      <c r="DV9" s="7">
        <v>1.0</v>
      </c>
      <c r="DW9" s="7">
        <f t="shared" si="42"/>
        <v>5</v>
      </c>
      <c r="DX9" s="7">
        <v>1.0</v>
      </c>
      <c r="DY9" s="45">
        <f t="shared" si="43"/>
        <v>5</v>
      </c>
      <c r="DZ9" s="7"/>
      <c r="EA9" s="7"/>
      <c r="EB9" s="7"/>
      <c r="EC9" s="7">
        <f t="shared" si="44"/>
        <v>0</v>
      </c>
      <c r="ED9" s="7">
        <v>1.0</v>
      </c>
      <c r="EE9" s="45">
        <f t="shared" si="45"/>
        <v>0</v>
      </c>
      <c r="EF9" s="7">
        <v>1.0</v>
      </c>
      <c r="EG9" s="7">
        <v>1.0</v>
      </c>
      <c r="EH9" s="7">
        <v>1.0</v>
      </c>
      <c r="EI9" s="7">
        <f t="shared" si="46"/>
        <v>5</v>
      </c>
      <c r="EJ9" s="7">
        <v>1.0</v>
      </c>
      <c r="EK9" s="45">
        <f t="shared" si="47"/>
        <v>5</v>
      </c>
      <c r="EL9" s="7">
        <v>1.0</v>
      </c>
      <c r="EM9" s="7">
        <v>1.0</v>
      </c>
      <c r="EN9" s="7">
        <v>1.0</v>
      </c>
      <c r="EO9" s="7">
        <f t="shared" si="48"/>
        <v>5</v>
      </c>
      <c r="EP9" s="7">
        <v>1.0</v>
      </c>
      <c r="EQ9" s="45">
        <f t="shared" si="49"/>
        <v>5</v>
      </c>
      <c r="ER9" s="7">
        <v>1.0</v>
      </c>
      <c r="ES9" s="7">
        <v>1.0</v>
      </c>
      <c r="ET9" s="7">
        <v>1.0</v>
      </c>
      <c r="EU9" s="7">
        <f t="shared" si="50"/>
        <v>5</v>
      </c>
      <c r="EV9" s="7">
        <v>1.0</v>
      </c>
      <c r="EW9" s="45">
        <f t="shared" si="51"/>
        <v>5</v>
      </c>
      <c r="EX9" s="7">
        <v>1.0</v>
      </c>
      <c r="EY9" s="7">
        <v>1.0</v>
      </c>
      <c r="EZ9" s="7">
        <v>1.0</v>
      </c>
      <c r="FA9" s="7">
        <f t="shared" si="52"/>
        <v>5</v>
      </c>
      <c r="FB9" s="7">
        <v>1.0</v>
      </c>
      <c r="FC9" s="45">
        <f t="shared" si="53"/>
        <v>5</v>
      </c>
      <c r="FD9" s="41"/>
      <c r="FE9" s="41"/>
      <c r="FF9" s="41"/>
      <c r="FG9" s="41">
        <f t="shared" si="54"/>
        <v>0</v>
      </c>
      <c r="FH9" s="41">
        <v>1.0</v>
      </c>
      <c r="FI9" s="42">
        <f t="shared" si="55"/>
        <v>0</v>
      </c>
      <c r="FJ9" s="41"/>
      <c r="FK9" s="41"/>
      <c r="FL9" s="41"/>
      <c r="FM9" s="41">
        <f t="shared" si="56"/>
        <v>0</v>
      </c>
      <c r="FN9" s="41">
        <v>1.0</v>
      </c>
      <c r="FO9" s="42">
        <f t="shared" si="57"/>
        <v>0</v>
      </c>
      <c r="FP9" s="7">
        <v>1.0</v>
      </c>
      <c r="FQ9" s="7">
        <v>1.0</v>
      </c>
      <c r="FR9" s="7">
        <v>1.0</v>
      </c>
      <c r="FS9" s="7">
        <f t="shared" si="58"/>
        <v>5</v>
      </c>
      <c r="FT9" s="7">
        <v>1.0</v>
      </c>
      <c r="FU9" s="45">
        <f t="shared" si="59"/>
        <v>5</v>
      </c>
      <c r="FV9" s="7">
        <v>1.0</v>
      </c>
      <c r="FW9" s="7">
        <v>1.0</v>
      </c>
      <c r="FX9" s="7">
        <v>1.0</v>
      </c>
      <c r="FY9" s="7">
        <f t="shared" si="60"/>
        <v>5</v>
      </c>
      <c r="FZ9" s="7">
        <v>1.0</v>
      </c>
      <c r="GA9" s="45">
        <f t="shared" si="61"/>
        <v>5</v>
      </c>
      <c r="GB9" s="7">
        <v>1.0</v>
      </c>
      <c r="GC9" s="7">
        <v>1.0</v>
      </c>
      <c r="GD9" s="7"/>
      <c r="GE9" s="7">
        <f t="shared" si="62"/>
        <v>3</v>
      </c>
      <c r="GF9" s="7">
        <v>1.0</v>
      </c>
      <c r="GG9" s="45">
        <f t="shared" si="63"/>
        <v>3</v>
      </c>
      <c r="GH9" s="7">
        <v>1.0</v>
      </c>
      <c r="GI9" s="7">
        <v>1.0</v>
      </c>
      <c r="GJ9" s="7">
        <v>1.0</v>
      </c>
      <c r="GK9" s="7">
        <f t="shared" si="64"/>
        <v>5</v>
      </c>
      <c r="GL9" s="7">
        <v>1.0</v>
      </c>
      <c r="GM9" s="45">
        <f t="shared" si="65"/>
        <v>5</v>
      </c>
      <c r="GN9" s="41"/>
      <c r="GO9" s="41"/>
      <c r="GP9" s="41"/>
      <c r="GQ9" s="41">
        <f t="shared" si="66"/>
        <v>0</v>
      </c>
      <c r="GR9" s="41">
        <v>1.0</v>
      </c>
      <c r="GS9" s="42">
        <f t="shared" si="67"/>
        <v>0</v>
      </c>
      <c r="GT9" s="7">
        <v>1.0</v>
      </c>
      <c r="GU9" s="7">
        <v>1.0</v>
      </c>
      <c r="GV9" s="7">
        <v>1.0</v>
      </c>
      <c r="GW9" s="7">
        <f t="shared" si="68"/>
        <v>5</v>
      </c>
      <c r="GX9" s="7">
        <v>1.0</v>
      </c>
      <c r="GY9" s="45">
        <f t="shared" si="69"/>
        <v>5</v>
      </c>
      <c r="GZ9" s="7"/>
      <c r="HA9" s="7"/>
      <c r="HB9" s="7"/>
      <c r="HC9" s="7">
        <f t="shared" si="70"/>
        <v>0</v>
      </c>
      <c r="HD9" s="7">
        <v>1.0</v>
      </c>
      <c r="HE9" s="45">
        <f t="shared" si="71"/>
        <v>0</v>
      </c>
      <c r="HF9" s="7"/>
      <c r="HG9" s="7"/>
      <c r="HH9" s="7"/>
      <c r="HI9" s="7">
        <f t="shared" si="72"/>
        <v>0</v>
      </c>
      <c r="HJ9" s="7">
        <v>1.0</v>
      </c>
      <c r="HK9" s="45">
        <f t="shared" si="73"/>
        <v>0</v>
      </c>
      <c r="HL9" s="7"/>
      <c r="HM9" s="7"/>
      <c r="HN9" s="7"/>
      <c r="HO9" s="7">
        <f t="shared" si="74"/>
        <v>0</v>
      </c>
      <c r="HP9" s="7">
        <v>1.0</v>
      </c>
      <c r="HQ9" s="45">
        <f t="shared" si="75"/>
        <v>0</v>
      </c>
      <c r="HR9" s="7"/>
      <c r="HS9" s="7"/>
      <c r="HT9" s="7"/>
      <c r="HU9" s="7">
        <f t="shared" si="76"/>
        <v>0</v>
      </c>
      <c r="HV9" s="7">
        <v>1.0</v>
      </c>
      <c r="HW9" s="45">
        <f t="shared" si="77"/>
        <v>0</v>
      </c>
      <c r="HX9" s="7"/>
      <c r="HY9" s="7"/>
      <c r="HZ9" s="7"/>
      <c r="IA9" s="7">
        <f t="shared" si="78"/>
        <v>0</v>
      </c>
      <c r="IB9" s="7">
        <v>1.0</v>
      </c>
      <c r="IC9" s="45">
        <f t="shared" si="79"/>
        <v>0</v>
      </c>
      <c r="ID9" s="7"/>
      <c r="IE9" s="7"/>
      <c r="IF9" s="7"/>
      <c r="IG9" s="7">
        <f t="shared" si="80"/>
        <v>0</v>
      </c>
      <c r="IH9" s="7">
        <v>1.0</v>
      </c>
      <c r="II9" s="45">
        <f t="shared" si="81"/>
        <v>0</v>
      </c>
      <c r="IJ9" s="7"/>
      <c r="IK9" s="7"/>
      <c r="IL9" s="7"/>
      <c r="IM9" s="7">
        <f t="shared" si="82"/>
        <v>0</v>
      </c>
      <c r="IN9" s="7">
        <v>1.0</v>
      </c>
      <c r="IO9" s="45">
        <f t="shared" si="83"/>
        <v>0</v>
      </c>
    </row>
    <row r="10">
      <c r="A10" s="36" t="s">
        <v>22</v>
      </c>
      <c r="B10" s="21" t="s">
        <v>23</v>
      </c>
      <c r="C10" s="1">
        <f t="shared" si="1"/>
        <v>5</v>
      </c>
      <c r="D10" s="15">
        <f>VLOOKUP(A10,TDP!A:C,3,FALSE)</f>
        <v>0.51</v>
      </c>
      <c r="E10" s="38">
        <f t="shared" si="2"/>
        <v>154.02</v>
      </c>
      <c r="F10" s="7"/>
      <c r="G10" s="39">
        <f t="shared" si="3"/>
        <v>0</v>
      </c>
      <c r="H10" s="7">
        <v>1.0</v>
      </c>
      <c r="I10" s="7">
        <v>1.0</v>
      </c>
      <c r="J10" s="7">
        <v>1.0</v>
      </c>
      <c r="K10" s="7">
        <f t="shared" si="4"/>
        <v>5</v>
      </c>
      <c r="L10" s="7">
        <v>1.0</v>
      </c>
      <c r="M10" s="45">
        <f t="shared" si="5"/>
        <v>5</v>
      </c>
      <c r="N10" s="41"/>
      <c r="O10" s="41"/>
      <c r="P10" s="41"/>
      <c r="Q10" s="42">
        <f t="shared" si="6"/>
        <v>0</v>
      </c>
      <c r="R10" s="41"/>
      <c r="S10" s="41"/>
      <c r="T10" s="41"/>
      <c r="U10" s="42">
        <f t="shared" si="7"/>
        <v>0</v>
      </c>
      <c r="V10" s="7">
        <v>1.0</v>
      </c>
      <c r="W10" s="7">
        <v>1.0</v>
      </c>
      <c r="X10" s="7"/>
      <c r="Y10" s="7">
        <f t="shared" si="8"/>
        <v>3</v>
      </c>
      <c r="Z10" s="7">
        <v>1.0</v>
      </c>
      <c r="AA10" s="45">
        <f t="shared" si="9"/>
        <v>3</v>
      </c>
      <c r="AB10" s="7"/>
      <c r="AC10" s="7"/>
      <c r="AD10" s="7"/>
      <c r="AE10" s="7">
        <f t="shared" si="10"/>
        <v>0</v>
      </c>
      <c r="AF10" s="7"/>
      <c r="AG10" s="45">
        <f t="shared" si="11"/>
        <v>0</v>
      </c>
      <c r="AH10" s="7">
        <v>1.0</v>
      </c>
      <c r="AI10" s="7">
        <v>1.0</v>
      </c>
      <c r="AJ10" s="7"/>
      <c r="AK10" s="7">
        <f t="shared" si="12"/>
        <v>3</v>
      </c>
      <c r="AL10" s="7">
        <v>1.0</v>
      </c>
      <c r="AM10" s="45">
        <f t="shared" si="13"/>
        <v>3</v>
      </c>
      <c r="AN10" s="7">
        <v>1.0</v>
      </c>
      <c r="AO10" s="7">
        <v>1.0</v>
      </c>
      <c r="AP10" s="7">
        <v>1.0</v>
      </c>
      <c r="AQ10" s="7">
        <f t="shared" si="14"/>
        <v>5</v>
      </c>
      <c r="AR10" s="7">
        <v>1.0</v>
      </c>
      <c r="AS10" s="45">
        <f t="shared" si="15"/>
        <v>5</v>
      </c>
      <c r="AT10" s="7">
        <v>1.0</v>
      </c>
      <c r="AU10" s="7">
        <v>1.0</v>
      </c>
      <c r="AV10" s="7">
        <v>1.0</v>
      </c>
      <c r="AW10" s="7">
        <f t="shared" si="16"/>
        <v>5</v>
      </c>
      <c r="AX10" s="7">
        <v>1.0</v>
      </c>
      <c r="AY10" s="45">
        <f t="shared" si="17"/>
        <v>5</v>
      </c>
      <c r="AZ10" s="7">
        <v>1.0</v>
      </c>
      <c r="BA10" s="7">
        <v>1.0</v>
      </c>
      <c r="BB10" s="7">
        <v>1.0</v>
      </c>
      <c r="BC10" s="7">
        <f t="shared" si="18"/>
        <v>5</v>
      </c>
      <c r="BD10" s="7">
        <v>1.0</v>
      </c>
      <c r="BE10" s="45">
        <f t="shared" si="19"/>
        <v>5</v>
      </c>
      <c r="BF10" s="7">
        <v>1.0</v>
      </c>
      <c r="BG10" s="7">
        <v>1.0</v>
      </c>
      <c r="BH10" s="7">
        <v>1.0</v>
      </c>
      <c r="BI10" s="7">
        <f t="shared" si="20"/>
        <v>5</v>
      </c>
      <c r="BJ10" s="7">
        <v>1.0</v>
      </c>
      <c r="BK10" s="45">
        <f t="shared" si="21"/>
        <v>5</v>
      </c>
      <c r="BL10" s="7">
        <v>1.0</v>
      </c>
      <c r="BM10" s="7">
        <v>1.0</v>
      </c>
      <c r="BN10" s="7">
        <v>1.0</v>
      </c>
      <c r="BO10" s="7">
        <f t="shared" si="22"/>
        <v>5</v>
      </c>
      <c r="BP10" s="7">
        <v>1.0</v>
      </c>
      <c r="BQ10" s="45">
        <f t="shared" si="23"/>
        <v>5</v>
      </c>
      <c r="BR10" s="7">
        <v>1.0</v>
      </c>
      <c r="BS10" s="7">
        <v>1.0</v>
      </c>
      <c r="BT10" s="7">
        <v>1.0</v>
      </c>
      <c r="BU10" s="7">
        <f t="shared" si="24"/>
        <v>5</v>
      </c>
      <c r="BV10" s="7">
        <v>1.0</v>
      </c>
      <c r="BW10" s="45">
        <f t="shared" si="25"/>
        <v>5</v>
      </c>
      <c r="BX10" s="7"/>
      <c r="BY10" s="7"/>
      <c r="BZ10" s="7"/>
      <c r="CA10" s="7">
        <f t="shared" si="26"/>
        <v>0</v>
      </c>
      <c r="CB10" s="7"/>
      <c r="CC10" s="45">
        <f t="shared" si="27"/>
        <v>0</v>
      </c>
      <c r="CD10" s="7">
        <v>1.0</v>
      </c>
      <c r="CE10" s="7">
        <v>1.0</v>
      </c>
      <c r="CF10" s="7">
        <v>1.0</v>
      </c>
      <c r="CG10" s="7">
        <f t="shared" si="28"/>
        <v>5</v>
      </c>
      <c r="CH10" s="7">
        <v>1.0</v>
      </c>
      <c r="CI10" s="45">
        <f t="shared" si="29"/>
        <v>5</v>
      </c>
      <c r="CJ10" s="7"/>
      <c r="CK10" s="7"/>
      <c r="CL10" s="7"/>
      <c r="CM10" s="7">
        <f t="shared" si="30"/>
        <v>0</v>
      </c>
      <c r="CN10" s="7"/>
      <c r="CO10" s="45">
        <f t="shared" si="31"/>
        <v>0</v>
      </c>
      <c r="CP10" s="7">
        <v>1.0</v>
      </c>
      <c r="CQ10" s="7">
        <v>1.0</v>
      </c>
      <c r="CR10" s="7">
        <v>1.0</v>
      </c>
      <c r="CS10" s="7">
        <f t="shared" si="32"/>
        <v>5</v>
      </c>
      <c r="CT10" s="7">
        <v>1.0</v>
      </c>
      <c r="CU10" s="45">
        <f t="shared" si="33"/>
        <v>5</v>
      </c>
      <c r="CV10" s="7">
        <v>1.0</v>
      </c>
      <c r="CW10" s="7">
        <v>1.0</v>
      </c>
      <c r="CX10" s="7">
        <v>1.0</v>
      </c>
      <c r="CY10" s="7">
        <f t="shared" si="34"/>
        <v>5</v>
      </c>
      <c r="CZ10" s="7">
        <v>1.0</v>
      </c>
      <c r="DA10" s="45">
        <f t="shared" si="35"/>
        <v>5</v>
      </c>
      <c r="DB10" s="7">
        <v>1.0</v>
      </c>
      <c r="DC10" s="7">
        <v>1.0</v>
      </c>
      <c r="DD10" s="7">
        <v>1.0</v>
      </c>
      <c r="DE10" s="7">
        <f t="shared" si="36"/>
        <v>5</v>
      </c>
      <c r="DF10" s="7">
        <v>1.0</v>
      </c>
      <c r="DG10" s="45">
        <f t="shared" si="37"/>
        <v>5</v>
      </c>
      <c r="DH10" s="7">
        <v>1.0</v>
      </c>
      <c r="DI10" s="7">
        <v>1.0</v>
      </c>
      <c r="DJ10" s="7">
        <v>1.0</v>
      </c>
      <c r="DK10" s="7">
        <f t="shared" si="38"/>
        <v>5</v>
      </c>
      <c r="DL10" s="7">
        <v>1.0</v>
      </c>
      <c r="DM10" s="45">
        <f t="shared" si="39"/>
        <v>5</v>
      </c>
      <c r="DN10" s="7"/>
      <c r="DO10" s="7"/>
      <c r="DP10" s="7"/>
      <c r="DQ10" s="7">
        <f t="shared" si="40"/>
        <v>0</v>
      </c>
      <c r="DR10" s="7">
        <v>1.0</v>
      </c>
      <c r="DS10" s="45">
        <f t="shared" si="41"/>
        <v>0</v>
      </c>
      <c r="DT10" s="7"/>
      <c r="DU10" s="7"/>
      <c r="DV10" s="7"/>
      <c r="DW10" s="7">
        <f t="shared" si="42"/>
        <v>0</v>
      </c>
      <c r="DX10" s="7">
        <v>1.0</v>
      </c>
      <c r="DY10" s="45">
        <f t="shared" si="43"/>
        <v>0</v>
      </c>
      <c r="DZ10" s="7">
        <v>1.0</v>
      </c>
      <c r="EA10" s="7">
        <v>1.0</v>
      </c>
      <c r="EB10" s="7"/>
      <c r="EC10" s="7">
        <f t="shared" si="44"/>
        <v>3</v>
      </c>
      <c r="ED10" s="7">
        <v>1.0</v>
      </c>
      <c r="EE10" s="45">
        <f t="shared" si="45"/>
        <v>3</v>
      </c>
      <c r="EF10" s="7">
        <v>1.0</v>
      </c>
      <c r="EG10" s="7">
        <v>1.0</v>
      </c>
      <c r="EH10" s="7">
        <v>1.0</v>
      </c>
      <c r="EI10" s="7">
        <f t="shared" si="46"/>
        <v>5</v>
      </c>
      <c r="EJ10" s="7">
        <v>1.0</v>
      </c>
      <c r="EK10" s="45">
        <f t="shared" si="47"/>
        <v>5</v>
      </c>
      <c r="EL10" s="7">
        <v>1.0</v>
      </c>
      <c r="EM10" s="7">
        <v>1.0</v>
      </c>
      <c r="EN10" s="7">
        <v>1.0</v>
      </c>
      <c r="EO10" s="7">
        <f t="shared" si="48"/>
        <v>5</v>
      </c>
      <c r="EP10" s="7">
        <v>1.0</v>
      </c>
      <c r="EQ10" s="45">
        <f t="shared" si="49"/>
        <v>5</v>
      </c>
      <c r="ER10" s="7">
        <v>1.0</v>
      </c>
      <c r="ES10" s="7">
        <v>1.0</v>
      </c>
      <c r="ET10" s="7">
        <v>1.0</v>
      </c>
      <c r="EU10" s="7">
        <f t="shared" si="50"/>
        <v>5</v>
      </c>
      <c r="EV10" s="7">
        <v>1.0</v>
      </c>
      <c r="EW10" s="45">
        <f t="shared" si="51"/>
        <v>5</v>
      </c>
      <c r="EX10" s="7">
        <v>1.0</v>
      </c>
      <c r="EY10" s="7">
        <v>1.0</v>
      </c>
      <c r="EZ10" s="7">
        <v>1.0</v>
      </c>
      <c r="FA10" s="7">
        <f t="shared" si="52"/>
        <v>5</v>
      </c>
      <c r="FB10" s="7">
        <v>1.0</v>
      </c>
      <c r="FC10" s="45">
        <f t="shared" si="53"/>
        <v>5</v>
      </c>
      <c r="FD10" s="41"/>
      <c r="FE10" s="41"/>
      <c r="FF10" s="41"/>
      <c r="FG10" s="41">
        <f t="shared" si="54"/>
        <v>0</v>
      </c>
      <c r="FH10" s="41">
        <v>1.0</v>
      </c>
      <c r="FI10" s="42">
        <f t="shared" si="55"/>
        <v>0</v>
      </c>
      <c r="FJ10" s="41"/>
      <c r="FK10" s="41"/>
      <c r="FL10" s="41"/>
      <c r="FM10" s="41">
        <f t="shared" si="56"/>
        <v>0</v>
      </c>
      <c r="FN10" s="41">
        <v>1.0</v>
      </c>
      <c r="FO10" s="42">
        <f t="shared" si="57"/>
        <v>0</v>
      </c>
      <c r="FP10" s="7">
        <v>1.0</v>
      </c>
      <c r="FQ10" s="7">
        <v>1.0</v>
      </c>
      <c r="FR10" s="7">
        <v>1.0</v>
      </c>
      <c r="FS10" s="7">
        <f t="shared" si="58"/>
        <v>5</v>
      </c>
      <c r="FT10" s="7">
        <v>1.0</v>
      </c>
      <c r="FU10" s="45">
        <f t="shared" si="59"/>
        <v>5</v>
      </c>
      <c r="FV10" s="7">
        <v>1.0</v>
      </c>
      <c r="FW10" s="7">
        <v>1.0</v>
      </c>
      <c r="FX10" s="7"/>
      <c r="FY10" s="7">
        <f t="shared" si="60"/>
        <v>3</v>
      </c>
      <c r="FZ10" s="7">
        <v>1.0</v>
      </c>
      <c r="GA10" s="45">
        <f t="shared" si="61"/>
        <v>3</v>
      </c>
      <c r="GB10" s="7"/>
      <c r="GC10" s="7"/>
      <c r="GD10" s="7"/>
      <c r="GE10" s="7">
        <f t="shared" si="62"/>
        <v>0</v>
      </c>
      <c r="GF10" s="7">
        <v>1.0</v>
      </c>
      <c r="GG10" s="45">
        <f t="shared" si="63"/>
        <v>0</v>
      </c>
      <c r="GH10" s="7"/>
      <c r="GI10" s="7"/>
      <c r="GJ10" s="7"/>
      <c r="GK10" s="7">
        <f t="shared" si="64"/>
        <v>0</v>
      </c>
      <c r="GL10" s="7">
        <v>1.0</v>
      </c>
      <c r="GM10" s="45">
        <f t="shared" si="65"/>
        <v>0</v>
      </c>
      <c r="GN10" s="41"/>
      <c r="GO10" s="41"/>
      <c r="GP10" s="41"/>
      <c r="GQ10" s="41">
        <f t="shared" si="66"/>
        <v>0</v>
      </c>
      <c r="GR10" s="41">
        <v>1.0</v>
      </c>
      <c r="GS10" s="42">
        <f t="shared" si="67"/>
        <v>0</v>
      </c>
      <c r="GT10" s="7">
        <v>1.0</v>
      </c>
      <c r="GU10" s="7">
        <v>1.0</v>
      </c>
      <c r="GV10" s="7">
        <v>1.0</v>
      </c>
      <c r="GW10" s="7">
        <f t="shared" si="68"/>
        <v>5</v>
      </c>
      <c r="GX10" s="7">
        <v>1.0</v>
      </c>
      <c r="GY10" s="45">
        <f t="shared" si="69"/>
        <v>5</v>
      </c>
      <c r="GZ10" s="7"/>
      <c r="HA10" s="7"/>
      <c r="HB10" s="7"/>
      <c r="HC10" s="7">
        <f t="shared" si="70"/>
        <v>0</v>
      </c>
      <c r="HD10" s="7">
        <v>1.0</v>
      </c>
      <c r="HE10" s="45">
        <f t="shared" si="71"/>
        <v>0</v>
      </c>
      <c r="HF10" s="7"/>
      <c r="HG10" s="7"/>
      <c r="HH10" s="7"/>
      <c r="HI10" s="7">
        <f t="shared" si="72"/>
        <v>0</v>
      </c>
      <c r="HJ10" s="7">
        <v>1.0</v>
      </c>
      <c r="HK10" s="45">
        <f t="shared" si="73"/>
        <v>0</v>
      </c>
      <c r="HL10" s="7"/>
      <c r="HM10" s="7"/>
      <c r="HN10" s="7"/>
      <c r="HO10" s="7">
        <f t="shared" si="74"/>
        <v>0</v>
      </c>
      <c r="HP10" s="7">
        <v>1.0</v>
      </c>
      <c r="HQ10" s="45">
        <f t="shared" si="75"/>
        <v>0</v>
      </c>
      <c r="HR10" s="7"/>
      <c r="HS10" s="7"/>
      <c r="HT10" s="7"/>
      <c r="HU10" s="7">
        <f t="shared" si="76"/>
        <v>0</v>
      </c>
      <c r="HV10" s="7">
        <v>1.0</v>
      </c>
      <c r="HW10" s="45">
        <f t="shared" si="77"/>
        <v>0</v>
      </c>
      <c r="HX10" s="7"/>
      <c r="HY10" s="7"/>
      <c r="HZ10" s="7"/>
      <c r="IA10" s="7">
        <f t="shared" si="78"/>
        <v>0</v>
      </c>
      <c r="IB10" s="7">
        <v>1.0</v>
      </c>
      <c r="IC10" s="45">
        <f t="shared" si="79"/>
        <v>0</v>
      </c>
      <c r="ID10" s="7"/>
      <c r="IE10" s="7"/>
      <c r="IF10" s="7"/>
      <c r="IG10" s="7">
        <f t="shared" si="80"/>
        <v>0</v>
      </c>
      <c r="IH10" s="7">
        <v>1.0</v>
      </c>
      <c r="II10" s="45">
        <f t="shared" si="81"/>
        <v>0</v>
      </c>
      <c r="IJ10" s="7"/>
      <c r="IK10" s="7"/>
      <c r="IL10" s="7"/>
      <c r="IM10" s="7">
        <f t="shared" si="82"/>
        <v>0</v>
      </c>
      <c r="IN10" s="7">
        <v>1.0</v>
      </c>
      <c r="IO10" s="45">
        <f t="shared" si="83"/>
        <v>0</v>
      </c>
    </row>
    <row r="11">
      <c r="A11" s="62" t="s">
        <v>21</v>
      </c>
      <c r="B11" s="7" t="s">
        <v>75</v>
      </c>
      <c r="C11" s="1">
        <f t="shared" si="1"/>
        <v>6</v>
      </c>
      <c r="D11" s="15">
        <f>VLOOKUP(A11,TDP!A:C,3,FALSE)</f>
        <v>0.31</v>
      </c>
      <c r="E11" s="38">
        <f t="shared" si="2"/>
        <v>153.27</v>
      </c>
      <c r="F11" s="7"/>
      <c r="G11" s="39">
        <f t="shared" si="3"/>
        <v>0</v>
      </c>
      <c r="H11" s="7">
        <v>1.0</v>
      </c>
      <c r="I11" s="7">
        <v>1.0</v>
      </c>
      <c r="J11" s="7">
        <v>1.0</v>
      </c>
      <c r="K11" s="7">
        <f t="shared" si="4"/>
        <v>5</v>
      </c>
      <c r="L11" s="7">
        <v>1.0</v>
      </c>
      <c r="M11" s="45">
        <f t="shared" si="5"/>
        <v>5</v>
      </c>
      <c r="N11" s="41"/>
      <c r="O11" s="41"/>
      <c r="P11" s="41"/>
      <c r="Q11" s="42">
        <f t="shared" si="6"/>
        <v>0</v>
      </c>
      <c r="R11" s="41"/>
      <c r="S11" s="41"/>
      <c r="T11" s="41"/>
      <c r="U11" s="42">
        <f t="shared" si="7"/>
        <v>0</v>
      </c>
      <c r="V11" s="7"/>
      <c r="W11" s="7"/>
      <c r="X11" s="7"/>
      <c r="Y11" s="7">
        <f t="shared" si="8"/>
        <v>0</v>
      </c>
      <c r="Z11" s="7"/>
      <c r="AA11" s="45">
        <f t="shared" si="9"/>
        <v>0</v>
      </c>
      <c r="AB11" s="7"/>
      <c r="AC11" s="7"/>
      <c r="AD11" s="7"/>
      <c r="AE11" s="7">
        <f t="shared" si="10"/>
        <v>0</v>
      </c>
      <c r="AF11" s="7"/>
      <c r="AG11" s="45">
        <f t="shared" si="11"/>
        <v>0</v>
      </c>
      <c r="AH11" s="7"/>
      <c r="AI11" s="7"/>
      <c r="AJ11" s="7">
        <v>1.0</v>
      </c>
      <c r="AK11" s="7">
        <f t="shared" si="12"/>
        <v>7</v>
      </c>
      <c r="AL11" s="7"/>
      <c r="AM11" s="45">
        <f t="shared" si="13"/>
        <v>7</v>
      </c>
      <c r="AN11" s="7"/>
      <c r="AO11" s="7"/>
      <c r="AP11" s="7">
        <v>1.0</v>
      </c>
      <c r="AQ11" s="7">
        <f t="shared" si="14"/>
        <v>7</v>
      </c>
      <c r="AR11" s="7"/>
      <c r="AS11" s="45">
        <f t="shared" si="15"/>
        <v>7</v>
      </c>
      <c r="AT11" s="7">
        <v>1.0</v>
      </c>
      <c r="AU11" s="7">
        <v>1.0</v>
      </c>
      <c r="AV11" s="7">
        <v>1.0</v>
      </c>
      <c r="AW11" s="7">
        <f t="shared" si="16"/>
        <v>5</v>
      </c>
      <c r="AX11" s="7">
        <v>1.0</v>
      </c>
      <c r="AY11" s="45">
        <f t="shared" si="17"/>
        <v>5</v>
      </c>
      <c r="AZ11" s="7">
        <v>1.0</v>
      </c>
      <c r="BA11" s="7">
        <v>1.0</v>
      </c>
      <c r="BB11" s="7">
        <v>1.0</v>
      </c>
      <c r="BC11" s="7">
        <f t="shared" si="18"/>
        <v>5</v>
      </c>
      <c r="BD11" s="7">
        <v>1.0</v>
      </c>
      <c r="BE11" s="45">
        <f t="shared" si="19"/>
        <v>5</v>
      </c>
      <c r="BF11" s="7">
        <v>1.0</v>
      </c>
      <c r="BG11" s="7">
        <v>1.0</v>
      </c>
      <c r="BH11" s="7"/>
      <c r="BI11" s="7">
        <f t="shared" si="20"/>
        <v>3</v>
      </c>
      <c r="BJ11" s="7">
        <v>1.0</v>
      </c>
      <c r="BK11" s="45">
        <f t="shared" si="21"/>
        <v>3</v>
      </c>
      <c r="BL11" s="7">
        <v>1.0</v>
      </c>
      <c r="BM11" s="7">
        <v>1.0</v>
      </c>
      <c r="BN11" s="7">
        <v>1.0</v>
      </c>
      <c r="BO11" s="7">
        <f t="shared" si="22"/>
        <v>5</v>
      </c>
      <c r="BP11" s="7">
        <v>1.0</v>
      </c>
      <c r="BQ11" s="45">
        <f t="shared" si="23"/>
        <v>5</v>
      </c>
      <c r="BR11" s="7"/>
      <c r="BS11" s="7"/>
      <c r="BT11" s="7">
        <v>1.0</v>
      </c>
      <c r="BU11" s="7">
        <f t="shared" si="24"/>
        <v>7</v>
      </c>
      <c r="BV11" s="7"/>
      <c r="BW11" s="45">
        <f t="shared" si="25"/>
        <v>7</v>
      </c>
      <c r="BX11" s="7">
        <v>1.0</v>
      </c>
      <c r="BY11" s="7">
        <v>1.0</v>
      </c>
      <c r="BZ11" s="7">
        <v>1.0</v>
      </c>
      <c r="CA11" s="7">
        <f t="shared" si="26"/>
        <v>5</v>
      </c>
      <c r="CB11" s="7">
        <v>1.0</v>
      </c>
      <c r="CC11" s="45">
        <f t="shared" si="27"/>
        <v>5</v>
      </c>
      <c r="CD11" s="7">
        <v>1.0</v>
      </c>
      <c r="CE11" s="7">
        <v>1.0</v>
      </c>
      <c r="CF11" s="7">
        <v>1.0</v>
      </c>
      <c r="CG11" s="7">
        <f t="shared" si="28"/>
        <v>5</v>
      </c>
      <c r="CH11" s="7">
        <v>1.0</v>
      </c>
      <c r="CI11" s="45">
        <f t="shared" si="29"/>
        <v>5</v>
      </c>
      <c r="CJ11" s="7"/>
      <c r="CK11" s="7"/>
      <c r="CL11" s="7"/>
      <c r="CM11" s="7">
        <f t="shared" si="30"/>
        <v>0</v>
      </c>
      <c r="CN11" s="7"/>
      <c r="CO11" s="45">
        <f t="shared" si="31"/>
        <v>0</v>
      </c>
      <c r="CP11" s="7">
        <v>1.0</v>
      </c>
      <c r="CQ11" s="7">
        <v>1.0</v>
      </c>
      <c r="CR11" s="7"/>
      <c r="CS11" s="7">
        <f t="shared" si="32"/>
        <v>3</v>
      </c>
      <c r="CT11" s="7">
        <v>1.0</v>
      </c>
      <c r="CU11" s="45">
        <f t="shared" si="33"/>
        <v>3</v>
      </c>
      <c r="CV11" s="7">
        <v>1.0</v>
      </c>
      <c r="CW11" s="7">
        <v>1.0</v>
      </c>
      <c r="CX11" s="7"/>
      <c r="CY11" s="7">
        <f t="shared" si="34"/>
        <v>3</v>
      </c>
      <c r="CZ11" s="7">
        <v>1.0</v>
      </c>
      <c r="DA11" s="45">
        <f t="shared" si="35"/>
        <v>3</v>
      </c>
      <c r="DB11" s="7">
        <v>1.0</v>
      </c>
      <c r="DC11" s="7">
        <v>1.0</v>
      </c>
      <c r="DD11" s="7"/>
      <c r="DE11" s="7">
        <f t="shared" si="36"/>
        <v>3</v>
      </c>
      <c r="DF11" s="7">
        <v>1.0</v>
      </c>
      <c r="DG11" s="45">
        <f t="shared" si="37"/>
        <v>3</v>
      </c>
      <c r="DH11" s="7">
        <v>1.0</v>
      </c>
      <c r="DI11" s="7">
        <v>1.0</v>
      </c>
      <c r="DJ11" s="7"/>
      <c r="DK11" s="7">
        <f t="shared" si="38"/>
        <v>3</v>
      </c>
      <c r="DL11" s="7">
        <v>1.0</v>
      </c>
      <c r="DM11" s="45">
        <f t="shared" si="39"/>
        <v>3</v>
      </c>
      <c r="DN11" s="7">
        <v>1.0</v>
      </c>
      <c r="DO11" s="7">
        <v>1.0</v>
      </c>
      <c r="DP11" s="7">
        <v>1.0</v>
      </c>
      <c r="DQ11" s="7">
        <f t="shared" si="40"/>
        <v>5</v>
      </c>
      <c r="DR11" s="7">
        <v>1.0</v>
      </c>
      <c r="DS11" s="45">
        <f t="shared" si="41"/>
        <v>5</v>
      </c>
      <c r="DT11" s="7">
        <v>1.0</v>
      </c>
      <c r="DU11" s="7">
        <v>1.0</v>
      </c>
      <c r="DV11" s="7">
        <v>1.0</v>
      </c>
      <c r="DW11" s="7">
        <f t="shared" si="42"/>
        <v>5</v>
      </c>
      <c r="DX11" s="7">
        <v>1.0</v>
      </c>
      <c r="DY11" s="45">
        <f t="shared" si="43"/>
        <v>5</v>
      </c>
      <c r="DZ11" s="7">
        <v>1.0</v>
      </c>
      <c r="EA11" s="7">
        <v>1.0</v>
      </c>
      <c r="EB11" s="7"/>
      <c r="EC11" s="7">
        <f t="shared" si="44"/>
        <v>3</v>
      </c>
      <c r="ED11" s="7">
        <v>1.0</v>
      </c>
      <c r="EE11" s="45">
        <f t="shared" si="45"/>
        <v>3</v>
      </c>
      <c r="EF11" s="7">
        <v>1.0</v>
      </c>
      <c r="EG11" s="7">
        <v>1.0</v>
      </c>
      <c r="EH11" s="7"/>
      <c r="EI11" s="7">
        <f t="shared" si="46"/>
        <v>3</v>
      </c>
      <c r="EJ11" s="7">
        <v>1.0</v>
      </c>
      <c r="EK11" s="45">
        <f t="shared" si="47"/>
        <v>3</v>
      </c>
      <c r="EL11" s="7">
        <v>1.0</v>
      </c>
      <c r="EM11" s="7">
        <v>1.0</v>
      </c>
      <c r="EN11" s="7"/>
      <c r="EO11" s="7">
        <f t="shared" si="48"/>
        <v>3</v>
      </c>
      <c r="EP11" s="7">
        <v>1.0</v>
      </c>
      <c r="EQ11" s="45">
        <f t="shared" si="49"/>
        <v>3</v>
      </c>
      <c r="ER11" s="7">
        <v>1.0</v>
      </c>
      <c r="ES11" s="7">
        <v>1.0</v>
      </c>
      <c r="ET11" s="7"/>
      <c r="EU11" s="7">
        <f t="shared" si="50"/>
        <v>3</v>
      </c>
      <c r="EV11" s="7">
        <v>1.0</v>
      </c>
      <c r="EW11" s="45">
        <f t="shared" si="51"/>
        <v>3</v>
      </c>
      <c r="EX11" s="7">
        <v>1.0</v>
      </c>
      <c r="EY11" s="7">
        <v>1.0</v>
      </c>
      <c r="EZ11" s="7">
        <v>1.0</v>
      </c>
      <c r="FA11" s="7">
        <f t="shared" si="52"/>
        <v>5</v>
      </c>
      <c r="FB11" s="7">
        <v>1.0</v>
      </c>
      <c r="FC11" s="45">
        <f t="shared" si="53"/>
        <v>5</v>
      </c>
      <c r="FD11" s="41"/>
      <c r="FE11" s="41"/>
      <c r="FF11" s="41"/>
      <c r="FG11" s="41">
        <f t="shared" si="54"/>
        <v>0</v>
      </c>
      <c r="FH11" s="41">
        <v>1.0</v>
      </c>
      <c r="FI11" s="42">
        <f t="shared" si="55"/>
        <v>0</v>
      </c>
      <c r="FJ11" s="41"/>
      <c r="FK11" s="41"/>
      <c r="FL11" s="41"/>
      <c r="FM11" s="41">
        <f t="shared" si="56"/>
        <v>0</v>
      </c>
      <c r="FN11" s="41">
        <v>1.0</v>
      </c>
      <c r="FO11" s="42">
        <f t="shared" si="57"/>
        <v>0</v>
      </c>
      <c r="FP11" s="7">
        <v>1.0</v>
      </c>
      <c r="FQ11" s="7">
        <v>1.0</v>
      </c>
      <c r="FR11" s="7">
        <v>1.0</v>
      </c>
      <c r="FS11" s="7">
        <f t="shared" si="58"/>
        <v>5</v>
      </c>
      <c r="FT11" s="7">
        <v>1.0</v>
      </c>
      <c r="FU11" s="45">
        <f t="shared" si="59"/>
        <v>5</v>
      </c>
      <c r="FV11" s="7">
        <v>1.0</v>
      </c>
      <c r="FW11" s="7">
        <v>1.0</v>
      </c>
      <c r="FX11" s="7"/>
      <c r="FY11" s="7">
        <f t="shared" si="60"/>
        <v>3</v>
      </c>
      <c r="FZ11" s="7">
        <v>1.0</v>
      </c>
      <c r="GA11" s="45">
        <f t="shared" si="61"/>
        <v>3</v>
      </c>
      <c r="GB11" s="7">
        <v>1.0</v>
      </c>
      <c r="GC11" s="7">
        <v>1.0</v>
      </c>
      <c r="GD11" s="7"/>
      <c r="GE11" s="7">
        <f t="shared" si="62"/>
        <v>3</v>
      </c>
      <c r="GF11" s="7">
        <v>1.0</v>
      </c>
      <c r="GG11" s="45">
        <f t="shared" si="63"/>
        <v>3</v>
      </c>
      <c r="GH11" s="7"/>
      <c r="GI11" s="7"/>
      <c r="GJ11" s="7"/>
      <c r="GK11" s="7">
        <f t="shared" si="64"/>
        <v>0</v>
      </c>
      <c r="GL11" s="7">
        <v>1.0</v>
      </c>
      <c r="GM11" s="45">
        <f t="shared" si="65"/>
        <v>0</v>
      </c>
      <c r="GN11" s="41"/>
      <c r="GO11" s="41"/>
      <c r="GP11" s="41"/>
      <c r="GQ11" s="41">
        <f t="shared" si="66"/>
        <v>0</v>
      </c>
      <c r="GR11" s="41">
        <v>1.0</v>
      </c>
      <c r="GS11" s="42">
        <f t="shared" si="67"/>
        <v>0</v>
      </c>
      <c r="GT11" s="7">
        <v>1.0</v>
      </c>
      <c r="GU11" s="7">
        <v>1.0</v>
      </c>
      <c r="GV11" s="7">
        <v>1.0</v>
      </c>
      <c r="GW11" s="7">
        <f t="shared" si="68"/>
        <v>5</v>
      </c>
      <c r="GX11" s="7">
        <v>1.0</v>
      </c>
      <c r="GY11" s="45">
        <f t="shared" si="69"/>
        <v>5</v>
      </c>
      <c r="GZ11" s="7">
        <v>1.0</v>
      </c>
      <c r="HA11" s="7">
        <v>1.0</v>
      </c>
      <c r="HB11" s="7"/>
      <c r="HC11" s="7">
        <f t="shared" si="70"/>
        <v>3</v>
      </c>
      <c r="HD11" s="7">
        <v>1.0</v>
      </c>
      <c r="HE11" s="45">
        <f t="shared" si="71"/>
        <v>3</v>
      </c>
      <c r="HF11" s="7">
        <v>1.0</v>
      </c>
      <c r="HG11" s="7">
        <v>1.0</v>
      </c>
      <c r="HH11" s="7">
        <v>1.0</v>
      </c>
      <c r="HI11" s="7">
        <f t="shared" si="72"/>
        <v>5</v>
      </c>
      <c r="HJ11" s="7">
        <v>1.0</v>
      </c>
      <c r="HK11" s="45">
        <f t="shared" si="73"/>
        <v>5</v>
      </c>
      <c r="HL11" s="7"/>
      <c r="HM11" s="7"/>
      <c r="HN11" s="7"/>
      <c r="HO11" s="7">
        <f t="shared" si="74"/>
        <v>0</v>
      </c>
      <c r="HP11" s="7">
        <v>1.0</v>
      </c>
      <c r="HQ11" s="45">
        <f t="shared" si="75"/>
        <v>0</v>
      </c>
      <c r="HR11" s="7"/>
      <c r="HS11" s="7"/>
      <c r="HT11" s="7"/>
      <c r="HU11" s="7">
        <f t="shared" si="76"/>
        <v>0</v>
      </c>
      <c r="HV11" s="7">
        <v>1.0</v>
      </c>
      <c r="HW11" s="45">
        <f t="shared" si="77"/>
        <v>0</v>
      </c>
      <c r="HX11" s="7"/>
      <c r="HY11" s="7"/>
      <c r="HZ11" s="7"/>
      <c r="IA11" s="7">
        <f t="shared" si="78"/>
        <v>0</v>
      </c>
      <c r="IB11" s="7">
        <v>1.0</v>
      </c>
      <c r="IC11" s="45">
        <f t="shared" si="79"/>
        <v>0</v>
      </c>
      <c r="ID11" s="7"/>
      <c r="IE11" s="7"/>
      <c r="IF11" s="7"/>
      <c r="IG11" s="7">
        <f t="shared" si="80"/>
        <v>0</v>
      </c>
      <c r="IH11" s="7">
        <v>1.0</v>
      </c>
      <c r="II11" s="45">
        <f t="shared" si="81"/>
        <v>0</v>
      </c>
      <c r="IJ11" s="7"/>
      <c r="IK11" s="7"/>
      <c r="IL11" s="7"/>
      <c r="IM11" s="7">
        <f t="shared" si="82"/>
        <v>0</v>
      </c>
      <c r="IN11" s="7">
        <v>1.0</v>
      </c>
      <c r="IO11" s="45">
        <f t="shared" si="83"/>
        <v>0</v>
      </c>
    </row>
    <row r="12">
      <c r="A12" s="62" t="s">
        <v>117</v>
      </c>
      <c r="B12" s="7"/>
      <c r="C12" s="1">
        <f t="shared" si="1"/>
        <v>7</v>
      </c>
      <c r="D12" s="15">
        <f>VLOOKUP(A12,TDP!A:C,3,FALSE)</f>
        <v>0.16</v>
      </c>
      <c r="E12" s="38">
        <f t="shared" si="2"/>
        <v>142.68</v>
      </c>
      <c r="F12" s="7">
        <v>1.0</v>
      </c>
      <c r="G12" s="107">
        <f t="shared" si="3"/>
        <v>7</v>
      </c>
      <c r="H12" s="7"/>
      <c r="I12" s="7"/>
      <c r="J12" s="7"/>
      <c r="K12" s="7">
        <f t="shared" si="4"/>
        <v>0</v>
      </c>
      <c r="L12" s="7"/>
      <c r="M12" s="45">
        <f t="shared" si="5"/>
        <v>0</v>
      </c>
      <c r="N12" s="41"/>
      <c r="O12" s="41"/>
      <c r="P12" s="41"/>
      <c r="Q12" s="42">
        <f t="shared" si="6"/>
        <v>0</v>
      </c>
      <c r="R12" s="41"/>
      <c r="S12" s="41"/>
      <c r="T12" s="41"/>
      <c r="U12" s="42">
        <f t="shared" si="7"/>
        <v>0</v>
      </c>
      <c r="V12" s="7">
        <v>1.0</v>
      </c>
      <c r="W12" s="7">
        <v>1.0</v>
      </c>
      <c r="X12" s="7">
        <v>1.0</v>
      </c>
      <c r="Y12" s="7">
        <f t="shared" si="8"/>
        <v>5</v>
      </c>
      <c r="Z12" s="7"/>
      <c r="AA12" s="45">
        <f t="shared" si="9"/>
        <v>0</v>
      </c>
      <c r="AB12" s="7"/>
      <c r="AC12" s="7"/>
      <c r="AD12" s="7">
        <v>1.0</v>
      </c>
      <c r="AE12" s="7">
        <f t="shared" si="10"/>
        <v>7</v>
      </c>
      <c r="AF12" s="7"/>
      <c r="AG12" s="45">
        <f t="shared" si="11"/>
        <v>7</v>
      </c>
      <c r="AH12" s="7"/>
      <c r="AI12" s="7"/>
      <c r="AJ12" s="7"/>
      <c r="AK12" s="7">
        <f t="shared" si="12"/>
        <v>0</v>
      </c>
      <c r="AL12" s="7"/>
      <c r="AM12" s="45">
        <f t="shared" si="13"/>
        <v>0</v>
      </c>
      <c r="AN12" s="7"/>
      <c r="AO12" s="7"/>
      <c r="AP12" s="7">
        <v>1.0</v>
      </c>
      <c r="AQ12" s="7">
        <f t="shared" si="14"/>
        <v>7</v>
      </c>
      <c r="AR12" s="7"/>
      <c r="AS12" s="45">
        <f t="shared" si="15"/>
        <v>7</v>
      </c>
      <c r="AT12" s="7">
        <v>1.0</v>
      </c>
      <c r="AU12" s="7">
        <v>1.0</v>
      </c>
      <c r="AV12" s="7">
        <v>1.0</v>
      </c>
      <c r="AW12" s="7">
        <f t="shared" si="16"/>
        <v>5</v>
      </c>
      <c r="AX12" s="7">
        <v>1.0</v>
      </c>
      <c r="AY12" s="45">
        <f t="shared" si="17"/>
        <v>5</v>
      </c>
      <c r="AZ12" s="7"/>
      <c r="BA12" s="7"/>
      <c r="BB12" s="7">
        <v>1.0</v>
      </c>
      <c r="BC12" s="7">
        <f t="shared" si="18"/>
        <v>7</v>
      </c>
      <c r="BD12" s="7"/>
      <c r="BE12" s="45">
        <f t="shared" si="19"/>
        <v>7</v>
      </c>
      <c r="BF12" s="7">
        <v>1.0</v>
      </c>
      <c r="BG12" s="7">
        <v>1.0</v>
      </c>
      <c r="BH12" s="7">
        <v>1.0</v>
      </c>
      <c r="BI12" s="7">
        <f t="shared" si="20"/>
        <v>5</v>
      </c>
      <c r="BJ12" s="7">
        <v>1.0</v>
      </c>
      <c r="BK12" s="45">
        <f t="shared" si="21"/>
        <v>5</v>
      </c>
      <c r="BL12" s="7">
        <v>1.0</v>
      </c>
      <c r="BM12" s="7">
        <v>1.0</v>
      </c>
      <c r="BN12" s="7">
        <v>1.0</v>
      </c>
      <c r="BO12" s="7">
        <f t="shared" si="22"/>
        <v>5</v>
      </c>
      <c r="BP12" s="7">
        <v>1.0</v>
      </c>
      <c r="BQ12" s="45">
        <f t="shared" si="23"/>
        <v>5</v>
      </c>
      <c r="BR12" s="7"/>
      <c r="BS12" s="7"/>
      <c r="BT12" s="7">
        <v>1.0</v>
      </c>
      <c r="BU12" s="7">
        <f t="shared" si="24"/>
        <v>7</v>
      </c>
      <c r="BV12" s="7"/>
      <c r="BW12" s="45">
        <f t="shared" si="25"/>
        <v>7</v>
      </c>
      <c r="BX12" s="7">
        <v>1.0</v>
      </c>
      <c r="BY12" s="7">
        <v>1.0</v>
      </c>
      <c r="BZ12" s="7">
        <v>1.0</v>
      </c>
      <c r="CA12" s="7">
        <f t="shared" si="26"/>
        <v>5</v>
      </c>
      <c r="CB12" s="7">
        <v>1.0</v>
      </c>
      <c r="CC12" s="45">
        <f t="shared" si="27"/>
        <v>5</v>
      </c>
      <c r="CD12" s="7">
        <v>1.0</v>
      </c>
      <c r="CE12" s="7">
        <v>1.0</v>
      </c>
      <c r="CF12" s="7">
        <v>1.0</v>
      </c>
      <c r="CG12" s="7">
        <f t="shared" si="28"/>
        <v>5</v>
      </c>
      <c r="CH12" s="7">
        <v>1.0</v>
      </c>
      <c r="CI12" s="107">
        <f t="shared" si="29"/>
        <v>5</v>
      </c>
      <c r="CJ12" s="7"/>
      <c r="CK12" s="7"/>
      <c r="CL12" s="7">
        <v>1.0</v>
      </c>
      <c r="CM12" s="7">
        <f t="shared" si="30"/>
        <v>7</v>
      </c>
      <c r="CN12" s="7"/>
      <c r="CO12" s="45">
        <f t="shared" si="31"/>
        <v>7</v>
      </c>
      <c r="CP12" s="7">
        <v>1.0</v>
      </c>
      <c r="CQ12" s="7">
        <v>1.0</v>
      </c>
      <c r="CR12" s="7">
        <v>1.0</v>
      </c>
      <c r="CS12" s="7">
        <f t="shared" si="32"/>
        <v>5</v>
      </c>
      <c r="CT12" s="7">
        <v>1.0</v>
      </c>
      <c r="CU12" s="45">
        <f t="shared" si="33"/>
        <v>5</v>
      </c>
      <c r="CV12" s="7">
        <v>1.0</v>
      </c>
      <c r="CW12" s="7">
        <v>1.0</v>
      </c>
      <c r="CX12" s="7">
        <v>1.0</v>
      </c>
      <c r="CY12" s="7">
        <f t="shared" si="34"/>
        <v>5</v>
      </c>
      <c r="CZ12" s="7">
        <v>1.0</v>
      </c>
      <c r="DA12" s="45">
        <f t="shared" si="35"/>
        <v>5</v>
      </c>
      <c r="DB12" s="7"/>
      <c r="DC12" s="7"/>
      <c r="DD12" s="7"/>
      <c r="DE12" s="7">
        <f t="shared" si="36"/>
        <v>0</v>
      </c>
      <c r="DF12" s="7">
        <v>1.0</v>
      </c>
      <c r="DG12" s="45">
        <f t="shared" si="37"/>
        <v>0</v>
      </c>
      <c r="DH12" s="7"/>
      <c r="DI12" s="7"/>
      <c r="DJ12" s="7"/>
      <c r="DK12" s="7">
        <f t="shared" si="38"/>
        <v>0</v>
      </c>
      <c r="DL12" s="7">
        <v>1.0</v>
      </c>
      <c r="DM12" s="45">
        <f t="shared" si="39"/>
        <v>0</v>
      </c>
      <c r="DN12" s="7"/>
      <c r="DO12" s="7"/>
      <c r="DP12" s="7"/>
      <c r="DQ12" s="7">
        <f t="shared" si="40"/>
        <v>0</v>
      </c>
      <c r="DR12" s="7">
        <v>1.0</v>
      </c>
      <c r="DS12" s="45">
        <f t="shared" si="41"/>
        <v>0</v>
      </c>
      <c r="DT12" s="7">
        <v>1.0</v>
      </c>
      <c r="DU12" s="7">
        <v>1.0</v>
      </c>
      <c r="DV12" s="7">
        <v>1.0</v>
      </c>
      <c r="DW12" s="7">
        <f t="shared" si="42"/>
        <v>5</v>
      </c>
      <c r="DX12" s="7">
        <v>1.0</v>
      </c>
      <c r="DY12" s="45">
        <f t="shared" si="43"/>
        <v>5</v>
      </c>
      <c r="DZ12" s="7"/>
      <c r="EA12" s="7"/>
      <c r="EB12" s="7"/>
      <c r="EC12" s="7">
        <f t="shared" si="44"/>
        <v>0</v>
      </c>
      <c r="ED12" s="7">
        <v>1.0</v>
      </c>
      <c r="EE12" s="45">
        <f t="shared" si="45"/>
        <v>0</v>
      </c>
      <c r="EF12" s="7">
        <v>1.0</v>
      </c>
      <c r="EG12" s="7">
        <v>1.0</v>
      </c>
      <c r="EH12" s="7">
        <v>1.0</v>
      </c>
      <c r="EI12" s="7">
        <f t="shared" si="46"/>
        <v>5</v>
      </c>
      <c r="EJ12" s="7">
        <v>1.0</v>
      </c>
      <c r="EK12" s="45">
        <f t="shared" si="47"/>
        <v>5</v>
      </c>
      <c r="EL12" s="7">
        <v>1.0</v>
      </c>
      <c r="EM12" s="7">
        <v>1.0</v>
      </c>
      <c r="EN12" s="7">
        <v>1.0</v>
      </c>
      <c r="EO12" s="7">
        <f t="shared" si="48"/>
        <v>5</v>
      </c>
      <c r="EP12" s="7">
        <v>1.0</v>
      </c>
      <c r="EQ12" s="45">
        <f t="shared" si="49"/>
        <v>5</v>
      </c>
      <c r="ER12" s="7">
        <v>1.0</v>
      </c>
      <c r="ES12" s="7">
        <v>1.0</v>
      </c>
      <c r="ET12" s="7">
        <v>1.0</v>
      </c>
      <c r="EU12" s="7">
        <f t="shared" si="50"/>
        <v>5</v>
      </c>
      <c r="EV12" s="7">
        <v>1.0</v>
      </c>
      <c r="EW12" s="45">
        <f t="shared" si="51"/>
        <v>5</v>
      </c>
      <c r="EX12" s="7"/>
      <c r="EY12" s="7"/>
      <c r="EZ12" s="7"/>
      <c r="FA12" s="7">
        <f t="shared" si="52"/>
        <v>0</v>
      </c>
      <c r="FB12" s="7">
        <v>1.0</v>
      </c>
      <c r="FC12" s="45">
        <f t="shared" si="53"/>
        <v>0</v>
      </c>
      <c r="FD12" s="41"/>
      <c r="FE12" s="41"/>
      <c r="FF12" s="41"/>
      <c r="FG12" s="41">
        <f t="shared" si="54"/>
        <v>0</v>
      </c>
      <c r="FH12" s="41">
        <v>1.0</v>
      </c>
      <c r="FI12" s="42">
        <f t="shared" si="55"/>
        <v>0</v>
      </c>
      <c r="FJ12" s="41"/>
      <c r="FK12" s="41"/>
      <c r="FL12" s="41"/>
      <c r="FM12" s="41">
        <f t="shared" si="56"/>
        <v>0</v>
      </c>
      <c r="FN12" s="41">
        <v>1.0</v>
      </c>
      <c r="FO12" s="42">
        <f t="shared" si="57"/>
        <v>0</v>
      </c>
      <c r="FP12" s="7">
        <v>1.0</v>
      </c>
      <c r="FQ12" s="7">
        <v>1.0</v>
      </c>
      <c r="FR12" s="7">
        <v>1.0</v>
      </c>
      <c r="FS12" s="7">
        <f t="shared" si="58"/>
        <v>5</v>
      </c>
      <c r="FT12" s="7">
        <v>1.0</v>
      </c>
      <c r="FU12" s="45">
        <f t="shared" si="59"/>
        <v>5</v>
      </c>
      <c r="FV12" s="7">
        <v>1.0</v>
      </c>
      <c r="FW12" s="7">
        <v>1.0</v>
      </c>
      <c r="FX12" s="7"/>
      <c r="FY12" s="7">
        <f t="shared" si="60"/>
        <v>3</v>
      </c>
      <c r="FZ12" s="7">
        <v>1.0</v>
      </c>
      <c r="GA12" s="45">
        <f t="shared" si="61"/>
        <v>3</v>
      </c>
      <c r="GB12" s="7">
        <v>1.0</v>
      </c>
      <c r="GC12" s="7">
        <v>1.0</v>
      </c>
      <c r="GD12" s="7">
        <v>1.0</v>
      </c>
      <c r="GE12" s="7">
        <f t="shared" si="62"/>
        <v>5</v>
      </c>
      <c r="GF12" s="7">
        <v>1.0</v>
      </c>
      <c r="GG12" s="45">
        <f t="shared" si="63"/>
        <v>5</v>
      </c>
      <c r="GH12" s="7">
        <v>1.0</v>
      </c>
      <c r="GI12" s="7">
        <v>1.0</v>
      </c>
      <c r="GJ12" s="7">
        <v>1.0</v>
      </c>
      <c r="GK12" s="7">
        <f t="shared" si="64"/>
        <v>5</v>
      </c>
      <c r="GL12" s="7">
        <v>1.0</v>
      </c>
      <c r="GM12" s="45">
        <f t="shared" si="65"/>
        <v>5</v>
      </c>
      <c r="GN12" s="41"/>
      <c r="GO12" s="41"/>
      <c r="GP12" s="41"/>
      <c r="GQ12" s="41">
        <f t="shared" si="66"/>
        <v>0</v>
      </c>
      <c r="GR12" s="41">
        <v>1.0</v>
      </c>
      <c r="GS12" s="42">
        <f t="shared" si="67"/>
        <v>0</v>
      </c>
      <c r="GT12" s="7">
        <v>1.0</v>
      </c>
      <c r="GU12" s="7">
        <v>1.0</v>
      </c>
      <c r="GV12" s="7">
        <v>1.0</v>
      </c>
      <c r="GW12" s="7">
        <f t="shared" si="68"/>
        <v>5</v>
      </c>
      <c r="GX12" s="7">
        <v>1.0</v>
      </c>
      <c r="GY12" s="45">
        <f t="shared" si="69"/>
        <v>5</v>
      </c>
      <c r="GZ12" s="7">
        <v>1.0</v>
      </c>
      <c r="HA12" s="7">
        <v>1.0</v>
      </c>
      <c r="HB12" s="7"/>
      <c r="HC12" s="7">
        <f t="shared" si="70"/>
        <v>3</v>
      </c>
      <c r="HD12" s="7">
        <v>1.0</v>
      </c>
      <c r="HE12" s="45">
        <f t="shared" si="71"/>
        <v>3</v>
      </c>
      <c r="HF12" s="7"/>
      <c r="HG12" s="7"/>
      <c r="HH12" s="7"/>
      <c r="HI12" s="7">
        <f t="shared" si="72"/>
        <v>0</v>
      </c>
      <c r="HJ12" s="7">
        <v>1.0</v>
      </c>
      <c r="HK12" s="45">
        <f t="shared" si="73"/>
        <v>0</v>
      </c>
      <c r="HL12" s="7"/>
      <c r="HM12" s="7"/>
      <c r="HN12" s="7"/>
      <c r="HO12" s="7">
        <f t="shared" si="74"/>
        <v>0</v>
      </c>
      <c r="HP12" s="7">
        <v>1.0</v>
      </c>
      <c r="HQ12" s="45">
        <f t="shared" si="75"/>
        <v>0</v>
      </c>
      <c r="HR12" s="7"/>
      <c r="HS12" s="7"/>
      <c r="HT12" s="7"/>
      <c r="HU12" s="7">
        <f t="shared" si="76"/>
        <v>0</v>
      </c>
      <c r="HV12" s="7">
        <v>1.0</v>
      </c>
      <c r="HW12" s="45">
        <f t="shared" si="77"/>
        <v>0</v>
      </c>
      <c r="HX12" s="7"/>
      <c r="HY12" s="7"/>
      <c r="HZ12" s="7"/>
      <c r="IA12" s="7">
        <f t="shared" si="78"/>
        <v>0</v>
      </c>
      <c r="IB12" s="7">
        <v>1.0</v>
      </c>
      <c r="IC12" s="45">
        <f t="shared" si="79"/>
        <v>0</v>
      </c>
      <c r="ID12" s="7"/>
      <c r="IE12" s="7"/>
      <c r="IF12" s="7"/>
      <c r="IG12" s="7">
        <f t="shared" si="80"/>
        <v>0</v>
      </c>
      <c r="IH12" s="7">
        <v>1.0</v>
      </c>
      <c r="II12" s="45">
        <f t="shared" si="81"/>
        <v>0</v>
      </c>
      <c r="IJ12" s="7"/>
      <c r="IK12" s="7"/>
      <c r="IL12" s="7"/>
      <c r="IM12" s="7">
        <f t="shared" si="82"/>
        <v>0</v>
      </c>
      <c r="IN12" s="7">
        <v>1.0</v>
      </c>
      <c r="IO12" s="45">
        <f t="shared" si="83"/>
        <v>0</v>
      </c>
    </row>
    <row r="13">
      <c r="A13" s="62" t="s">
        <v>101</v>
      </c>
      <c r="B13" s="7" t="s">
        <v>166</v>
      </c>
      <c r="C13" s="1">
        <f t="shared" si="1"/>
        <v>8</v>
      </c>
      <c r="D13" s="15">
        <f>VLOOKUP(A13,TDP!A:C,3,FALSE)</f>
        <v>0.19</v>
      </c>
      <c r="E13" s="38">
        <f t="shared" si="2"/>
        <v>130.9</v>
      </c>
      <c r="F13" s="7">
        <v>1.0</v>
      </c>
      <c r="G13" s="39">
        <f t="shared" si="3"/>
        <v>7</v>
      </c>
      <c r="H13" s="7">
        <v>1.0</v>
      </c>
      <c r="I13" s="7">
        <v>1.0</v>
      </c>
      <c r="J13" s="7">
        <v>1.0</v>
      </c>
      <c r="K13" s="7">
        <f t="shared" si="4"/>
        <v>5</v>
      </c>
      <c r="L13" s="7">
        <v>1.0</v>
      </c>
      <c r="M13" s="45">
        <f t="shared" si="5"/>
        <v>5</v>
      </c>
      <c r="N13" s="41"/>
      <c r="O13" s="41"/>
      <c r="P13" s="41"/>
      <c r="Q13" s="42">
        <f t="shared" si="6"/>
        <v>0</v>
      </c>
      <c r="R13" s="41"/>
      <c r="S13" s="41"/>
      <c r="T13" s="41"/>
      <c r="U13" s="42">
        <f t="shared" si="7"/>
        <v>0</v>
      </c>
      <c r="V13" s="7">
        <v>1.0</v>
      </c>
      <c r="W13" s="7">
        <v>1.0</v>
      </c>
      <c r="X13" s="7">
        <v>1.0</v>
      </c>
      <c r="Y13" s="7">
        <f t="shared" si="8"/>
        <v>5</v>
      </c>
      <c r="Z13" s="7">
        <v>1.0</v>
      </c>
      <c r="AA13" s="45">
        <f t="shared" si="9"/>
        <v>5</v>
      </c>
      <c r="AB13" s="7">
        <v>1.0</v>
      </c>
      <c r="AC13" s="7">
        <v>1.0</v>
      </c>
      <c r="AD13" s="7">
        <v>1.0</v>
      </c>
      <c r="AE13" s="7">
        <f t="shared" si="10"/>
        <v>5</v>
      </c>
      <c r="AF13" s="7">
        <v>1.0</v>
      </c>
      <c r="AG13" s="45">
        <f t="shared" si="11"/>
        <v>5</v>
      </c>
      <c r="AH13" s="7">
        <v>1.0</v>
      </c>
      <c r="AI13" s="7">
        <v>1.0</v>
      </c>
      <c r="AJ13" s="7">
        <v>1.0</v>
      </c>
      <c r="AK13" s="7">
        <f t="shared" si="12"/>
        <v>5</v>
      </c>
      <c r="AL13" s="7">
        <v>1.0</v>
      </c>
      <c r="AM13" s="45">
        <f t="shared" si="13"/>
        <v>5</v>
      </c>
      <c r="AN13" s="7">
        <v>1.0</v>
      </c>
      <c r="AO13" s="7">
        <v>1.0</v>
      </c>
      <c r="AP13" s="7">
        <v>1.0</v>
      </c>
      <c r="AQ13" s="7">
        <f t="shared" si="14"/>
        <v>5</v>
      </c>
      <c r="AR13" s="7">
        <v>1.0</v>
      </c>
      <c r="AS13" s="45">
        <f t="shared" si="15"/>
        <v>5</v>
      </c>
      <c r="AT13" s="7">
        <v>1.0</v>
      </c>
      <c r="AU13" s="7">
        <v>1.0</v>
      </c>
      <c r="AV13" s="7">
        <v>1.0</v>
      </c>
      <c r="AW13" s="7">
        <f t="shared" si="16"/>
        <v>5</v>
      </c>
      <c r="AX13" s="7">
        <v>1.0</v>
      </c>
      <c r="AY13" s="45">
        <f t="shared" si="17"/>
        <v>5</v>
      </c>
      <c r="AZ13" s="7">
        <v>1.0</v>
      </c>
      <c r="BA13" s="7">
        <v>1.0</v>
      </c>
      <c r="BB13" s="7">
        <v>1.0</v>
      </c>
      <c r="BC13" s="7">
        <f t="shared" si="18"/>
        <v>5</v>
      </c>
      <c r="BD13" s="7">
        <v>1.0</v>
      </c>
      <c r="BE13" s="45">
        <f t="shared" si="19"/>
        <v>5</v>
      </c>
      <c r="BF13" s="7"/>
      <c r="BG13" s="7"/>
      <c r="BH13" s="7">
        <v>1.0</v>
      </c>
      <c r="BI13" s="7">
        <f t="shared" si="20"/>
        <v>7</v>
      </c>
      <c r="BJ13" s="7"/>
      <c r="BK13" s="45">
        <f t="shared" si="21"/>
        <v>7</v>
      </c>
      <c r="BL13" s="7"/>
      <c r="BM13" s="7"/>
      <c r="BN13" s="7">
        <v>1.0</v>
      </c>
      <c r="BO13" s="7">
        <f t="shared" si="22"/>
        <v>7</v>
      </c>
      <c r="BP13" s="7"/>
      <c r="BQ13" s="45">
        <f t="shared" si="23"/>
        <v>7</v>
      </c>
      <c r="BR13" s="7">
        <v>1.0</v>
      </c>
      <c r="BS13" s="7">
        <v>1.0</v>
      </c>
      <c r="BT13" s="7"/>
      <c r="BU13" s="7">
        <f t="shared" si="24"/>
        <v>3</v>
      </c>
      <c r="BV13" s="7">
        <v>1.0</v>
      </c>
      <c r="BW13" s="45">
        <f t="shared" si="25"/>
        <v>3</v>
      </c>
      <c r="BX13" s="7">
        <v>1.0</v>
      </c>
      <c r="BY13" s="7">
        <v>1.0</v>
      </c>
      <c r="BZ13" s="7">
        <v>1.0</v>
      </c>
      <c r="CA13" s="7">
        <f t="shared" si="26"/>
        <v>5</v>
      </c>
      <c r="CB13" s="7">
        <v>1.0</v>
      </c>
      <c r="CC13" s="45">
        <f t="shared" si="27"/>
        <v>5</v>
      </c>
      <c r="CD13" s="7">
        <v>1.0</v>
      </c>
      <c r="CE13" s="7">
        <v>1.0</v>
      </c>
      <c r="CF13" s="7">
        <v>1.0</v>
      </c>
      <c r="CG13" s="7">
        <f t="shared" si="28"/>
        <v>5</v>
      </c>
      <c r="CH13" s="7">
        <v>1.0</v>
      </c>
      <c r="CI13" s="45">
        <f t="shared" si="29"/>
        <v>5</v>
      </c>
      <c r="CJ13" s="7">
        <v>1.0</v>
      </c>
      <c r="CK13" s="7">
        <v>1.0</v>
      </c>
      <c r="CL13" s="7">
        <v>1.0</v>
      </c>
      <c r="CM13" s="7">
        <f t="shared" si="30"/>
        <v>5</v>
      </c>
      <c r="CN13" s="7">
        <v>1.0</v>
      </c>
      <c r="CO13" s="45">
        <f t="shared" si="31"/>
        <v>5</v>
      </c>
      <c r="CP13" s="7"/>
      <c r="CQ13" s="7"/>
      <c r="CR13" s="7"/>
      <c r="CS13" s="7">
        <f t="shared" si="32"/>
        <v>0</v>
      </c>
      <c r="CT13" s="7"/>
      <c r="CU13" s="45">
        <f t="shared" si="33"/>
        <v>0</v>
      </c>
      <c r="CV13" s="7">
        <v>1.0</v>
      </c>
      <c r="CW13" s="7">
        <v>1.0</v>
      </c>
      <c r="CX13" s="7"/>
      <c r="CY13" s="7">
        <f t="shared" si="34"/>
        <v>3</v>
      </c>
      <c r="CZ13" s="7">
        <v>1.0</v>
      </c>
      <c r="DA13" s="45">
        <f t="shared" si="35"/>
        <v>3</v>
      </c>
      <c r="DB13" s="7"/>
      <c r="DC13" s="7"/>
      <c r="DD13" s="7"/>
      <c r="DE13" s="7">
        <f t="shared" si="36"/>
        <v>0</v>
      </c>
      <c r="DF13" s="7">
        <v>1.0</v>
      </c>
      <c r="DG13" s="45">
        <f t="shared" si="37"/>
        <v>0</v>
      </c>
      <c r="DH13" s="7">
        <v>1.0</v>
      </c>
      <c r="DI13" s="7">
        <v>1.0</v>
      </c>
      <c r="DJ13" s="7">
        <v>1.0</v>
      </c>
      <c r="DK13" s="7">
        <f t="shared" si="38"/>
        <v>5</v>
      </c>
      <c r="DL13" s="7">
        <v>1.0</v>
      </c>
      <c r="DM13" s="45">
        <f t="shared" si="39"/>
        <v>5</v>
      </c>
      <c r="DN13" s="7"/>
      <c r="DO13" s="7"/>
      <c r="DP13" s="7"/>
      <c r="DQ13" s="7">
        <f t="shared" si="40"/>
        <v>0</v>
      </c>
      <c r="DR13" s="7">
        <v>1.0</v>
      </c>
      <c r="DS13" s="45">
        <f t="shared" si="41"/>
        <v>0</v>
      </c>
      <c r="DT13" s="7">
        <v>1.0</v>
      </c>
      <c r="DU13" s="7">
        <v>1.0</v>
      </c>
      <c r="DV13" s="7">
        <v>1.0</v>
      </c>
      <c r="DW13" s="7">
        <f t="shared" si="42"/>
        <v>5</v>
      </c>
      <c r="DX13" s="7">
        <v>1.0</v>
      </c>
      <c r="DY13" s="45">
        <f t="shared" si="43"/>
        <v>5</v>
      </c>
      <c r="DZ13" s="7"/>
      <c r="EA13" s="7"/>
      <c r="EB13" s="7"/>
      <c r="EC13" s="7">
        <f t="shared" si="44"/>
        <v>0</v>
      </c>
      <c r="ED13" s="7">
        <v>1.0</v>
      </c>
      <c r="EE13" s="45">
        <f t="shared" si="45"/>
        <v>0</v>
      </c>
      <c r="EF13" s="7">
        <v>1.0</v>
      </c>
      <c r="EG13" s="7">
        <v>1.0</v>
      </c>
      <c r="EH13" s="7">
        <v>1.0</v>
      </c>
      <c r="EI13" s="7">
        <f t="shared" si="46"/>
        <v>5</v>
      </c>
      <c r="EJ13" s="7">
        <v>1.0</v>
      </c>
      <c r="EK13" s="45">
        <f t="shared" si="47"/>
        <v>5</v>
      </c>
      <c r="EL13" s="7">
        <v>1.0</v>
      </c>
      <c r="EM13" s="7">
        <v>1.0</v>
      </c>
      <c r="EN13" s="7">
        <v>1.0</v>
      </c>
      <c r="EO13" s="7">
        <f t="shared" si="48"/>
        <v>5</v>
      </c>
      <c r="EP13" s="7">
        <v>1.0</v>
      </c>
      <c r="EQ13" s="45">
        <f t="shared" si="49"/>
        <v>5</v>
      </c>
      <c r="ER13" s="7">
        <v>1.0</v>
      </c>
      <c r="ES13" s="7">
        <v>1.0</v>
      </c>
      <c r="ET13" s="7">
        <v>1.0</v>
      </c>
      <c r="EU13" s="7">
        <f t="shared" si="50"/>
        <v>5</v>
      </c>
      <c r="EV13" s="7">
        <v>1.0</v>
      </c>
      <c r="EW13" s="45">
        <f t="shared" si="51"/>
        <v>5</v>
      </c>
      <c r="EX13" s="7">
        <v>1.0</v>
      </c>
      <c r="EY13" s="7">
        <v>1.0</v>
      </c>
      <c r="EZ13" s="7">
        <v>1.0</v>
      </c>
      <c r="FA13" s="7">
        <f t="shared" si="52"/>
        <v>5</v>
      </c>
      <c r="FB13" s="7">
        <v>1.0</v>
      </c>
      <c r="FC13" s="45">
        <f t="shared" si="53"/>
        <v>5</v>
      </c>
      <c r="FD13" s="41"/>
      <c r="FE13" s="41"/>
      <c r="FF13" s="41"/>
      <c r="FG13" s="41">
        <f t="shared" si="54"/>
        <v>0</v>
      </c>
      <c r="FH13" s="41">
        <v>1.0</v>
      </c>
      <c r="FI13" s="42">
        <f t="shared" si="55"/>
        <v>0</v>
      </c>
      <c r="FJ13" s="41"/>
      <c r="FK13" s="41"/>
      <c r="FL13" s="41"/>
      <c r="FM13" s="41">
        <f t="shared" si="56"/>
        <v>0</v>
      </c>
      <c r="FN13" s="41">
        <v>1.0</v>
      </c>
      <c r="FO13" s="42">
        <f t="shared" si="57"/>
        <v>0</v>
      </c>
      <c r="FP13" s="7">
        <v>1.0</v>
      </c>
      <c r="FQ13" s="7">
        <v>1.0</v>
      </c>
      <c r="FR13" s="7"/>
      <c r="FS13" s="7">
        <f t="shared" si="58"/>
        <v>3</v>
      </c>
      <c r="FT13" s="7">
        <v>1.0</v>
      </c>
      <c r="FU13" s="45">
        <f t="shared" si="59"/>
        <v>3</v>
      </c>
      <c r="FV13" s="7"/>
      <c r="FW13" s="7"/>
      <c r="FX13" s="7"/>
      <c r="FY13" s="7">
        <f t="shared" si="60"/>
        <v>0</v>
      </c>
      <c r="FZ13" s="7">
        <v>1.0</v>
      </c>
      <c r="GA13" s="45">
        <f t="shared" si="61"/>
        <v>0</v>
      </c>
      <c r="GB13" s="7"/>
      <c r="GC13" s="7"/>
      <c r="GD13" s="7"/>
      <c r="GE13" s="7">
        <f t="shared" si="62"/>
        <v>0</v>
      </c>
      <c r="GF13" s="7">
        <v>1.0</v>
      </c>
      <c r="GG13" s="45">
        <f t="shared" si="63"/>
        <v>0</v>
      </c>
      <c r="GH13" s="7"/>
      <c r="GI13" s="7"/>
      <c r="GJ13" s="7"/>
      <c r="GK13" s="7">
        <f t="shared" si="64"/>
        <v>0</v>
      </c>
      <c r="GL13" s="7">
        <v>1.0</v>
      </c>
      <c r="GM13" s="45">
        <f t="shared" si="65"/>
        <v>0</v>
      </c>
      <c r="GN13" s="41"/>
      <c r="GO13" s="41"/>
      <c r="GP13" s="41"/>
      <c r="GQ13" s="41">
        <f t="shared" si="66"/>
        <v>0</v>
      </c>
      <c r="GR13" s="41">
        <v>1.0</v>
      </c>
      <c r="GS13" s="42">
        <f t="shared" si="67"/>
        <v>0</v>
      </c>
      <c r="GT13" s="7"/>
      <c r="GU13" s="7"/>
      <c r="GV13" s="7"/>
      <c r="GW13" s="7">
        <f t="shared" si="68"/>
        <v>0</v>
      </c>
      <c r="GX13" s="7">
        <v>1.0</v>
      </c>
      <c r="GY13" s="45">
        <f t="shared" si="69"/>
        <v>0</v>
      </c>
      <c r="GZ13" s="7"/>
      <c r="HA13" s="7"/>
      <c r="HB13" s="7"/>
      <c r="HC13" s="7">
        <f t="shared" si="70"/>
        <v>0</v>
      </c>
      <c r="HD13" s="7">
        <v>1.0</v>
      </c>
      <c r="HE13" s="45">
        <f t="shared" si="71"/>
        <v>0</v>
      </c>
      <c r="HF13" s="7"/>
      <c r="HG13" s="7"/>
      <c r="HH13" s="7"/>
      <c r="HI13" s="7">
        <f t="shared" si="72"/>
        <v>0</v>
      </c>
      <c r="HJ13" s="7">
        <v>1.0</v>
      </c>
      <c r="HK13" s="45">
        <f t="shared" si="73"/>
        <v>0</v>
      </c>
      <c r="HL13" s="7"/>
      <c r="HM13" s="7"/>
      <c r="HN13" s="7"/>
      <c r="HO13" s="7">
        <f t="shared" si="74"/>
        <v>0</v>
      </c>
      <c r="HP13" s="7">
        <v>1.0</v>
      </c>
      <c r="HQ13" s="45">
        <f t="shared" si="75"/>
        <v>0</v>
      </c>
      <c r="HR13" s="7"/>
      <c r="HS13" s="7"/>
      <c r="HT13" s="7"/>
      <c r="HU13" s="7">
        <f t="shared" si="76"/>
        <v>0</v>
      </c>
      <c r="HV13" s="7">
        <v>1.0</v>
      </c>
      <c r="HW13" s="45">
        <f t="shared" si="77"/>
        <v>0</v>
      </c>
      <c r="HX13" s="7"/>
      <c r="HY13" s="7"/>
      <c r="HZ13" s="7"/>
      <c r="IA13" s="7">
        <f t="shared" si="78"/>
        <v>0</v>
      </c>
      <c r="IB13" s="7">
        <v>1.0</v>
      </c>
      <c r="IC13" s="45">
        <f t="shared" si="79"/>
        <v>0</v>
      </c>
      <c r="ID13" s="7"/>
      <c r="IE13" s="7"/>
      <c r="IF13" s="7"/>
      <c r="IG13" s="7">
        <f t="shared" si="80"/>
        <v>0</v>
      </c>
      <c r="IH13" s="7">
        <v>1.0</v>
      </c>
      <c r="II13" s="45">
        <f t="shared" si="81"/>
        <v>0</v>
      </c>
      <c r="IJ13" s="7"/>
      <c r="IK13" s="7"/>
      <c r="IL13" s="7"/>
      <c r="IM13" s="7">
        <f t="shared" si="82"/>
        <v>0</v>
      </c>
      <c r="IN13" s="7">
        <v>1.0</v>
      </c>
      <c r="IO13" s="45">
        <f t="shared" si="83"/>
        <v>0</v>
      </c>
    </row>
    <row r="14">
      <c r="A14" s="36" t="s">
        <v>173</v>
      </c>
      <c r="B14" s="21"/>
      <c r="C14" s="1">
        <f t="shared" si="1"/>
        <v>9</v>
      </c>
      <c r="D14" s="15">
        <f>VLOOKUP(A14,TDP!A:C,3,FALSE)</f>
        <v>0.08</v>
      </c>
      <c r="E14" s="38">
        <f t="shared" si="2"/>
        <v>125.28</v>
      </c>
      <c r="F14" s="7"/>
      <c r="G14" s="39">
        <f t="shared" si="3"/>
        <v>0</v>
      </c>
      <c r="H14" s="7">
        <v>1.0</v>
      </c>
      <c r="I14" s="7">
        <v>1.0</v>
      </c>
      <c r="J14" s="7">
        <v>1.0</v>
      </c>
      <c r="K14" s="7">
        <f t="shared" si="4"/>
        <v>5</v>
      </c>
      <c r="L14" s="7">
        <v>1.0</v>
      </c>
      <c r="M14" s="45">
        <f t="shared" si="5"/>
        <v>5</v>
      </c>
      <c r="N14" s="41"/>
      <c r="O14" s="41"/>
      <c r="P14" s="41"/>
      <c r="Q14" s="42">
        <f t="shared" si="6"/>
        <v>0</v>
      </c>
      <c r="R14" s="41"/>
      <c r="S14" s="41"/>
      <c r="T14" s="41"/>
      <c r="U14" s="42">
        <f t="shared" si="7"/>
        <v>0</v>
      </c>
      <c r="V14" s="7"/>
      <c r="W14" s="7"/>
      <c r="X14" s="7"/>
      <c r="Y14" s="7">
        <f t="shared" si="8"/>
        <v>0</v>
      </c>
      <c r="Z14" s="7"/>
      <c r="AA14" s="45">
        <f t="shared" si="9"/>
        <v>0</v>
      </c>
      <c r="AB14" s="7">
        <v>1.0</v>
      </c>
      <c r="AC14" s="7">
        <v>1.0</v>
      </c>
      <c r="AD14" s="7">
        <v>1.0</v>
      </c>
      <c r="AE14" s="7">
        <f t="shared" si="10"/>
        <v>5</v>
      </c>
      <c r="AF14" s="7">
        <v>1.0</v>
      </c>
      <c r="AG14" s="45">
        <f t="shared" si="11"/>
        <v>5</v>
      </c>
      <c r="AH14" s="7">
        <v>1.0</v>
      </c>
      <c r="AI14" s="7">
        <v>1.0</v>
      </c>
      <c r="AJ14" s="7">
        <v>1.0</v>
      </c>
      <c r="AK14" s="7">
        <f t="shared" si="12"/>
        <v>5</v>
      </c>
      <c r="AL14" s="7">
        <v>1.0</v>
      </c>
      <c r="AM14" s="45">
        <f t="shared" si="13"/>
        <v>5</v>
      </c>
      <c r="AN14" s="7"/>
      <c r="AO14" s="7"/>
      <c r="AP14" s="7">
        <v>1.0</v>
      </c>
      <c r="AQ14" s="7">
        <f t="shared" si="14"/>
        <v>7</v>
      </c>
      <c r="AR14" s="7"/>
      <c r="AS14" s="45">
        <f t="shared" si="15"/>
        <v>7</v>
      </c>
      <c r="AT14" s="7"/>
      <c r="AU14" s="7"/>
      <c r="AV14" s="7">
        <v>1.0</v>
      </c>
      <c r="AW14" s="7">
        <f t="shared" si="16"/>
        <v>7</v>
      </c>
      <c r="AX14" s="7"/>
      <c r="AY14" s="45">
        <f t="shared" si="17"/>
        <v>7</v>
      </c>
      <c r="AZ14" s="7">
        <v>1.0</v>
      </c>
      <c r="BA14" s="7">
        <v>1.0</v>
      </c>
      <c r="BB14" s="7">
        <v>1.0</v>
      </c>
      <c r="BC14" s="7">
        <f t="shared" si="18"/>
        <v>5</v>
      </c>
      <c r="BD14" s="7">
        <v>1.0</v>
      </c>
      <c r="BE14" s="45">
        <f t="shared" si="19"/>
        <v>5</v>
      </c>
      <c r="BF14" s="7">
        <v>1.0</v>
      </c>
      <c r="BG14" s="7">
        <v>1.0</v>
      </c>
      <c r="BH14" s="7">
        <v>1.0</v>
      </c>
      <c r="BI14" s="7">
        <f t="shared" si="20"/>
        <v>5</v>
      </c>
      <c r="BJ14" s="7">
        <v>1.0</v>
      </c>
      <c r="BK14" s="45">
        <f t="shared" si="21"/>
        <v>5</v>
      </c>
      <c r="BL14" s="7">
        <v>1.0</v>
      </c>
      <c r="BM14" s="7">
        <v>1.0</v>
      </c>
      <c r="BN14" s="7">
        <v>1.0</v>
      </c>
      <c r="BO14" s="7">
        <f t="shared" si="22"/>
        <v>5</v>
      </c>
      <c r="BP14" s="7">
        <v>1.0</v>
      </c>
      <c r="BQ14" s="45">
        <f t="shared" si="23"/>
        <v>5</v>
      </c>
      <c r="BR14" s="7"/>
      <c r="BS14" s="7"/>
      <c r="BT14" s="7">
        <v>1.0</v>
      </c>
      <c r="BU14" s="7">
        <f t="shared" si="24"/>
        <v>7</v>
      </c>
      <c r="BV14" s="7"/>
      <c r="BW14" s="45">
        <f t="shared" si="25"/>
        <v>7</v>
      </c>
      <c r="BX14" s="7">
        <v>1.0</v>
      </c>
      <c r="BY14" s="7">
        <v>1.0</v>
      </c>
      <c r="BZ14" s="7">
        <v>1.0</v>
      </c>
      <c r="CA14" s="7">
        <f t="shared" si="26"/>
        <v>5</v>
      </c>
      <c r="CB14" s="7">
        <v>1.0</v>
      </c>
      <c r="CC14" s="45">
        <f t="shared" si="27"/>
        <v>5</v>
      </c>
      <c r="CD14" s="7"/>
      <c r="CE14" s="7"/>
      <c r="CF14" s="7"/>
      <c r="CG14" s="7">
        <f t="shared" si="28"/>
        <v>0</v>
      </c>
      <c r="CH14" s="7"/>
      <c r="CI14" s="45">
        <f t="shared" si="29"/>
        <v>0</v>
      </c>
      <c r="CJ14" s="7"/>
      <c r="CK14" s="7"/>
      <c r="CL14" s="7"/>
      <c r="CM14" s="7">
        <f t="shared" si="30"/>
        <v>0</v>
      </c>
      <c r="CN14" s="7"/>
      <c r="CO14" s="45">
        <f t="shared" si="31"/>
        <v>0</v>
      </c>
      <c r="CP14" s="7">
        <v>1.0</v>
      </c>
      <c r="CQ14" s="7">
        <v>1.0</v>
      </c>
      <c r="CR14" s="7">
        <v>1.0</v>
      </c>
      <c r="CS14" s="7">
        <f t="shared" si="32"/>
        <v>5</v>
      </c>
      <c r="CT14" s="7">
        <v>1.0</v>
      </c>
      <c r="CU14" s="45">
        <f t="shared" si="33"/>
        <v>5</v>
      </c>
      <c r="CV14" s="7">
        <v>1.0</v>
      </c>
      <c r="CW14" s="7">
        <v>1.0</v>
      </c>
      <c r="CX14" s="7"/>
      <c r="CY14" s="7">
        <f t="shared" si="34"/>
        <v>3</v>
      </c>
      <c r="CZ14" s="7">
        <v>1.0</v>
      </c>
      <c r="DA14" s="45">
        <f t="shared" si="35"/>
        <v>3</v>
      </c>
      <c r="DB14" s="7">
        <v>1.0</v>
      </c>
      <c r="DC14" s="7">
        <v>1.0</v>
      </c>
      <c r="DD14" s="7">
        <v>1.0</v>
      </c>
      <c r="DE14" s="7">
        <f t="shared" si="36"/>
        <v>5</v>
      </c>
      <c r="DF14" s="7">
        <v>1.0</v>
      </c>
      <c r="DG14" s="45">
        <f t="shared" si="37"/>
        <v>5</v>
      </c>
      <c r="DH14" s="7">
        <v>1.0</v>
      </c>
      <c r="DI14" s="7">
        <v>1.0</v>
      </c>
      <c r="DJ14" s="7">
        <v>1.0</v>
      </c>
      <c r="DK14" s="7">
        <f t="shared" si="38"/>
        <v>5</v>
      </c>
      <c r="DL14" s="7">
        <v>1.0</v>
      </c>
      <c r="DM14" s="45">
        <f t="shared" si="39"/>
        <v>5</v>
      </c>
      <c r="DN14" s="7">
        <v>1.0</v>
      </c>
      <c r="DO14" s="7">
        <v>1.0</v>
      </c>
      <c r="DP14" s="7">
        <v>1.0</v>
      </c>
      <c r="DQ14" s="7">
        <f t="shared" si="40"/>
        <v>5</v>
      </c>
      <c r="DR14" s="7">
        <v>1.0</v>
      </c>
      <c r="DS14" s="45">
        <f t="shared" si="41"/>
        <v>5</v>
      </c>
      <c r="DT14" s="7">
        <v>1.0</v>
      </c>
      <c r="DU14" s="7">
        <v>1.0</v>
      </c>
      <c r="DV14" s="7"/>
      <c r="DW14" s="7">
        <f t="shared" si="42"/>
        <v>3</v>
      </c>
      <c r="DX14" s="7">
        <v>1.0</v>
      </c>
      <c r="DY14" s="45">
        <f t="shared" si="43"/>
        <v>3</v>
      </c>
      <c r="DZ14" s="7"/>
      <c r="EA14" s="7"/>
      <c r="EB14" s="7"/>
      <c r="EC14" s="7">
        <f t="shared" si="44"/>
        <v>0</v>
      </c>
      <c r="ED14" s="7">
        <v>1.0</v>
      </c>
      <c r="EE14" s="45">
        <f t="shared" si="45"/>
        <v>0</v>
      </c>
      <c r="EF14" s="7">
        <v>1.0</v>
      </c>
      <c r="EG14" s="7">
        <v>1.0</v>
      </c>
      <c r="EH14" s="7"/>
      <c r="EI14" s="7">
        <f t="shared" si="46"/>
        <v>3</v>
      </c>
      <c r="EJ14" s="7">
        <v>1.0</v>
      </c>
      <c r="EK14" s="45">
        <f t="shared" si="47"/>
        <v>3</v>
      </c>
      <c r="EL14" s="7">
        <v>1.0</v>
      </c>
      <c r="EM14" s="7">
        <v>1.0</v>
      </c>
      <c r="EN14" s="7">
        <v>1.0</v>
      </c>
      <c r="EO14" s="7">
        <f t="shared" si="48"/>
        <v>5</v>
      </c>
      <c r="EP14" s="7">
        <v>1.0</v>
      </c>
      <c r="EQ14" s="45">
        <f t="shared" si="49"/>
        <v>5</v>
      </c>
      <c r="ER14" s="7">
        <v>1.0</v>
      </c>
      <c r="ES14" s="7">
        <v>1.0</v>
      </c>
      <c r="ET14" s="7">
        <v>1.0</v>
      </c>
      <c r="EU14" s="7">
        <f t="shared" si="50"/>
        <v>5</v>
      </c>
      <c r="EV14" s="7">
        <v>1.0</v>
      </c>
      <c r="EW14" s="45">
        <f t="shared" si="51"/>
        <v>5</v>
      </c>
      <c r="EX14" s="7">
        <v>1.0</v>
      </c>
      <c r="EY14" s="7">
        <v>1.0</v>
      </c>
      <c r="EZ14" s="7">
        <v>1.0</v>
      </c>
      <c r="FA14" s="7">
        <f t="shared" si="52"/>
        <v>5</v>
      </c>
      <c r="FB14" s="7">
        <v>1.0</v>
      </c>
      <c r="FC14" s="45">
        <f t="shared" si="53"/>
        <v>5</v>
      </c>
      <c r="FD14" s="41"/>
      <c r="FE14" s="41"/>
      <c r="FF14" s="41"/>
      <c r="FG14" s="41">
        <f t="shared" si="54"/>
        <v>0</v>
      </c>
      <c r="FH14" s="41">
        <v>1.0</v>
      </c>
      <c r="FI14" s="42">
        <f t="shared" si="55"/>
        <v>0</v>
      </c>
      <c r="FJ14" s="41"/>
      <c r="FK14" s="41"/>
      <c r="FL14" s="41"/>
      <c r="FM14" s="41">
        <f t="shared" si="56"/>
        <v>0</v>
      </c>
      <c r="FN14" s="41">
        <v>1.0</v>
      </c>
      <c r="FO14" s="42">
        <f t="shared" si="57"/>
        <v>0</v>
      </c>
      <c r="FP14" s="7">
        <v>1.0</v>
      </c>
      <c r="FQ14" s="7">
        <v>1.0</v>
      </c>
      <c r="FR14" s="7">
        <v>1.0</v>
      </c>
      <c r="FS14" s="7">
        <f t="shared" si="58"/>
        <v>5</v>
      </c>
      <c r="FT14" s="7">
        <v>1.0</v>
      </c>
      <c r="FU14" s="45">
        <f t="shared" si="59"/>
        <v>5</v>
      </c>
      <c r="FV14" s="7"/>
      <c r="FW14" s="7"/>
      <c r="FX14" s="7"/>
      <c r="FY14" s="7">
        <f t="shared" si="60"/>
        <v>0</v>
      </c>
      <c r="FZ14" s="7">
        <v>1.0</v>
      </c>
      <c r="GA14" s="45">
        <f t="shared" si="61"/>
        <v>0</v>
      </c>
      <c r="GB14" s="7"/>
      <c r="GC14" s="7"/>
      <c r="GD14" s="7"/>
      <c r="GE14" s="7">
        <f t="shared" si="62"/>
        <v>0</v>
      </c>
      <c r="GF14" s="7">
        <v>1.0</v>
      </c>
      <c r="GG14" s="45">
        <f t="shared" si="63"/>
        <v>0</v>
      </c>
      <c r="GH14" s="7">
        <v>1.0</v>
      </c>
      <c r="GI14" s="7">
        <v>1.0</v>
      </c>
      <c r="GJ14" s="7"/>
      <c r="GK14" s="7">
        <f t="shared" si="64"/>
        <v>3</v>
      </c>
      <c r="GL14" s="7">
        <v>1.0</v>
      </c>
      <c r="GM14" s="45">
        <f t="shared" si="65"/>
        <v>3</v>
      </c>
      <c r="GN14" s="41"/>
      <c r="GO14" s="41"/>
      <c r="GP14" s="41"/>
      <c r="GQ14" s="41">
        <f t="shared" si="66"/>
        <v>0</v>
      </c>
      <c r="GR14" s="41">
        <v>1.0</v>
      </c>
      <c r="GS14" s="42">
        <f t="shared" si="67"/>
        <v>0</v>
      </c>
      <c r="GT14" s="7"/>
      <c r="GU14" s="7"/>
      <c r="GV14" s="7"/>
      <c r="GW14" s="7">
        <f t="shared" si="68"/>
        <v>0</v>
      </c>
      <c r="GX14" s="7">
        <v>1.0</v>
      </c>
      <c r="GY14" s="45">
        <f t="shared" si="69"/>
        <v>0</v>
      </c>
      <c r="GZ14" s="7">
        <v>1.0</v>
      </c>
      <c r="HA14" s="7">
        <v>1.0</v>
      </c>
      <c r="HB14" s="7">
        <v>1.0</v>
      </c>
      <c r="HC14" s="7">
        <f t="shared" si="70"/>
        <v>5</v>
      </c>
      <c r="HD14" s="7">
        <v>1.0</v>
      </c>
      <c r="HE14" s="45">
        <f t="shared" si="71"/>
        <v>5</v>
      </c>
      <c r="HF14" s="7">
        <v>1.0</v>
      </c>
      <c r="HG14" s="7">
        <v>1.0</v>
      </c>
      <c r="HH14" s="7"/>
      <c r="HI14" s="7">
        <f t="shared" si="72"/>
        <v>3</v>
      </c>
      <c r="HJ14" s="7">
        <v>1.0</v>
      </c>
      <c r="HK14" s="45">
        <f t="shared" si="73"/>
        <v>3</v>
      </c>
      <c r="HL14" s="7"/>
      <c r="HM14" s="7"/>
      <c r="HN14" s="7"/>
      <c r="HO14" s="7">
        <f t="shared" si="74"/>
        <v>0</v>
      </c>
      <c r="HP14" s="7">
        <v>1.0</v>
      </c>
      <c r="HQ14" s="45">
        <f t="shared" si="75"/>
        <v>0</v>
      </c>
      <c r="HR14" s="7"/>
      <c r="HS14" s="7"/>
      <c r="HT14" s="7"/>
      <c r="HU14" s="7">
        <f t="shared" si="76"/>
        <v>0</v>
      </c>
      <c r="HV14" s="7">
        <v>1.0</v>
      </c>
      <c r="HW14" s="45">
        <f t="shared" si="77"/>
        <v>0</v>
      </c>
      <c r="HX14" s="7"/>
      <c r="HY14" s="7"/>
      <c r="HZ14" s="7"/>
      <c r="IA14" s="7">
        <f t="shared" si="78"/>
        <v>0</v>
      </c>
      <c r="IB14" s="7">
        <v>1.0</v>
      </c>
      <c r="IC14" s="45">
        <f t="shared" si="79"/>
        <v>0</v>
      </c>
      <c r="ID14" s="7"/>
      <c r="IE14" s="7"/>
      <c r="IF14" s="7"/>
      <c r="IG14" s="7">
        <f t="shared" si="80"/>
        <v>0</v>
      </c>
      <c r="IH14" s="7">
        <v>1.0</v>
      </c>
      <c r="II14" s="45">
        <f t="shared" si="81"/>
        <v>0</v>
      </c>
      <c r="IJ14" s="7"/>
      <c r="IK14" s="7"/>
      <c r="IL14" s="7"/>
      <c r="IM14" s="7">
        <f t="shared" si="82"/>
        <v>0</v>
      </c>
      <c r="IN14" s="7">
        <v>1.0</v>
      </c>
      <c r="IO14" s="45">
        <f t="shared" si="83"/>
        <v>0</v>
      </c>
    </row>
    <row r="15">
      <c r="A15" s="36" t="s">
        <v>126</v>
      </c>
      <c r="B15" s="21"/>
      <c r="C15" s="1">
        <f t="shared" si="1"/>
        <v>10</v>
      </c>
      <c r="D15" s="15">
        <f>VLOOKUP(A15,TDP!A:C,3,FALSE)</f>
        <v>0.12</v>
      </c>
      <c r="E15" s="38">
        <f t="shared" si="2"/>
        <v>123.2</v>
      </c>
      <c r="F15" s="7">
        <v>1.0</v>
      </c>
      <c r="G15" s="39">
        <f t="shared" si="3"/>
        <v>7</v>
      </c>
      <c r="H15" s="7"/>
      <c r="I15" s="7"/>
      <c r="J15" s="7">
        <v>1.0</v>
      </c>
      <c r="K15" s="7">
        <f t="shared" si="4"/>
        <v>7</v>
      </c>
      <c r="L15" s="7"/>
      <c r="M15" s="45">
        <f t="shared" si="5"/>
        <v>7</v>
      </c>
      <c r="N15" s="41"/>
      <c r="O15" s="41"/>
      <c r="P15" s="41"/>
      <c r="Q15" s="42">
        <f t="shared" si="6"/>
        <v>0</v>
      </c>
      <c r="R15" s="41"/>
      <c r="S15" s="41"/>
      <c r="T15" s="41"/>
      <c r="U15" s="42">
        <f t="shared" si="7"/>
        <v>0</v>
      </c>
      <c r="V15" s="7">
        <v>1.0</v>
      </c>
      <c r="W15" s="7">
        <v>1.0</v>
      </c>
      <c r="X15" s="7">
        <v>1.0</v>
      </c>
      <c r="Y15" s="7">
        <f t="shared" si="8"/>
        <v>5</v>
      </c>
      <c r="Z15" s="7">
        <v>1.0</v>
      </c>
      <c r="AA15" s="45">
        <f t="shared" si="9"/>
        <v>5</v>
      </c>
      <c r="AB15" s="7">
        <v>1.0</v>
      </c>
      <c r="AC15" s="7">
        <v>1.0</v>
      </c>
      <c r="AD15" s="7">
        <v>1.0</v>
      </c>
      <c r="AE15" s="7">
        <f t="shared" si="10"/>
        <v>5</v>
      </c>
      <c r="AF15" s="7">
        <v>1.0</v>
      </c>
      <c r="AG15" s="45">
        <f t="shared" si="11"/>
        <v>5</v>
      </c>
      <c r="AH15" s="7">
        <v>1.0</v>
      </c>
      <c r="AI15" s="7">
        <v>1.0</v>
      </c>
      <c r="AJ15" s="7">
        <v>1.0</v>
      </c>
      <c r="AK15" s="7">
        <f t="shared" si="12"/>
        <v>5</v>
      </c>
      <c r="AL15" s="7">
        <v>1.0</v>
      </c>
      <c r="AM15" s="45">
        <f t="shared" si="13"/>
        <v>5</v>
      </c>
      <c r="AN15" s="7">
        <v>1.0</v>
      </c>
      <c r="AO15" s="7">
        <v>1.0</v>
      </c>
      <c r="AP15" s="7">
        <v>1.0</v>
      </c>
      <c r="AQ15" s="7">
        <f t="shared" si="14"/>
        <v>5</v>
      </c>
      <c r="AR15" s="7">
        <v>1.0</v>
      </c>
      <c r="AS15" s="45">
        <f t="shared" si="15"/>
        <v>5</v>
      </c>
      <c r="AT15" s="7">
        <v>1.0</v>
      </c>
      <c r="AU15" s="7">
        <v>1.0</v>
      </c>
      <c r="AV15" s="7">
        <v>1.0</v>
      </c>
      <c r="AW15" s="7">
        <f t="shared" si="16"/>
        <v>5</v>
      </c>
      <c r="AX15" s="7">
        <v>1.0</v>
      </c>
      <c r="AY15" s="45">
        <f t="shared" si="17"/>
        <v>5</v>
      </c>
      <c r="AZ15" s="7">
        <v>1.0</v>
      </c>
      <c r="BA15" s="7">
        <v>1.0</v>
      </c>
      <c r="BB15" s="7">
        <v>1.0</v>
      </c>
      <c r="BC15" s="7">
        <f t="shared" si="18"/>
        <v>5</v>
      </c>
      <c r="BD15" s="7">
        <v>1.0</v>
      </c>
      <c r="BE15" s="45">
        <f t="shared" si="19"/>
        <v>5</v>
      </c>
      <c r="BF15" s="7"/>
      <c r="BG15" s="7"/>
      <c r="BH15" s="7">
        <v>1.0</v>
      </c>
      <c r="BI15" s="7">
        <f t="shared" si="20"/>
        <v>7</v>
      </c>
      <c r="BJ15" s="7"/>
      <c r="BK15" s="45">
        <f t="shared" si="21"/>
        <v>7</v>
      </c>
      <c r="BL15" s="7">
        <v>1.0</v>
      </c>
      <c r="BM15" s="7">
        <v>1.0</v>
      </c>
      <c r="BN15" s="7">
        <v>1.0</v>
      </c>
      <c r="BO15" s="7">
        <f t="shared" si="22"/>
        <v>5</v>
      </c>
      <c r="BP15" s="7">
        <v>1.0</v>
      </c>
      <c r="BQ15" s="45">
        <f t="shared" si="23"/>
        <v>5</v>
      </c>
      <c r="BR15" s="7">
        <v>1.0</v>
      </c>
      <c r="BS15" s="7">
        <v>1.0</v>
      </c>
      <c r="BT15" s="7"/>
      <c r="BU15" s="7">
        <f t="shared" si="24"/>
        <v>3</v>
      </c>
      <c r="BV15" s="7">
        <v>1.0</v>
      </c>
      <c r="BW15" s="45">
        <f t="shared" si="25"/>
        <v>3</v>
      </c>
      <c r="BX15" s="7"/>
      <c r="BY15" s="7"/>
      <c r="BZ15" s="7"/>
      <c r="CA15" s="7">
        <f t="shared" si="26"/>
        <v>0</v>
      </c>
      <c r="CB15" s="7"/>
      <c r="CC15" s="45">
        <f t="shared" si="27"/>
        <v>0</v>
      </c>
      <c r="CD15" s="7"/>
      <c r="CE15" s="7"/>
      <c r="CF15" s="7"/>
      <c r="CG15" s="7">
        <f t="shared" si="28"/>
        <v>0</v>
      </c>
      <c r="CH15" s="7"/>
      <c r="CI15" s="45">
        <f t="shared" si="29"/>
        <v>0</v>
      </c>
      <c r="CJ15" s="7">
        <v>1.0</v>
      </c>
      <c r="CK15" s="7">
        <v>1.0</v>
      </c>
      <c r="CL15" s="7">
        <v>1.0</v>
      </c>
      <c r="CM15" s="7">
        <f t="shared" si="30"/>
        <v>5</v>
      </c>
      <c r="CN15" s="7">
        <v>1.0</v>
      </c>
      <c r="CO15" s="45">
        <f t="shared" si="31"/>
        <v>5</v>
      </c>
      <c r="CP15" s="7">
        <v>1.0</v>
      </c>
      <c r="CQ15" s="7">
        <v>1.0</v>
      </c>
      <c r="CR15" s="7">
        <v>1.0</v>
      </c>
      <c r="CS15" s="7">
        <f t="shared" si="32"/>
        <v>5</v>
      </c>
      <c r="CT15" s="7">
        <v>1.0</v>
      </c>
      <c r="CU15" s="45">
        <f t="shared" si="33"/>
        <v>5</v>
      </c>
      <c r="CV15" s="7">
        <v>1.0</v>
      </c>
      <c r="CW15" s="7">
        <v>1.0</v>
      </c>
      <c r="CX15" s="7"/>
      <c r="CY15" s="7">
        <f t="shared" si="34"/>
        <v>3</v>
      </c>
      <c r="CZ15" s="7">
        <v>1.0</v>
      </c>
      <c r="DA15" s="45">
        <f t="shared" si="35"/>
        <v>3</v>
      </c>
      <c r="DB15" s="7">
        <v>1.0</v>
      </c>
      <c r="DC15" s="7">
        <v>1.0</v>
      </c>
      <c r="DD15" s="7">
        <v>1.0</v>
      </c>
      <c r="DE15" s="7">
        <f t="shared" si="36"/>
        <v>5</v>
      </c>
      <c r="DF15" s="7">
        <v>1.0</v>
      </c>
      <c r="DG15" s="45">
        <f t="shared" si="37"/>
        <v>5</v>
      </c>
      <c r="DH15" s="7">
        <v>1.0</v>
      </c>
      <c r="DI15" s="7">
        <v>1.0</v>
      </c>
      <c r="DJ15" s="7">
        <v>1.0</v>
      </c>
      <c r="DK15" s="7">
        <f t="shared" si="38"/>
        <v>5</v>
      </c>
      <c r="DL15" s="7">
        <v>1.0</v>
      </c>
      <c r="DM15" s="45">
        <f t="shared" si="39"/>
        <v>5</v>
      </c>
      <c r="DN15" s="7">
        <v>1.0</v>
      </c>
      <c r="DO15" s="7">
        <v>1.0</v>
      </c>
      <c r="DP15" s="7">
        <v>1.0</v>
      </c>
      <c r="DQ15" s="7">
        <f t="shared" si="40"/>
        <v>5</v>
      </c>
      <c r="DR15" s="7">
        <v>1.0</v>
      </c>
      <c r="DS15" s="45">
        <f t="shared" si="41"/>
        <v>5</v>
      </c>
      <c r="DT15" s="7">
        <v>1.0</v>
      </c>
      <c r="DU15" s="7">
        <v>1.0</v>
      </c>
      <c r="DV15" s="7">
        <v>1.0</v>
      </c>
      <c r="DW15" s="7">
        <f t="shared" si="42"/>
        <v>5</v>
      </c>
      <c r="DX15" s="7">
        <v>1.0</v>
      </c>
      <c r="DY15" s="45">
        <f t="shared" si="43"/>
        <v>5</v>
      </c>
      <c r="DZ15" s="7"/>
      <c r="EA15" s="7"/>
      <c r="EB15" s="7"/>
      <c r="EC15" s="7">
        <f t="shared" si="44"/>
        <v>0</v>
      </c>
      <c r="ED15" s="7">
        <v>1.0</v>
      </c>
      <c r="EE15" s="45">
        <f t="shared" si="45"/>
        <v>0</v>
      </c>
      <c r="EF15" s="7">
        <v>1.0</v>
      </c>
      <c r="EG15" s="7">
        <v>1.0</v>
      </c>
      <c r="EH15" s="7">
        <v>1.0</v>
      </c>
      <c r="EI15" s="7">
        <f t="shared" si="46"/>
        <v>5</v>
      </c>
      <c r="EJ15" s="7">
        <v>1.0</v>
      </c>
      <c r="EK15" s="45">
        <f t="shared" si="47"/>
        <v>5</v>
      </c>
      <c r="EL15" s="7">
        <v>1.0</v>
      </c>
      <c r="EM15" s="7">
        <v>1.0</v>
      </c>
      <c r="EN15" s="7">
        <v>1.0</v>
      </c>
      <c r="EO15" s="7">
        <f t="shared" si="48"/>
        <v>5</v>
      </c>
      <c r="EP15" s="7">
        <v>1.0</v>
      </c>
      <c r="EQ15" s="45">
        <f t="shared" si="49"/>
        <v>5</v>
      </c>
      <c r="ER15" s="7">
        <v>1.0</v>
      </c>
      <c r="ES15" s="7">
        <v>1.0</v>
      </c>
      <c r="ET15" s="7">
        <v>1.0</v>
      </c>
      <c r="EU15" s="7">
        <f t="shared" si="50"/>
        <v>5</v>
      </c>
      <c r="EV15" s="7">
        <v>1.0</v>
      </c>
      <c r="EW15" s="45">
        <f t="shared" si="51"/>
        <v>5</v>
      </c>
      <c r="EX15" s="7"/>
      <c r="EY15" s="7"/>
      <c r="EZ15" s="7"/>
      <c r="FA15" s="7">
        <f t="shared" si="52"/>
        <v>0</v>
      </c>
      <c r="FB15" s="7">
        <v>1.0</v>
      </c>
      <c r="FC15" s="45">
        <f t="shared" si="53"/>
        <v>0</v>
      </c>
      <c r="FD15" s="41"/>
      <c r="FE15" s="41"/>
      <c r="FF15" s="41"/>
      <c r="FG15" s="41">
        <f t="shared" si="54"/>
        <v>0</v>
      </c>
      <c r="FH15" s="41">
        <v>1.0</v>
      </c>
      <c r="FI15" s="42">
        <f t="shared" si="55"/>
        <v>0</v>
      </c>
      <c r="FJ15" s="41"/>
      <c r="FK15" s="41"/>
      <c r="FL15" s="41"/>
      <c r="FM15" s="41">
        <f t="shared" si="56"/>
        <v>0</v>
      </c>
      <c r="FN15" s="41">
        <v>1.0</v>
      </c>
      <c r="FO15" s="42">
        <f t="shared" si="57"/>
        <v>0</v>
      </c>
      <c r="FP15" s="7">
        <v>1.0</v>
      </c>
      <c r="FQ15" s="7">
        <v>1.0</v>
      </c>
      <c r="FR15" s="7"/>
      <c r="FS15" s="7">
        <f t="shared" si="58"/>
        <v>3</v>
      </c>
      <c r="FT15" s="7">
        <v>1.0</v>
      </c>
      <c r="FU15" s="45">
        <f t="shared" si="59"/>
        <v>3</v>
      </c>
      <c r="FV15" s="7"/>
      <c r="FW15" s="7"/>
      <c r="FX15" s="7"/>
      <c r="FY15" s="7">
        <f t="shared" si="60"/>
        <v>0</v>
      </c>
      <c r="FZ15" s="7">
        <v>1.0</v>
      </c>
      <c r="GA15" s="45">
        <f t="shared" si="61"/>
        <v>0</v>
      </c>
      <c r="GB15" s="7"/>
      <c r="GC15" s="7"/>
      <c r="GD15" s="7"/>
      <c r="GE15" s="7">
        <f t="shared" si="62"/>
        <v>0</v>
      </c>
      <c r="GF15" s="7">
        <v>1.0</v>
      </c>
      <c r="GG15" s="45">
        <f t="shared" si="63"/>
        <v>0</v>
      </c>
      <c r="GH15" s="7"/>
      <c r="GI15" s="7"/>
      <c r="GJ15" s="7"/>
      <c r="GK15" s="7">
        <f t="shared" si="64"/>
        <v>0</v>
      </c>
      <c r="GL15" s="7">
        <v>1.0</v>
      </c>
      <c r="GM15" s="45">
        <f t="shared" si="65"/>
        <v>0</v>
      </c>
      <c r="GN15" s="41"/>
      <c r="GO15" s="41"/>
      <c r="GP15" s="41"/>
      <c r="GQ15" s="41">
        <f t="shared" si="66"/>
        <v>0</v>
      </c>
      <c r="GR15" s="41">
        <v>1.0</v>
      </c>
      <c r="GS15" s="42">
        <f t="shared" si="67"/>
        <v>0</v>
      </c>
      <c r="GT15" s="7"/>
      <c r="GU15" s="7"/>
      <c r="GV15" s="7"/>
      <c r="GW15" s="7">
        <f t="shared" si="68"/>
        <v>0</v>
      </c>
      <c r="GX15" s="7">
        <v>1.0</v>
      </c>
      <c r="GY15" s="45">
        <f t="shared" si="69"/>
        <v>0</v>
      </c>
      <c r="GZ15" s="7"/>
      <c r="HA15" s="7"/>
      <c r="HB15" s="7"/>
      <c r="HC15" s="7">
        <f t="shared" si="70"/>
        <v>0</v>
      </c>
      <c r="HD15" s="7">
        <v>1.0</v>
      </c>
      <c r="HE15" s="45">
        <f t="shared" si="71"/>
        <v>0</v>
      </c>
      <c r="HF15" s="7"/>
      <c r="HG15" s="7"/>
      <c r="HH15" s="7"/>
      <c r="HI15" s="7">
        <f t="shared" si="72"/>
        <v>0</v>
      </c>
      <c r="HJ15" s="7">
        <v>1.0</v>
      </c>
      <c r="HK15" s="45">
        <f t="shared" si="73"/>
        <v>0</v>
      </c>
      <c r="HL15" s="7"/>
      <c r="HM15" s="7"/>
      <c r="HN15" s="7"/>
      <c r="HO15" s="7">
        <f t="shared" si="74"/>
        <v>0</v>
      </c>
      <c r="HP15" s="7">
        <v>1.0</v>
      </c>
      <c r="HQ15" s="45">
        <f t="shared" si="75"/>
        <v>0</v>
      </c>
      <c r="HR15" s="7"/>
      <c r="HS15" s="7"/>
      <c r="HT15" s="7"/>
      <c r="HU15" s="7">
        <f t="shared" si="76"/>
        <v>0</v>
      </c>
      <c r="HV15" s="7">
        <v>1.0</v>
      </c>
      <c r="HW15" s="45">
        <f t="shared" si="77"/>
        <v>0</v>
      </c>
      <c r="HX15" s="7"/>
      <c r="HY15" s="7"/>
      <c r="HZ15" s="7"/>
      <c r="IA15" s="7">
        <f t="shared" si="78"/>
        <v>0</v>
      </c>
      <c r="IB15" s="7">
        <v>1.0</v>
      </c>
      <c r="IC15" s="45">
        <f t="shared" si="79"/>
        <v>0</v>
      </c>
      <c r="ID15" s="7"/>
      <c r="IE15" s="7"/>
      <c r="IF15" s="7"/>
      <c r="IG15" s="7">
        <f t="shared" si="80"/>
        <v>0</v>
      </c>
      <c r="IH15" s="7">
        <v>1.0</v>
      </c>
      <c r="II15" s="45">
        <f t="shared" si="81"/>
        <v>0</v>
      </c>
      <c r="IJ15" s="7"/>
      <c r="IK15" s="7"/>
      <c r="IL15" s="7"/>
      <c r="IM15" s="7">
        <f t="shared" si="82"/>
        <v>0</v>
      </c>
      <c r="IN15" s="7">
        <v>1.0</v>
      </c>
      <c r="IO15" s="45">
        <f t="shared" si="83"/>
        <v>0</v>
      </c>
    </row>
    <row r="16">
      <c r="A16" s="36" t="s">
        <v>42</v>
      </c>
      <c r="B16" s="21" t="s">
        <v>124</v>
      </c>
      <c r="C16" s="1">
        <f t="shared" si="1"/>
        <v>11</v>
      </c>
      <c r="D16" s="15">
        <f>VLOOKUP(A16,TDP!A:C,3,FALSE)</f>
        <v>0.17</v>
      </c>
      <c r="E16" s="38">
        <f t="shared" si="2"/>
        <v>120.51</v>
      </c>
      <c r="F16" s="7">
        <v>1.0</v>
      </c>
      <c r="G16" s="39">
        <f t="shared" si="3"/>
        <v>7</v>
      </c>
      <c r="H16" s="7">
        <v>1.0</v>
      </c>
      <c r="I16" s="7">
        <v>1.0</v>
      </c>
      <c r="J16" s="7">
        <v>1.0</v>
      </c>
      <c r="K16" s="7">
        <f t="shared" si="4"/>
        <v>5</v>
      </c>
      <c r="L16" s="7">
        <v>1.0</v>
      </c>
      <c r="M16" s="45">
        <f t="shared" si="5"/>
        <v>5</v>
      </c>
      <c r="N16" s="41"/>
      <c r="O16" s="41"/>
      <c r="P16" s="41"/>
      <c r="Q16" s="42">
        <f t="shared" si="6"/>
        <v>0</v>
      </c>
      <c r="R16" s="41"/>
      <c r="S16" s="41"/>
      <c r="T16" s="41"/>
      <c r="U16" s="42">
        <f t="shared" si="7"/>
        <v>0</v>
      </c>
      <c r="V16" s="7">
        <v>1.0</v>
      </c>
      <c r="W16" s="7">
        <v>1.0</v>
      </c>
      <c r="X16" s="7">
        <v>1.0</v>
      </c>
      <c r="Y16" s="7">
        <f t="shared" si="8"/>
        <v>5</v>
      </c>
      <c r="Z16" s="7">
        <v>1.0</v>
      </c>
      <c r="AA16" s="45">
        <f t="shared" si="9"/>
        <v>5</v>
      </c>
      <c r="AB16" s="7">
        <v>1.0</v>
      </c>
      <c r="AC16" s="7">
        <v>1.0</v>
      </c>
      <c r="AD16" s="7">
        <v>1.0</v>
      </c>
      <c r="AE16" s="7">
        <f t="shared" si="10"/>
        <v>5</v>
      </c>
      <c r="AF16" s="7">
        <v>1.0</v>
      </c>
      <c r="AG16" s="45">
        <f t="shared" si="11"/>
        <v>5</v>
      </c>
      <c r="AH16" s="7">
        <v>1.0</v>
      </c>
      <c r="AI16" s="7">
        <v>1.0</v>
      </c>
      <c r="AJ16" s="7">
        <v>1.0</v>
      </c>
      <c r="AK16" s="7">
        <f t="shared" si="12"/>
        <v>5</v>
      </c>
      <c r="AL16" s="7">
        <v>1.0</v>
      </c>
      <c r="AM16" s="45">
        <f t="shared" si="13"/>
        <v>5</v>
      </c>
      <c r="AN16" s="7">
        <v>1.0</v>
      </c>
      <c r="AO16" s="7">
        <v>1.0</v>
      </c>
      <c r="AP16" s="7">
        <v>1.0</v>
      </c>
      <c r="AQ16" s="7">
        <f t="shared" si="14"/>
        <v>5</v>
      </c>
      <c r="AR16" s="7">
        <v>1.0</v>
      </c>
      <c r="AS16" s="45">
        <f t="shared" si="15"/>
        <v>5</v>
      </c>
      <c r="AT16" s="7">
        <v>1.0</v>
      </c>
      <c r="AU16" s="7">
        <v>1.0</v>
      </c>
      <c r="AV16" s="7">
        <v>1.0</v>
      </c>
      <c r="AW16" s="7">
        <f t="shared" si="16"/>
        <v>5</v>
      </c>
      <c r="AX16" s="7"/>
      <c r="AY16" s="45">
        <f t="shared" si="17"/>
        <v>0</v>
      </c>
      <c r="AZ16" s="7"/>
      <c r="BA16" s="7"/>
      <c r="BB16" s="7"/>
      <c r="BC16" s="7">
        <f t="shared" si="18"/>
        <v>0</v>
      </c>
      <c r="BD16" s="7"/>
      <c r="BE16" s="45">
        <f t="shared" si="19"/>
        <v>0</v>
      </c>
      <c r="BF16" s="7">
        <v>1.0</v>
      </c>
      <c r="BG16" s="7">
        <v>1.0</v>
      </c>
      <c r="BH16" s="7">
        <v>1.0</v>
      </c>
      <c r="BI16" s="7">
        <f t="shared" si="20"/>
        <v>5</v>
      </c>
      <c r="BJ16" s="7">
        <v>1.0</v>
      </c>
      <c r="BK16" s="45">
        <f t="shared" si="21"/>
        <v>5</v>
      </c>
      <c r="BL16" s="7">
        <v>1.0</v>
      </c>
      <c r="BM16" s="7">
        <v>1.0</v>
      </c>
      <c r="BN16" s="7">
        <v>1.0</v>
      </c>
      <c r="BO16" s="7">
        <f t="shared" si="22"/>
        <v>5</v>
      </c>
      <c r="BP16" s="7">
        <v>1.0</v>
      </c>
      <c r="BQ16" s="45">
        <f t="shared" si="23"/>
        <v>5</v>
      </c>
      <c r="BR16" s="7">
        <v>1.0</v>
      </c>
      <c r="BS16" s="7">
        <v>1.0</v>
      </c>
      <c r="BT16" s="7"/>
      <c r="BU16" s="7">
        <f t="shared" si="24"/>
        <v>3</v>
      </c>
      <c r="BV16" s="7">
        <v>1.0</v>
      </c>
      <c r="BW16" s="45">
        <f t="shared" si="25"/>
        <v>3</v>
      </c>
      <c r="BX16" s="7">
        <v>1.0</v>
      </c>
      <c r="BY16" s="7">
        <v>1.0</v>
      </c>
      <c r="BZ16" s="7">
        <v>1.0</v>
      </c>
      <c r="CA16" s="7">
        <f t="shared" si="26"/>
        <v>5</v>
      </c>
      <c r="CB16" s="7">
        <v>1.0</v>
      </c>
      <c r="CC16" s="45">
        <f t="shared" si="27"/>
        <v>5</v>
      </c>
      <c r="CD16" s="7">
        <v>1.0</v>
      </c>
      <c r="CE16" s="7">
        <v>1.0</v>
      </c>
      <c r="CF16" s="7">
        <v>1.0</v>
      </c>
      <c r="CG16" s="7">
        <f t="shared" si="28"/>
        <v>5</v>
      </c>
      <c r="CH16" s="7">
        <v>1.0</v>
      </c>
      <c r="CI16" s="45">
        <f t="shared" si="29"/>
        <v>5</v>
      </c>
      <c r="CJ16" s="7">
        <v>1.0</v>
      </c>
      <c r="CK16" s="7">
        <v>1.0</v>
      </c>
      <c r="CL16" s="7">
        <v>1.0</v>
      </c>
      <c r="CM16" s="7">
        <f t="shared" si="30"/>
        <v>5</v>
      </c>
      <c r="CN16" s="7">
        <v>1.0</v>
      </c>
      <c r="CO16" s="45">
        <f t="shared" si="31"/>
        <v>5</v>
      </c>
      <c r="CP16" s="7">
        <v>1.0</v>
      </c>
      <c r="CQ16" s="7">
        <v>1.0</v>
      </c>
      <c r="CR16" s="7">
        <v>1.0</v>
      </c>
      <c r="CS16" s="7">
        <f t="shared" si="32"/>
        <v>5</v>
      </c>
      <c r="CT16" s="7">
        <v>1.0</v>
      </c>
      <c r="CU16" s="45">
        <f t="shared" si="33"/>
        <v>5</v>
      </c>
      <c r="CV16" s="7">
        <v>1.0</v>
      </c>
      <c r="CW16" s="7">
        <v>1.0</v>
      </c>
      <c r="CX16" s="7"/>
      <c r="CY16" s="7">
        <f t="shared" si="34"/>
        <v>3</v>
      </c>
      <c r="CZ16" s="7">
        <v>1.0</v>
      </c>
      <c r="DA16" s="45">
        <f t="shared" si="35"/>
        <v>3</v>
      </c>
      <c r="DB16" s="7">
        <v>1.0</v>
      </c>
      <c r="DC16" s="7">
        <v>1.0</v>
      </c>
      <c r="DD16" s="7">
        <v>1.0</v>
      </c>
      <c r="DE16" s="7">
        <f t="shared" si="36"/>
        <v>5</v>
      </c>
      <c r="DF16" s="7">
        <v>1.0</v>
      </c>
      <c r="DG16" s="45">
        <f t="shared" si="37"/>
        <v>5</v>
      </c>
      <c r="DH16" s="7">
        <v>1.0</v>
      </c>
      <c r="DI16" s="7">
        <v>1.0</v>
      </c>
      <c r="DJ16" s="7">
        <v>1.0</v>
      </c>
      <c r="DK16" s="7">
        <f t="shared" si="38"/>
        <v>5</v>
      </c>
      <c r="DL16" s="7">
        <v>1.0</v>
      </c>
      <c r="DM16" s="45">
        <f t="shared" si="39"/>
        <v>5</v>
      </c>
      <c r="DN16" s="7"/>
      <c r="DO16" s="7"/>
      <c r="DP16" s="7"/>
      <c r="DQ16" s="7">
        <f t="shared" si="40"/>
        <v>0</v>
      </c>
      <c r="DR16" s="7">
        <v>1.0</v>
      </c>
      <c r="DS16" s="45">
        <f t="shared" si="41"/>
        <v>0</v>
      </c>
      <c r="DT16" s="7">
        <v>1.0</v>
      </c>
      <c r="DU16" s="7">
        <v>1.0</v>
      </c>
      <c r="DV16" s="7">
        <v>1.0</v>
      </c>
      <c r="DW16" s="7">
        <f t="shared" si="42"/>
        <v>5</v>
      </c>
      <c r="DX16" s="7">
        <v>1.0</v>
      </c>
      <c r="DY16" s="45">
        <f t="shared" si="43"/>
        <v>5</v>
      </c>
      <c r="DZ16" s="7"/>
      <c r="EA16" s="7"/>
      <c r="EB16" s="7"/>
      <c r="EC16" s="7">
        <f t="shared" si="44"/>
        <v>0</v>
      </c>
      <c r="ED16" s="7">
        <v>1.0</v>
      </c>
      <c r="EE16" s="45">
        <f t="shared" si="45"/>
        <v>0</v>
      </c>
      <c r="EF16" s="7">
        <v>1.0</v>
      </c>
      <c r="EG16" s="7">
        <v>1.0</v>
      </c>
      <c r="EH16" s="7">
        <v>1.0</v>
      </c>
      <c r="EI16" s="7">
        <f t="shared" si="46"/>
        <v>5</v>
      </c>
      <c r="EJ16" s="7">
        <v>1.0</v>
      </c>
      <c r="EK16" s="45">
        <f t="shared" si="47"/>
        <v>5</v>
      </c>
      <c r="EL16" s="7">
        <v>1.0</v>
      </c>
      <c r="EM16" s="7">
        <v>1.0</v>
      </c>
      <c r="EN16" s="7">
        <v>1.0</v>
      </c>
      <c r="EO16" s="7">
        <f t="shared" si="48"/>
        <v>5</v>
      </c>
      <c r="EP16" s="7">
        <v>1.0</v>
      </c>
      <c r="EQ16" s="45">
        <f t="shared" si="49"/>
        <v>5</v>
      </c>
      <c r="ER16" s="7">
        <v>1.0</v>
      </c>
      <c r="ES16" s="7">
        <v>1.0</v>
      </c>
      <c r="ET16" s="7">
        <v>1.0</v>
      </c>
      <c r="EU16" s="7">
        <f t="shared" si="50"/>
        <v>5</v>
      </c>
      <c r="EV16" s="7">
        <v>1.0</v>
      </c>
      <c r="EW16" s="45">
        <f t="shared" si="51"/>
        <v>5</v>
      </c>
      <c r="EX16" s="7">
        <v>1.0</v>
      </c>
      <c r="EY16" s="7">
        <v>1.0</v>
      </c>
      <c r="EZ16" s="7">
        <v>1.0</v>
      </c>
      <c r="FA16" s="7">
        <f t="shared" si="52"/>
        <v>5</v>
      </c>
      <c r="FB16" s="7">
        <v>1.0</v>
      </c>
      <c r="FC16" s="45">
        <f t="shared" si="53"/>
        <v>5</v>
      </c>
      <c r="FD16" s="41"/>
      <c r="FE16" s="41"/>
      <c r="FF16" s="41"/>
      <c r="FG16" s="41">
        <f t="shared" si="54"/>
        <v>0</v>
      </c>
      <c r="FH16" s="41">
        <v>1.0</v>
      </c>
      <c r="FI16" s="42">
        <f t="shared" si="55"/>
        <v>0</v>
      </c>
      <c r="FJ16" s="41"/>
      <c r="FK16" s="41"/>
      <c r="FL16" s="41"/>
      <c r="FM16" s="41">
        <f t="shared" si="56"/>
        <v>0</v>
      </c>
      <c r="FN16" s="41">
        <v>1.0</v>
      </c>
      <c r="FO16" s="42">
        <f t="shared" si="57"/>
        <v>0</v>
      </c>
      <c r="FP16" s="7"/>
      <c r="FQ16" s="7"/>
      <c r="FR16" s="7"/>
      <c r="FS16" s="7">
        <f t="shared" si="58"/>
        <v>0</v>
      </c>
      <c r="FT16" s="7">
        <v>1.0</v>
      </c>
      <c r="FU16" s="45">
        <f t="shared" si="59"/>
        <v>0</v>
      </c>
      <c r="FV16" s="7"/>
      <c r="FW16" s="7"/>
      <c r="FX16" s="7"/>
      <c r="FY16" s="7">
        <f t="shared" si="60"/>
        <v>0</v>
      </c>
      <c r="FZ16" s="7">
        <v>1.0</v>
      </c>
      <c r="GA16" s="45">
        <f t="shared" si="61"/>
        <v>0</v>
      </c>
      <c r="GB16" s="7"/>
      <c r="GC16" s="7"/>
      <c r="GD16" s="7"/>
      <c r="GE16" s="7">
        <f t="shared" si="62"/>
        <v>0</v>
      </c>
      <c r="GF16" s="7">
        <v>1.0</v>
      </c>
      <c r="GG16" s="45">
        <f t="shared" si="63"/>
        <v>0</v>
      </c>
      <c r="GH16" s="7"/>
      <c r="GI16" s="7"/>
      <c r="GJ16" s="7"/>
      <c r="GK16" s="7">
        <f t="shared" si="64"/>
        <v>0</v>
      </c>
      <c r="GL16" s="7">
        <v>1.0</v>
      </c>
      <c r="GM16" s="45">
        <f t="shared" si="65"/>
        <v>0</v>
      </c>
      <c r="GN16" s="41"/>
      <c r="GO16" s="41"/>
      <c r="GP16" s="41"/>
      <c r="GQ16" s="41">
        <f t="shared" si="66"/>
        <v>0</v>
      </c>
      <c r="GR16" s="41">
        <v>1.0</v>
      </c>
      <c r="GS16" s="42">
        <f t="shared" si="67"/>
        <v>0</v>
      </c>
      <c r="GT16" s="7"/>
      <c r="GU16" s="7"/>
      <c r="GV16" s="7"/>
      <c r="GW16" s="7">
        <f t="shared" si="68"/>
        <v>0</v>
      </c>
      <c r="GX16" s="7">
        <v>1.0</v>
      </c>
      <c r="GY16" s="45">
        <f t="shared" si="69"/>
        <v>0</v>
      </c>
      <c r="GZ16" s="7"/>
      <c r="HA16" s="7"/>
      <c r="HB16" s="7"/>
      <c r="HC16" s="7">
        <f t="shared" si="70"/>
        <v>0</v>
      </c>
      <c r="HD16" s="7">
        <v>1.0</v>
      </c>
      <c r="HE16" s="45">
        <f t="shared" si="71"/>
        <v>0</v>
      </c>
      <c r="HF16" s="7"/>
      <c r="HG16" s="7"/>
      <c r="HH16" s="7"/>
      <c r="HI16" s="7">
        <f t="shared" si="72"/>
        <v>0</v>
      </c>
      <c r="HJ16" s="7">
        <v>1.0</v>
      </c>
      <c r="HK16" s="45">
        <f t="shared" si="73"/>
        <v>0</v>
      </c>
      <c r="HL16" s="7"/>
      <c r="HM16" s="7"/>
      <c r="HN16" s="7"/>
      <c r="HO16" s="7">
        <f t="shared" si="74"/>
        <v>0</v>
      </c>
      <c r="HP16" s="7">
        <v>1.0</v>
      </c>
      <c r="HQ16" s="45">
        <f t="shared" si="75"/>
        <v>0</v>
      </c>
      <c r="HR16" s="7"/>
      <c r="HS16" s="7"/>
      <c r="HT16" s="7"/>
      <c r="HU16" s="7">
        <f t="shared" si="76"/>
        <v>0</v>
      </c>
      <c r="HV16" s="7">
        <v>1.0</v>
      </c>
      <c r="HW16" s="45">
        <f t="shared" si="77"/>
        <v>0</v>
      </c>
      <c r="HX16" s="7"/>
      <c r="HY16" s="7"/>
      <c r="HZ16" s="7"/>
      <c r="IA16" s="7">
        <f t="shared" si="78"/>
        <v>0</v>
      </c>
      <c r="IB16" s="7">
        <v>1.0</v>
      </c>
      <c r="IC16" s="45">
        <f t="shared" si="79"/>
        <v>0</v>
      </c>
      <c r="ID16" s="7"/>
      <c r="IE16" s="7"/>
      <c r="IF16" s="7"/>
      <c r="IG16" s="7">
        <f t="shared" si="80"/>
        <v>0</v>
      </c>
      <c r="IH16" s="7">
        <v>1.0</v>
      </c>
      <c r="II16" s="45">
        <f t="shared" si="81"/>
        <v>0</v>
      </c>
      <c r="IJ16" s="7"/>
      <c r="IK16" s="7"/>
      <c r="IL16" s="7"/>
      <c r="IM16" s="7">
        <f t="shared" si="82"/>
        <v>0</v>
      </c>
      <c r="IN16" s="7">
        <v>1.0</v>
      </c>
      <c r="IO16" s="45">
        <f t="shared" si="83"/>
        <v>0</v>
      </c>
    </row>
    <row r="17">
      <c r="A17" s="36" t="s">
        <v>32</v>
      </c>
      <c r="B17" s="21" t="s">
        <v>33</v>
      </c>
      <c r="C17" s="1">
        <f t="shared" si="1"/>
        <v>12</v>
      </c>
      <c r="D17" s="15">
        <f>VLOOKUP(A17,TDP!A:C,3,FALSE)</f>
        <v>0.39</v>
      </c>
      <c r="E17" s="38">
        <f t="shared" si="2"/>
        <v>115.37</v>
      </c>
      <c r="F17" s="7"/>
      <c r="G17" s="107">
        <f t="shared" si="3"/>
        <v>0</v>
      </c>
      <c r="H17" s="7"/>
      <c r="I17" s="7"/>
      <c r="J17" s="7">
        <v>1.0</v>
      </c>
      <c r="K17" s="7">
        <f t="shared" si="4"/>
        <v>7</v>
      </c>
      <c r="L17" s="7"/>
      <c r="M17" s="45">
        <f t="shared" si="5"/>
        <v>7</v>
      </c>
      <c r="N17" s="41"/>
      <c r="O17" s="41"/>
      <c r="P17" s="41"/>
      <c r="Q17" s="42">
        <f t="shared" si="6"/>
        <v>0</v>
      </c>
      <c r="R17" s="41"/>
      <c r="S17" s="41"/>
      <c r="T17" s="41"/>
      <c r="U17" s="42">
        <f t="shared" si="7"/>
        <v>0</v>
      </c>
      <c r="V17" s="7">
        <v>1.0</v>
      </c>
      <c r="W17" s="7">
        <v>1.0</v>
      </c>
      <c r="X17" s="7">
        <v>1.0</v>
      </c>
      <c r="Y17" s="7">
        <f t="shared" si="8"/>
        <v>5</v>
      </c>
      <c r="Z17" s="7">
        <v>1.0</v>
      </c>
      <c r="AA17" s="45">
        <f t="shared" si="9"/>
        <v>5</v>
      </c>
      <c r="AB17" s="7">
        <v>1.0</v>
      </c>
      <c r="AC17" s="7">
        <v>1.0</v>
      </c>
      <c r="AD17" s="7"/>
      <c r="AE17" s="7">
        <f t="shared" si="10"/>
        <v>3</v>
      </c>
      <c r="AF17" s="7">
        <v>1.0</v>
      </c>
      <c r="AG17" s="45">
        <f t="shared" si="11"/>
        <v>3</v>
      </c>
      <c r="AH17" s="7">
        <v>1.0</v>
      </c>
      <c r="AI17" s="7">
        <v>1.0</v>
      </c>
      <c r="AJ17" s="7"/>
      <c r="AK17" s="7">
        <f t="shared" si="12"/>
        <v>3</v>
      </c>
      <c r="AL17" s="7">
        <v>1.0</v>
      </c>
      <c r="AM17" s="45">
        <f t="shared" si="13"/>
        <v>3</v>
      </c>
      <c r="AN17" s="7">
        <v>1.0</v>
      </c>
      <c r="AO17" s="7">
        <v>1.0</v>
      </c>
      <c r="AP17" s="7">
        <v>1.0</v>
      </c>
      <c r="AQ17" s="7">
        <f t="shared" si="14"/>
        <v>5</v>
      </c>
      <c r="AR17" s="7">
        <v>1.0</v>
      </c>
      <c r="AS17" s="45">
        <f t="shared" si="15"/>
        <v>5</v>
      </c>
      <c r="AT17" s="7">
        <v>1.0</v>
      </c>
      <c r="AU17" s="7">
        <v>1.0</v>
      </c>
      <c r="AV17" s="7"/>
      <c r="AW17" s="7">
        <f t="shared" si="16"/>
        <v>3</v>
      </c>
      <c r="AX17" s="7">
        <v>1.0</v>
      </c>
      <c r="AY17" s="45">
        <f t="shared" si="17"/>
        <v>3</v>
      </c>
      <c r="AZ17" s="7">
        <v>1.0</v>
      </c>
      <c r="BA17" s="7">
        <v>1.0</v>
      </c>
      <c r="BB17" s="7"/>
      <c r="BC17" s="7">
        <f t="shared" si="18"/>
        <v>3</v>
      </c>
      <c r="BD17" s="7">
        <v>1.0</v>
      </c>
      <c r="BE17" s="45">
        <f t="shared" si="19"/>
        <v>3</v>
      </c>
      <c r="BF17" s="7">
        <v>1.0</v>
      </c>
      <c r="BG17" s="7">
        <v>1.0</v>
      </c>
      <c r="BH17" s="7"/>
      <c r="BI17" s="7">
        <f t="shared" si="20"/>
        <v>3</v>
      </c>
      <c r="BJ17" s="7">
        <v>1.0</v>
      </c>
      <c r="BK17" s="45">
        <f t="shared" si="21"/>
        <v>3</v>
      </c>
      <c r="BL17" s="7">
        <v>1.0</v>
      </c>
      <c r="BM17" s="7">
        <v>1.0</v>
      </c>
      <c r="BN17" s="7"/>
      <c r="BO17" s="7">
        <f t="shared" si="22"/>
        <v>3</v>
      </c>
      <c r="BP17" s="7">
        <v>1.0</v>
      </c>
      <c r="BQ17" s="45">
        <f t="shared" si="23"/>
        <v>3</v>
      </c>
      <c r="BR17" s="7">
        <v>1.0</v>
      </c>
      <c r="BS17" s="7">
        <v>1.0</v>
      </c>
      <c r="BT17" s="7">
        <v>1.0</v>
      </c>
      <c r="BU17" s="7">
        <f t="shared" si="24"/>
        <v>5</v>
      </c>
      <c r="BV17" s="7"/>
      <c r="BW17" s="45">
        <f t="shared" si="25"/>
        <v>0</v>
      </c>
      <c r="BX17" s="7"/>
      <c r="BY17" s="7"/>
      <c r="BZ17" s="7">
        <v>1.0</v>
      </c>
      <c r="CA17" s="7">
        <f t="shared" si="26"/>
        <v>7</v>
      </c>
      <c r="CB17" s="7"/>
      <c r="CC17" s="45">
        <f t="shared" si="27"/>
        <v>7</v>
      </c>
      <c r="CD17" s="7">
        <v>1.0</v>
      </c>
      <c r="CE17" s="7">
        <v>1.0</v>
      </c>
      <c r="CF17" s="7">
        <v>1.0</v>
      </c>
      <c r="CG17" s="7">
        <f t="shared" si="28"/>
        <v>5</v>
      </c>
      <c r="CH17" s="7">
        <v>1.0</v>
      </c>
      <c r="CI17" s="45">
        <f t="shared" si="29"/>
        <v>5</v>
      </c>
      <c r="CJ17" s="7">
        <v>1.0</v>
      </c>
      <c r="CK17" s="7">
        <v>1.0</v>
      </c>
      <c r="CL17" s="7"/>
      <c r="CM17" s="7">
        <f t="shared" si="30"/>
        <v>3</v>
      </c>
      <c r="CN17" s="7">
        <v>1.0</v>
      </c>
      <c r="CO17" s="45">
        <f t="shared" si="31"/>
        <v>3</v>
      </c>
      <c r="CP17" s="7">
        <v>1.0</v>
      </c>
      <c r="CQ17" s="7">
        <v>1.0</v>
      </c>
      <c r="CR17" s="7"/>
      <c r="CS17" s="7">
        <f t="shared" si="32"/>
        <v>3</v>
      </c>
      <c r="CT17" s="7">
        <v>1.0</v>
      </c>
      <c r="CU17" s="45">
        <f t="shared" si="33"/>
        <v>3</v>
      </c>
      <c r="CV17" s="7">
        <v>1.0</v>
      </c>
      <c r="CW17" s="7">
        <v>1.0</v>
      </c>
      <c r="CX17" s="7"/>
      <c r="CY17" s="7">
        <f t="shared" si="34"/>
        <v>3</v>
      </c>
      <c r="CZ17" s="7">
        <v>1.0</v>
      </c>
      <c r="DA17" s="45">
        <f t="shared" si="35"/>
        <v>3</v>
      </c>
      <c r="DB17" s="7">
        <v>1.0</v>
      </c>
      <c r="DC17" s="7">
        <v>1.0</v>
      </c>
      <c r="DD17" s="7"/>
      <c r="DE17" s="7">
        <f t="shared" si="36"/>
        <v>3</v>
      </c>
      <c r="DF17" s="7">
        <v>1.0</v>
      </c>
      <c r="DG17" s="45">
        <f t="shared" si="37"/>
        <v>3</v>
      </c>
      <c r="DH17" s="7">
        <v>1.0</v>
      </c>
      <c r="DI17" s="7">
        <v>1.0</v>
      </c>
      <c r="DJ17" s="7"/>
      <c r="DK17" s="7">
        <f t="shared" si="38"/>
        <v>3</v>
      </c>
      <c r="DL17" s="7">
        <v>1.0</v>
      </c>
      <c r="DM17" s="45">
        <f t="shared" si="39"/>
        <v>3</v>
      </c>
      <c r="DN17" s="7"/>
      <c r="DO17" s="7"/>
      <c r="DP17" s="7"/>
      <c r="DQ17" s="7">
        <f t="shared" si="40"/>
        <v>0</v>
      </c>
      <c r="DR17" s="7">
        <v>1.0</v>
      </c>
      <c r="DS17" s="45">
        <f t="shared" si="41"/>
        <v>0</v>
      </c>
      <c r="DT17" s="7">
        <v>1.0</v>
      </c>
      <c r="DU17" s="7">
        <v>1.0</v>
      </c>
      <c r="DV17" s="7"/>
      <c r="DW17" s="7">
        <f t="shared" si="42"/>
        <v>3</v>
      </c>
      <c r="DX17" s="7">
        <v>1.0</v>
      </c>
      <c r="DY17" s="45">
        <f t="shared" si="43"/>
        <v>3</v>
      </c>
      <c r="DZ17" s="7">
        <v>1.0</v>
      </c>
      <c r="EA17" s="7">
        <v>1.0</v>
      </c>
      <c r="EB17" s="7"/>
      <c r="EC17" s="7">
        <f t="shared" si="44"/>
        <v>3</v>
      </c>
      <c r="ED17" s="7">
        <v>1.0</v>
      </c>
      <c r="EE17" s="45">
        <f t="shared" si="45"/>
        <v>3</v>
      </c>
      <c r="EF17" s="7"/>
      <c r="EG17" s="7"/>
      <c r="EH17" s="7"/>
      <c r="EI17" s="7">
        <f t="shared" si="46"/>
        <v>0</v>
      </c>
      <c r="EJ17" s="7">
        <v>1.0</v>
      </c>
      <c r="EK17" s="45">
        <f t="shared" si="47"/>
        <v>0</v>
      </c>
      <c r="EL17" s="7">
        <v>1.0</v>
      </c>
      <c r="EM17" s="7">
        <v>1.0</v>
      </c>
      <c r="EN17" s="7"/>
      <c r="EO17" s="7">
        <f t="shared" si="48"/>
        <v>3</v>
      </c>
      <c r="EP17" s="7">
        <v>1.0</v>
      </c>
      <c r="EQ17" s="45">
        <f t="shared" si="49"/>
        <v>3</v>
      </c>
      <c r="ER17" s="7">
        <v>1.0</v>
      </c>
      <c r="ES17" s="7">
        <v>1.0</v>
      </c>
      <c r="ET17" s="7"/>
      <c r="EU17" s="7">
        <f t="shared" si="50"/>
        <v>3</v>
      </c>
      <c r="EV17" s="7">
        <v>1.0</v>
      </c>
      <c r="EW17" s="45">
        <f t="shared" si="51"/>
        <v>3</v>
      </c>
      <c r="EX17" s="7"/>
      <c r="EY17" s="7"/>
      <c r="EZ17" s="7"/>
      <c r="FA17" s="7">
        <f t="shared" si="52"/>
        <v>0</v>
      </c>
      <c r="FB17" s="7">
        <v>1.0</v>
      </c>
      <c r="FC17" s="45">
        <f t="shared" si="53"/>
        <v>0</v>
      </c>
      <c r="FD17" s="41"/>
      <c r="FE17" s="41"/>
      <c r="FF17" s="41"/>
      <c r="FG17" s="41">
        <f t="shared" si="54"/>
        <v>0</v>
      </c>
      <c r="FH17" s="41">
        <v>1.0</v>
      </c>
      <c r="FI17" s="42">
        <f t="shared" si="55"/>
        <v>0</v>
      </c>
      <c r="FJ17" s="41"/>
      <c r="FK17" s="41"/>
      <c r="FL17" s="41"/>
      <c r="FM17" s="41">
        <f t="shared" si="56"/>
        <v>0</v>
      </c>
      <c r="FN17" s="41">
        <v>1.0</v>
      </c>
      <c r="FO17" s="42">
        <f t="shared" si="57"/>
        <v>0</v>
      </c>
      <c r="FP17" s="7">
        <v>1.0</v>
      </c>
      <c r="FQ17" s="7">
        <v>1.0</v>
      </c>
      <c r="FR17" s="7"/>
      <c r="FS17" s="7">
        <f t="shared" si="58"/>
        <v>3</v>
      </c>
      <c r="FT17" s="7">
        <v>1.0</v>
      </c>
      <c r="FU17" s="45">
        <f t="shared" si="59"/>
        <v>3</v>
      </c>
      <c r="FV17" s="7">
        <v>1.0</v>
      </c>
      <c r="FW17" s="7">
        <v>1.0</v>
      </c>
      <c r="FX17" s="7"/>
      <c r="FY17" s="7">
        <f t="shared" si="60"/>
        <v>3</v>
      </c>
      <c r="FZ17" s="7">
        <v>1.0</v>
      </c>
      <c r="GA17" s="45">
        <f t="shared" si="61"/>
        <v>3</v>
      </c>
      <c r="GB17" s="7">
        <v>1.0</v>
      </c>
      <c r="GC17" s="7">
        <v>1.0</v>
      </c>
      <c r="GD17" s="7"/>
      <c r="GE17" s="7">
        <f t="shared" si="62"/>
        <v>3</v>
      </c>
      <c r="GF17" s="7">
        <v>1.0</v>
      </c>
      <c r="GG17" s="45">
        <f t="shared" si="63"/>
        <v>3</v>
      </c>
      <c r="GH17" s="7"/>
      <c r="GI17" s="7"/>
      <c r="GJ17" s="7"/>
      <c r="GK17" s="7">
        <f t="shared" si="64"/>
        <v>0</v>
      </c>
      <c r="GL17" s="7">
        <v>1.0</v>
      </c>
      <c r="GM17" s="45">
        <f t="shared" si="65"/>
        <v>0</v>
      </c>
      <c r="GN17" s="41"/>
      <c r="GO17" s="41"/>
      <c r="GP17" s="41"/>
      <c r="GQ17" s="41">
        <f t="shared" si="66"/>
        <v>0</v>
      </c>
      <c r="GR17" s="41">
        <v>1.0</v>
      </c>
      <c r="GS17" s="42">
        <f t="shared" si="67"/>
        <v>0</v>
      </c>
      <c r="GT17" s="7"/>
      <c r="GU17" s="7"/>
      <c r="GV17" s="7"/>
      <c r="GW17" s="7">
        <f t="shared" si="68"/>
        <v>0</v>
      </c>
      <c r="GX17" s="7">
        <v>1.0</v>
      </c>
      <c r="GY17" s="45">
        <f t="shared" si="69"/>
        <v>0</v>
      </c>
      <c r="GZ17" s="7"/>
      <c r="HA17" s="7"/>
      <c r="HB17" s="7"/>
      <c r="HC17" s="7">
        <f t="shared" si="70"/>
        <v>0</v>
      </c>
      <c r="HD17" s="7">
        <v>1.0</v>
      </c>
      <c r="HE17" s="45">
        <f t="shared" si="71"/>
        <v>0</v>
      </c>
      <c r="HF17" s="7"/>
      <c r="HG17" s="7"/>
      <c r="HH17" s="7"/>
      <c r="HI17" s="7">
        <f t="shared" si="72"/>
        <v>0</v>
      </c>
      <c r="HJ17" s="7">
        <v>1.0</v>
      </c>
      <c r="HK17" s="45">
        <f t="shared" si="73"/>
        <v>0</v>
      </c>
      <c r="HL17" s="7"/>
      <c r="HM17" s="7"/>
      <c r="HN17" s="7"/>
      <c r="HO17" s="7">
        <f t="shared" si="74"/>
        <v>0</v>
      </c>
      <c r="HP17" s="7">
        <v>1.0</v>
      </c>
      <c r="HQ17" s="45">
        <f t="shared" si="75"/>
        <v>0</v>
      </c>
      <c r="HR17" s="7"/>
      <c r="HS17" s="7"/>
      <c r="HT17" s="7"/>
      <c r="HU17" s="7">
        <f t="shared" si="76"/>
        <v>0</v>
      </c>
      <c r="HV17" s="7">
        <v>1.0</v>
      </c>
      <c r="HW17" s="45">
        <f t="shared" si="77"/>
        <v>0</v>
      </c>
      <c r="HX17" s="7"/>
      <c r="HY17" s="7"/>
      <c r="HZ17" s="7"/>
      <c r="IA17" s="7">
        <f t="shared" si="78"/>
        <v>0</v>
      </c>
      <c r="IB17" s="7">
        <v>1.0</v>
      </c>
      <c r="IC17" s="45">
        <f t="shared" si="79"/>
        <v>0</v>
      </c>
      <c r="ID17" s="7"/>
      <c r="IE17" s="7"/>
      <c r="IF17" s="7"/>
      <c r="IG17" s="7">
        <f t="shared" si="80"/>
        <v>0</v>
      </c>
      <c r="IH17" s="7">
        <v>1.0</v>
      </c>
      <c r="II17" s="45">
        <f t="shared" si="81"/>
        <v>0</v>
      </c>
      <c r="IJ17" s="7"/>
      <c r="IK17" s="7"/>
      <c r="IL17" s="7"/>
      <c r="IM17" s="7">
        <f t="shared" si="82"/>
        <v>0</v>
      </c>
      <c r="IN17" s="7">
        <v>1.0</v>
      </c>
      <c r="IO17" s="45">
        <f t="shared" si="83"/>
        <v>0</v>
      </c>
    </row>
    <row r="18">
      <c r="A18" s="36" t="s">
        <v>27</v>
      </c>
      <c r="B18" s="21" t="s">
        <v>28</v>
      </c>
      <c r="C18" s="1">
        <f t="shared" si="1"/>
        <v>13</v>
      </c>
      <c r="D18" s="15">
        <f>VLOOKUP(A18,TDP!A:C,3,FALSE)</f>
        <v>0.46</v>
      </c>
      <c r="E18" s="38">
        <f t="shared" si="2"/>
        <v>103.66</v>
      </c>
      <c r="F18" s="7"/>
      <c r="G18" s="39">
        <f t="shared" si="3"/>
        <v>0</v>
      </c>
      <c r="H18" s="7">
        <v>1.0</v>
      </c>
      <c r="I18" s="7">
        <v>1.0</v>
      </c>
      <c r="J18" s="7">
        <v>1.0</v>
      </c>
      <c r="K18" s="7">
        <f t="shared" si="4"/>
        <v>5</v>
      </c>
      <c r="L18" s="7">
        <v>1.0</v>
      </c>
      <c r="M18" s="45">
        <f t="shared" si="5"/>
        <v>5</v>
      </c>
      <c r="N18" s="41"/>
      <c r="O18" s="41"/>
      <c r="P18" s="41"/>
      <c r="Q18" s="42">
        <f t="shared" si="6"/>
        <v>0</v>
      </c>
      <c r="R18" s="41"/>
      <c r="S18" s="41"/>
      <c r="T18" s="41"/>
      <c r="U18" s="42">
        <f t="shared" si="7"/>
        <v>0</v>
      </c>
      <c r="V18" s="7">
        <v>1.0</v>
      </c>
      <c r="W18" s="7">
        <v>1.0</v>
      </c>
      <c r="X18" s="7"/>
      <c r="Y18" s="7">
        <f t="shared" si="8"/>
        <v>3</v>
      </c>
      <c r="Z18" s="7">
        <v>1.0</v>
      </c>
      <c r="AA18" s="45">
        <f t="shared" si="9"/>
        <v>3</v>
      </c>
      <c r="AB18" s="7">
        <v>1.0</v>
      </c>
      <c r="AC18" s="7">
        <v>1.0</v>
      </c>
      <c r="AD18" s="7">
        <v>1.0</v>
      </c>
      <c r="AE18" s="7">
        <f t="shared" si="10"/>
        <v>5</v>
      </c>
      <c r="AF18" s="7">
        <v>1.0</v>
      </c>
      <c r="AG18" s="45">
        <f t="shared" si="11"/>
        <v>5</v>
      </c>
      <c r="AH18" s="7">
        <v>1.0</v>
      </c>
      <c r="AI18" s="7">
        <v>1.0</v>
      </c>
      <c r="AJ18" s="7">
        <v>1.0</v>
      </c>
      <c r="AK18" s="7">
        <f t="shared" si="12"/>
        <v>5</v>
      </c>
      <c r="AL18" s="7">
        <v>1.0</v>
      </c>
      <c r="AM18" s="45">
        <f t="shared" si="13"/>
        <v>5</v>
      </c>
      <c r="AN18" s="7">
        <v>1.0</v>
      </c>
      <c r="AO18" s="7">
        <v>1.0</v>
      </c>
      <c r="AP18" s="7">
        <v>1.0</v>
      </c>
      <c r="AQ18" s="7">
        <f t="shared" si="14"/>
        <v>5</v>
      </c>
      <c r="AR18" s="7">
        <v>1.0</v>
      </c>
      <c r="AS18" s="45">
        <f t="shared" si="15"/>
        <v>5</v>
      </c>
      <c r="AT18" s="7">
        <v>1.0</v>
      </c>
      <c r="AU18" s="7">
        <v>1.0</v>
      </c>
      <c r="AV18" s="7">
        <v>1.0</v>
      </c>
      <c r="AW18" s="7">
        <f t="shared" si="16"/>
        <v>5</v>
      </c>
      <c r="AX18" s="7">
        <v>1.0</v>
      </c>
      <c r="AY18" s="45">
        <f t="shared" si="17"/>
        <v>5</v>
      </c>
      <c r="AZ18" s="7">
        <v>1.0</v>
      </c>
      <c r="BA18" s="7">
        <v>1.0</v>
      </c>
      <c r="BB18" s="7">
        <v>1.0</v>
      </c>
      <c r="BC18" s="7">
        <f t="shared" si="18"/>
        <v>5</v>
      </c>
      <c r="BD18" s="7">
        <v>1.0</v>
      </c>
      <c r="BE18" s="45">
        <f t="shared" si="19"/>
        <v>5</v>
      </c>
      <c r="BF18" s="7">
        <v>1.0</v>
      </c>
      <c r="BG18" s="7">
        <v>1.0</v>
      </c>
      <c r="BH18" s="7">
        <v>1.0</v>
      </c>
      <c r="BI18" s="7">
        <f t="shared" si="20"/>
        <v>5</v>
      </c>
      <c r="BJ18" s="7"/>
      <c r="BK18" s="45">
        <f t="shared" si="21"/>
        <v>0</v>
      </c>
      <c r="BL18" s="7"/>
      <c r="BM18" s="7"/>
      <c r="BN18" s="7"/>
      <c r="BO18" s="7">
        <f t="shared" si="22"/>
        <v>0</v>
      </c>
      <c r="BP18" s="7"/>
      <c r="BQ18" s="45">
        <f t="shared" si="23"/>
        <v>0</v>
      </c>
      <c r="BR18" s="7">
        <v>1.0</v>
      </c>
      <c r="BS18" s="7">
        <v>1.0</v>
      </c>
      <c r="BT18" s="7">
        <v>1.0</v>
      </c>
      <c r="BU18" s="7">
        <f t="shared" si="24"/>
        <v>5</v>
      </c>
      <c r="BV18" s="7">
        <v>1.0</v>
      </c>
      <c r="BW18" s="45">
        <f t="shared" si="25"/>
        <v>5</v>
      </c>
      <c r="BX18" s="7">
        <v>1.0</v>
      </c>
      <c r="BY18" s="7">
        <v>1.0</v>
      </c>
      <c r="BZ18" s="7">
        <v>1.0</v>
      </c>
      <c r="CA18" s="7">
        <f t="shared" si="26"/>
        <v>5</v>
      </c>
      <c r="CB18" s="7">
        <v>1.0</v>
      </c>
      <c r="CC18" s="45">
        <f t="shared" si="27"/>
        <v>5</v>
      </c>
      <c r="CD18" s="7">
        <v>1.0</v>
      </c>
      <c r="CE18" s="7">
        <v>1.0</v>
      </c>
      <c r="CF18" s="7">
        <v>1.0</v>
      </c>
      <c r="CG18" s="7">
        <f t="shared" si="28"/>
        <v>5</v>
      </c>
      <c r="CH18" s="7">
        <v>1.0</v>
      </c>
      <c r="CI18" s="45">
        <f t="shared" si="29"/>
        <v>5</v>
      </c>
      <c r="CJ18" s="7"/>
      <c r="CK18" s="7"/>
      <c r="CL18" s="7"/>
      <c r="CM18" s="7">
        <f t="shared" si="30"/>
        <v>0</v>
      </c>
      <c r="CN18" s="7"/>
      <c r="CO18" s="45">
        <f t="shared" si="31"/>
        <v>0</v>
      </c>
      <c r="CP18" s="7"/>
      <c r="CQ18" s="7"/>
      <c r="CR18" s="7"/>
      <c r="CS18" s="7">
        <f t="shared" si="32"/>
        <v>0</v>
      </c>
      <c r="CT18" s="7"/>
      <c r="CU18" s="45">
        <f t="shared" si="33"/>
        <v>0</v>
      </c>
      <c r="CV18" s="7">
        <v>1.0</v>
      </c>
      <c r="CW18" s="7">
        <v>1.0</v>
      </c>
      <c r="CX18" s="7">
        <v>1.0</v>
      </c>
      <c r="CY18" s="7">
        <f t="shared" si="34"/>
        <v>5</v>
      </c>
      <c r="CZ18" s="7">
        <v>1.0</v>
      </c>
      <c r="DA18" s="45">
        <f t="shared" si="35"/>
        <v>5</v>
      </c>
      <c r="DB18" s="7"/>
      <c r="DC18" s="7"/>
      <c r="DD18" s="7"/>
      <c r="DE18" s="7">
        <f t="shared" si="36"/>
        <v>0</v>
      </c>
      <c r="DF18" s="7">
        <v>1.0</v>
      </c>
      <c r="DG18" s="45">
        <f t="shared" si="37"/>
        <v>0</v>
      </c>
      <c r="DH18" s="7"/>
      <c r="DI18" s="7"/>
      <c r="DJ18" s="7"/>
      <c r="DK18" s="7">
        <f t="shared" si="38"/>
        <v>0</v>
      </c>
      <c r="DL18" s="7">
        <v>1.0</v>
      </c>
      <c r="DM18" s="45">
        <f t="shared" si="39"/>
        <v>0</v>
      </c>
      <c r="DN18" s="7"/>
      <c r="DO18" s="7"/>
      <c r="DP18" s="7"/>
      <c r="DQ18" s="7">
        <f t="shared" si="40"/>
        <v>0</v>
      </c>
      <c r="DR18" s="7">
        <v>1.0</v>
      </c>
      <c r="DS18" s="45">
        <f t="shared" si="41"/>
        <v>0</v>
      </c>
      <c r="DT18" s="7">
        <v>1.0</v>
      </c>
      <c r="DU18" s="7">
        <v>1.0</v>
      </c>
      <c r="DV18" s="7">
        <v>1.0</v>
      </c>
      <c r="DW18" s="7">
        <f t="shared" si="42"/>
        <v>5</v>
      </c>
      <c r="DX18" s="7">
        <v>1.0</v>
      </c>
      <c r="DY18" s="45">
        <f t="shared" si="43"/>
        <v>5</v>
      </c>
      <c r="DZ18" s="7"/>
      <c r="EA18" s="7"/>
      <c r="EB18" s="7"/>
      <c r="EC18" s="7">
        <f t="shared" si="44"/>
        <v>0</v>
      </c>
      <c r="ED18" s="7">
        <v>1.0</v>
      </c>
      <c r="EE18" s="45">
        <f t="shared" si="45"/>
        <v>0</v>
      </c>
      <c r="EF18" s="7">
        <v>1.0</v>
      </c>
      <c r="EG18" s="7">
        <v>1.0</v>
      </c>
      <c r="EH18" s="7"/>
      <c r="EI18" s="7">
        <f t="shared" si="46"/>
        <v>3</v>
      </c>
      <c r="EJ18" s="7">
        <v>1.0</v>
      </c>
      <c r="EK18" s="45">
        <f t="shared" si="47"/>
        <v>3</v>
      </c>
      <c r="EL18" s="7"/>
      <c r="EM18" s="7"/>
      <c r="EN18" s="7"/>
      <c r="EO18" s="7">
        <f t="shared" si="48"/>
        <v>0</v>
      </c>
      <c r="EP18" s="7">
        <v>1.0</v>
      </c>
      <c r="EQ18" s="45">
        <f t="shared" si="49"/>
        <v>0</v>
      </c>
      <c r="ER18" s="7"/>
      <c r="ES18" s="7"/>
      <c r="ET18" s="7"/>
      <c r="EU18" s="7">
        <f t="shared" si="50"/>
        <v>0</v>
      </c>
      <c r="EV18" s="7">
        <v>1.0</v>
      </c>
      <c r="EW18" s="45">
        <f t="shared" si="51"/>
        <v>0</v>
      </c>
      <c r="EX18" s="7"/>
      <c r="EY18" s="7"/>
      <c r="EZ18" s="7"/>
      <c r="FA18" s="7">
        <f t="shared" si="52"/>
        <v>0</v>
      </c>
      <c r="FB18" s="7">
        <v>1.0</v>
      </c>
      <c r="FC18" s="45">
        <f t="shared" si="53"/>
        <v>0</v>
      </c>
      <c r="FD18" s="41"/>
      <c r="FE18" s="41"/>
      <c r="FF18" s="41"/>
      <c r="FG18" s="41">
        <f t="shared" si="54"/>
        <v>0</v>
      </c>
      <c r="FH18" s="41">
        <v>1.0</v>
      </c>
      <c r="FI18" s="42">
        <f t="shared" si="55"/>
        <v>0</v>
      </c>
      <c r="FJ18" s="41"/>
      <c r="FK18" s="41"/>
      <c r="FL18" s="41"/>
      <c r="FM18" s="41">
        <f t="shared" si="56"/>
        <v>0</v>
      </c>
      <c r="FN18" s="41">
        <v>1.0</v>
      </c>
      <c r="FO18" s="42">
        <f t="shared" si="57"/>
        <v>0</v>
      </c>
      <c r="FP18" s="7"/>
      <c r="FQ18" s="7"/>
      <c r="FR18" s="7"/>
      <c r="FS18" s="7">
        <f t="shared" si="58"/>
        <v>0</v>
      </c>
      <c r="FT18" s="7">
        <v>1.0</v>
      </c>
      <c r="FU18" s="45">
        <f t="shared" si="59"/>
        <v>0</v>
      </c>
      <c r="FV18" s="7"/>
      <c r="FW18" s="7"/>
      <c r="FX18" s="7"/>
      <c r="FY18" s="7">
        <f t="shared" si="60"/>
        <v>0</v>
      </c>
      <c r="FZ18" s="7">
        <v>1.0</v>
      </c>
      <c r="GA18" s="45">
        <f t="shared" si="61"/>
        <v>0</v>
      </c>
      <c r="GB18" s="7">
        <v>1.0</v>
      </c>
      <c r="GC18" s="7">
        <v>1.0</v>
      </c>
      <c r="GD18" s="7">
        <v>1.0</v>
      </c>
      <c r="GE18" s="7">
        <f t="shared" si="62"/>
        <v>5</v>
      </c>
      <c r="GF18" s="7">
        <v>1.0</v>
      </c>
      <c r="GG18" s="45">
        <f t="shared" si="63"/>
        <v>5</v>
      </c>
      <c r="GH18" s="7">
        <v>1.0</v>
      </c>
      <c r="GI18" s="7">
        <v>1.0</v>
      </c>
      <c r="GJ18" s="7">
        <v>1.0</v>
      </c>
      <c r="GK18" s="7">
        <f t="shared" si="64"/>
        <v>5</v>
      </c>
      <c r="GL18" s="7">
        <v>1.0</v>
      </c>
      <c r="GM18" s="45">
        <f t="shared" si="65"/>
        <v>5</v>
      </c>
      <c r="GN18" s="41"/>
      <c r="GO18" s="41"/>
      <c r="GP18" s="41"/>
      <c r="GQ18" s="41">
        <f t="shared" si="66"/>
        <v>0</v>
      </c>
      <c r="GR18" s="41">
        <v>1.0</v>
      </c>
      <c r="GS18" s="42">
        <f t="shared" si="67"/>
        <v>0</v>
      </c>
      <c r="GT18" s="7"/>
      <c r="GU18" s="7"/>
      <c r="GV18" s="7"/>
      <c r="GW18" s="7">
        <f t="shared" si="68"/>
        <v>0</v>
      </c>
      <c r="GX18" s="7">
        <v>1.0</v>
      </c>
      <c r="GY18" s="45">
        <f t="shared" si="69"/>
        <v>0</v>
      </c>
      <c r="GZ18" s="7"/>
      <c r="HA18" s="7"/>
      <c r="HB18" s="7"/>
      <c r="HC18" s="7">
        <f t="shared" si="70"/>
        <v>0</v>
      </c>
      <c r="HD18" s="7">
        <v>1.0</v>
      </c>
      <c r="HE18" s="45">
        <f t="shared" si="71"/>
        <v>0</v>
      </c>
      <c r="HF18" s="7"/>
      <c r="HG18" s="7"/>
      <c r="HH18" s="7"/>
      <c r="HI18" s="7">
        <f t="shared" si="72"/>
        <v>0</v>
      </c>
      <c r="HJ18" s="7">
        <v>1.0</v>
      </c>
      <c r="HK18" s="45">
        <f t="shared" si="73"/>
        <v>0</v>
      </c>
      <c r="HL18" s="7"/>
      <c r="HM18" s="7"/>
      <c r="HN18" s="7"/>
      <c r="HO18" s="7">
        <f t="shared" si="74"/>
        <v>0</v>
      </c>
      <c r="HP18" s="7">
        <v>1.0</v>
      </c>
      <c r="HQ18" s="45">
        <f t="shared" si="75"/>
        <v>0</v>
      </c>
      <c r="HR18" s="7"/>
      <c r="HS18" s="7"/>
      <c r="HT18" s="7"/>
      <c r="HU18" s="7">
        <f t="shared" si="76"/>
        <v>0</v>
      </c>
      <c r="HV18" s="7">
        <v>1.0</v>
      </c>
      <c r="HW18" s="45">
        <f t="shared" si="77"/>
        <v>0</v>
      </c>
      <c r="HX18" s="7"/>
      <c r="HY18" s="7"/>
      <c r="HZ18" s="7"/>
      <c r="IA18" s="7">
        <f t="shared" si="78"/>
        <v>0</v>
      </c>
      <c r="IB18" s="7">
        <v>1.0</v>
      </c>
      <c r="IC18" s="45">
        <f t="shared" si="79"/>
        <v>0</v>
      </c>
      <c r="ID18" s="7"/>
      <c r="IE18" s="7"/>
      <c r="IF18" s="7"/>
      <c r="IG18" s="7">
        <f t="shared" si="80"/>
        <v>0</v>
      </c>
      <c r="IH18" s="7">
        <v>1.0</v>
      </c>
      <c r="II18" s="45">
        <f t="shared" si="81"/>
        <v>0</v>
      </c>
      <c r="IJ18" s="7"/>
      <c r="IK18" s="7"/>
      <c r="IL18" s="7"/>
      <c r="IM18" s="7">
        <f t="shared" si="82"/>
        <v>0</v>
      </c>
      <c r="IN18" s="7">
        <v>1.0</v>
      </c>
      <c r="IO18" s="45">
        <f t="shared" si="83"/>
        <v>0</v>
      </c>
    </row>
    <row r="19">
      <c r="A19" s="36" t="s">
        <v>55</v>
      </c>
      <c r="B19" s="21" t="s">
        <v>193</v>
      </c>
      <c r="C19" s="1">
        <f t="shared" si="1"/>
        <v>14</v>
      </c>
      <c r="D19" s="15">
        <f>VLOOKUP(A19,TDP!A:C,3,FALSE)</f>
        <v>0.3</v>
      </c>
      <c r="E19" s="38">
        <f t="shared" si="2"/>
        <v>101.4</v>
      </c>
      <c r="F19" s="7"/>
      <c r="G19" s="39">
        <f t="shared" si="3"/>
        <v>0</v>
      </c>
      <c r="H19" s="7"/>
      <c r="I19" s="7"/>
      <c r="J19" s="7"/>
      <c r="K19" s="7">
        <f t="shared" si="4"/>
        <v>0</v>
      </c>
      <c r="L19" s="7"/>
      <c r="M19" s="45">
        <f t="shared" si="5"/>
        <v>0</v>
      </c>
      <c r="N19" s="41"/>
      <c r="O19" s="41"/>
      <c r="P19" s="41"/>
      <c r="Q19" s="42">
        <f t="shared" si="6"/>
        <v>0</v>
      </c>
      <c r="R19" s="41"/>
      <c r="S19" s="41"/>
      <c r="T19" s="41"/>
      <c r="U19" s="42">
        <f t="shared" si="7"/>
        <v>0</v>
      </c>
      <c r="V19" s="7"/>
      <c r="W19" s="7"/>
      <c r="X19" s="7"/>
      <c r="Y19" s="7">
        <f t="shared" si="8"/>
        <v>0</v>
      </c>
      <c r="Z19" s="7"/>
      <c r="AA19" s="45">
        <f t="shared" si="9"/>
        <v>0</v>
      </c>
      <c r="AB19" s="7"/>
      <c r="AC19" s="7"/>
      <c r="AD19" s="7"/>
      <c r="AE19" s="7">
        <f t="shared" si="10"/>
        <v>0</v>
      </c>
      <c r="AF19" s="7"/>
      <c r="AG19" s="45">
        <f t="shared" si="11"/>
        <v>0</v>
      </c>
      <c r="AH19" s="7"/>
      <c r="AI19" s="7"/>
      <c r="AJ19" s="7">
        <v>1.0</v>
      </c>
      <c r="AK19" s="7">
        <f t="shared" si="12"/>
        <v>7</v>
      </c>
      <c r="AL19" s="7"/>
      <c r="AM19" s="45">
        <f t="shared" si="13"/>
        <v>7</v>
      </c>
      <c r="AN19" s="7"/>
      <c r="AO19" s="7"/>
      <c r="AP19" s="7"/>
      <c r="AQ19" s="7">
        <f t="shared" si="14"/>
        <v>0</v>
      </c>
      <c r="AR19" s="7"/>
      <c r="AS19" s="45">
        <f t="shared" si="15"/>
        <v>0</v>
      </c>
      <c r="AT19" s="7"/>
      <c r="AU19" s="7"/>
      <c r="AV19" s="7"/>
      <c r="AW19" s="7">
        <f t="shared" si="16"/>
        <v>0</v>
      </c>
      <c r="AX19" s="7"/>
      <c r="AY19" s="45">
        <f t="shared" si="17"/>
        <v>0</v>
      </c>
      <c r="AZ19" s="7"/>
      <c r="BA19" s="7"/>
      <c r="BB19" s="7"/>
      <c r="BC19" s="7">
        <f t="shared" si="18"/>
        <v>0</v>
      </c>
      <c r="BD19" s="7"/>
      <c r="BE19" s="45">
        <f t="shared" si="19"/>
        <v>0</v>
      </c>
      <c r="BF19" s="7"/>
      <c r="BG19" s="7"/>
      <c r="BH19" s="7">
        <v>1.0</v>
      </c>
      <c r="BI19" s="7">
        <f t="shared" si="20"/>
        <v>7</v>
      </c>
      <c r="BJ19" s="7"/>
      <c r="BK19" s="45">
        <f t="shared" si="21"/>
        <v>7</v>
      </c>
      <c r="BL19" s="7"/>
      <c r="BM19" s="7"/>
      <c r="BN19" s="7">
        <v>1.0</v>
      </c>
      <c r="BO19" s="7">
        <f t="shared" si="22"/>
        <v>7</v>
      </c>
      <c r="BP19" s="7"/>
      <c r="BQ19" s="45">
        <f t="shared" si="23"/>
        <v>7</v>
      </c>
      <c r="BR19" s="7"/>
      <c r="BS19" s="7"/>
      <c r="BT19" s="7"/>
      <c r="BU19" s="7">
        <f t="shared" si="24"/>
        <v>0</v>
      </c>
      <c r="BV19" s="7"/>
      <c r="BW19" s="45">
        <f t="shared" si="25"/>
        <v>0</v>
      </c>
      <c r="BX19" s="7"/>
      <c r="BY19" s="7"/>
      <c r="BZ19" s="7">
        <v>1.0</v>
      </c>
      <c r="CA19" s="7">
        <f t="shared" si="26"/>
        <v>7</v>
      </c>
      <c r="CB19" s="7"/>
      <c r="CC19" s="45">
        <f t="shared" si="27"/>
        <v>7</v>
      </c>
      <c r="CD19" s="7"/>
      <c r="CE19" s="7"/>
      <c r="CF19" s="7"/>
      <c r="CG19" s="7">
        <f t="shared" si="28"/>
        <v>0</v>
      </c>
      <c r="CH19" s="7"/>
      <c r="CI19" s="45">
        <f t="shared" si="29"/>
        <v>0</v>
      </c>
      <c r="CJ19" s="7"/>
      <c r="CK19" s="7"/>
      <c r="CL19" s="7"/>
      <c r="CM19" s="7">
        <f t="shared" si="30"/>
        <v>0</v>
      </c>
      <c r="CN19" s="7"/>
      <c r="CO19" s="45">
        <f t="shared" si="31"/>
        <v>0</v>
      </c>
      <c r="CP19" s="7">
        <v>1.0</v>
      </c>
      <c r="CQ19" s="7">
        <v>1.0</v>
      </c>
      <c r="CR19" s="7"/>
      <c r="CS19" s="7">
        <f t="shared" si="32"/>
        <v>3</v>
      </c>
      <c r="CT19" s="7">
        <v>1.0</v>
      </c>
      <c r="CU19" s="45">
        <f t="shared" si="33"/>
        <v>3</v>
      </c>
      <c r="CV19" s="7">
        <v>1.0</v>
      </c>
      <c r="CW19" s="7">
        <v>1.0</v>
      </c>
      <c r="CX19" s="7"/>
      <c r="CY19" s="7">
        <f t="shared" si="34"/>
        <v>3</v>
      </c>
      <c r="CZ19" s="7">
        <v>1.0</v>
      </c>
      <c r="DA19" s="45">
        <f t="shared" si="35"/>
        <v>3</v>
      </c>
      <c r="DB19" s="7"/>
      <c r="DC19" s="7"/>
      <c r="DD19" s="7"/>
      <c r="DE19" s="7">
        <f t="shared" si="36"/>
        <v>0</v>
      </c>
      <c r="DF19" s="7">
        <v>1.0</v>
      </c>
      <c r="DG19" s="45">
        <f t="shared" si="37"/>
        <v>0</v>
      </c>
      <c r="DH19" s="7">
        <v>1.0</v>
      </c>
      <c r="DI19" s="7">
        <v>1.0</v>
      </c>
      <c r="DJ19" s="7"/>
      <c r="DK19" s="7">
        <f t="shared" si="38"/>
        <v>3</v>
      </c>
      <c r="DL19" s="7">
        <v>1.0</v>
      </c>
      <c r="DM19" s="45">
        <f t="shared" si="39"/>
        <v>3</v>
      </c>
      <c r="DN19" s="7"/>
      <c r="DO19" s="7"/>
      <c r="DP19" s="7"/>
      <c r="DQ19" s="7">
        <f t="shared" si="40"/>
        <v>0</v>
      </c>
      <c r="DR19" s="7">
        <v>1.0</v>
      </c>
      <c r="DS19" s="45">
        <f t="shared" si="41"/>
        <v>0</v>
      </c>
      <c r="DT19" s="7">
        <v>1.0</v>
      </c>
      <c r="DU19" s="7">
        <v>1.0</v>
      </c>
      <c r="DV19" s="7"/>
      <c r="DW19" s="7">
        <f t="shared" si="42"/>
        <v>3</v>
      </c>
      <c r="DX19" s="7">
        <v>1.0</v>
      </c>
      <c r="DY19" s="45">
        <f t="shared" si="43"/>
        <v>3</v>
      </c>
      <c r="DZ19" s="7"/>
      <c r="EA19" s="7"/>
      <c r="EB19" s="7"/>
      <c r="EC19" s="7">
        <f t="shared" si="44"/>
        <v>0</v>
      </c>
      <c r="ED19" s="7">
        <v>1.0</v>
      </c>
      <c r="EE19" s="45">
        <f t="shared" si="45"/>
        <v>0</v>
      </c>
      <c r="EF19" s="7">
        <v>1.0</v>
      </c>
      <c r="EG19" s="7">
        <v>1.0</v>
      </c>
      <c r="EH19" s="7"/>
      <c r="EI19" s="7">
        <f t="shared" si="46"/>
        <v>3</v>
      </c>
      <c r="EJ19" s="7">
        <v>1.0</v>
      </c>
      <c r="EK19" s="45">
        <f t="shared" si="47"/>
        <v>3</v>
      </c>
      <c r="EL19" s="7">
        <v>1.0</v>
      </c>
      <c r="EM19" s="7">
        <v>1.0</v>
      </c>
      <c r="EN19" s="7">
        <v>1.0</v>
      </c>
      <c r="EO19" s="7">
        <f t="shared" si="48"/>
        <v>5</v>
      </c>
      <c r="EP19" s="7">
        <v>1.0</v>
      </c>
      <c r="EQ19" s="45">
        <f t="shared" si="49"/>
        <v>5</v>
      </c>
      <c r="ER19" s="7"/>
      <c r="ES19" s="7"/>
      <c r="ET19" s="7"/>
      <c r="EU19" s="7">
        <f t="shared" si="50"/>
        <v>0</v>
      </c>
      <c r="EV19" s="7">
        <v>1.0</v>
      </c>
      <c r="EW19" s="45">
        <f t="shared" si="51"/>
        <v>0</v>
      </c>
      <c r="EX19" s="7">
        <v>1.0</v>
      </c>
      <c r="EY19" s="7">
        <v>1.0</v>
      </c>
      <c r="EZ19" s="7">
        <v>1.0</v>
      </c>
      <c r="FA19" s="7">
        <f t="shared" si="52"/>
        <v>5</v>
      </c>
      <c r="FB19" s="7">
        <v>1.0</v>
      </c>
      <c r="FC19" s="45">
        <f t="shared" si="53"/>
        <v>5</v>
      </c>
      <c r="FD19" s="41"/>
      <c r="FE19" s="41"/>
      <c r="FF19" s="41"/>
      <c r="FG19" s="41">
        <f t="shared" si="54"/>
        <v>0</v>
      </c>
      <c r="FH19" s="41">
        <v>1.0</v>
      </c>
      <c r="FI19" s="42">
        <f t="shared" si="55"/>
        <v>0</v>
      </c>
      <c r="FJ19" s="41"/>
      <c r="FK19" s="41"/>
      <c r="FL19" s="41"/>
      <c r="FM19" s="41">
        <f t="shared" si="56"/>
        <v>0</v>
      </c>
      <c r="FN19" s="41">
        <v>1.0</v>
      </c>
      <c r="FO19" s="42">
        <f t="shared" si="57"/>
        <v>0</v>
      </c>
      <c r="FP19" s="7">
        <v>1.0</v>
      </c>
      <c r="FQ19" s="7">
        <v>1.0</v>
      </c>
      <c r="FR19" s="7">
        <v>1.0</v>
      </c>
      <c r="FS19" s="7">
        <f t="shared" si="58"/>
        <v>5</v>
      </c>
      <c r="FT19" s="7">
        <v>1.0</v>
      </c>
      <c r="FU19" s="45">
        <f t="shared" si="59"/>
        <v>5</v>
      </c>
      <c r="FV19" s="7">
        <v>1.0</v>
      </c>
      <c r="FW19" s="7">
        <v>1.0</v>
      </c>
      <c r="FX19" s="7">
        <v>1.0</v>
      </c>
      <c r="FY19" s="7">
        <f t="shared" si="60"/>
        <v>5</v>
      </c>
      <c r="FZ19" s="7">
        <v>1.0</v>
      </c>
      <c r="GA19" s="45">
        <f t="shared" si="61"/>
        <v>5</v>
      </c>
      <c r="GB19" s="7">
        <v>1.0</v>
      </c>
      <c r="GC19" s="7">
        <v>1.0</v>
      </c>
      <c r="GD19" s="7">
        <v>1.0</v>
      </c>
      <c r="GE19" s="7">
        <f t="shared" si="62"/>
        <v>5</v>
      </c>
      <c r="GF19" s="7">
        <v>1.0</v>
      </c>
      <c r="GG19" s="45">
        <f t="shared" si="63"/>
        <v>5</v>
      </c>
      <c r="GH19" s="7">
        <v>1.0</v>
      </c>
      <c r="GI19" s="7">
        <v>1.0</v>
      </c>
      <c r="GJ19" s="7">
        <v>1.0</v>
      </c>
      <c r="GK19" s="7">
        <f t="shared" si="64"/>
        <v>5</v>
      </c>
      <c r="GL19" s="7">
        <v>1.0</v>
      </c>
      <c r="GM19" s="45">
        <f t="shared" si="65"/>
        <v>5</v>
      </c>
      <c r="GN19" s="41"/>
      <c r="GO19" s="41"/>
      <c r="GP19" s="41"/>
      <c r="GQ19" s="41">
        <f t="shared" si="66"/>
        <v>0</v>
      </c>
      <c r="GR19" s="41">
        <v>1.0</v>
      </c>
      <c r="GS19" s="42">
        <f t="shared" si="67"/>
        <v>0</v>
      </c>
      <c r="GT19" s="7"/>
      <c r="GU19" s="7"/>
      <c r="GV19" s="7"/>
      <c r="GW19" s="7">
        <f t="shared" si="68"/>
        <v>0</v>
      </c>
      <c r="GX19" s="7">
        <v>1.0</v>
      </c>
      <c r="GY19" s="45">
        <f t="shared" si="69"/>
        <v>0</v>
      </c>
      <c r="GZ19" s="7">
        <v>1.0</v>
      </c>
      <c r="HA19" s="7">
        <v>1.0</v>
      </c>
      <c r="HB19" s="7">
        <v>1.0</v>
      </c>
      <c r="HC19" s="7">
        <f t="shared" si="70"/>
        <v>5</v>
      </c>
      <c r="HD19" s="7">
        <v>1.0</v>
      </c>
      <c r="HE19" s="45">
        <f t="shared" si="71"/>
        <v>5</v>
      </c>
      <c r="HF19" s="7"/>
      <c r="HG19" s="7"/>
      <c r="HH19" s="7"/>
      <c r="HI19" s="7">
        <f t="shared" si="72"/>
        <v>0</v>
      </c>
      <c r="HJ19" s="7">
        <v>1.0</v>
      </c>
      <c r="HK19" s="45">
        <f t="shared" si="73"/>
        <v>0</v>
      </c>
      <c r="HL19" s="7"/>
      <c r="HM19" s="7"/>
      <c r="HN19" s="7"/>
      <c r="HO19" s="7">
        <f t="shared" si="74"/>
        <v>0</v>
      </c>
      <c r="HP19" s="7">
        <v>1.0</v>
      </c>
      <c r="HQ19" s="45">
        <f t="shared" si="75"/>
        <v>0</v>
      </c>
      <c r="HR19" s="7"/>
      <c r="HS19" s="7"/>
      <c r="HT19" s="7"/>
      <c r="HU19" s="7">
        <f t="shared" si="76"/>
        <v>0</v>
      </c>
      <c r="HV19" s="7">
        <v>1.0</v>
      </c>
      <c r="HW19" s="45">
        <f t="shared" si="77"/>
        <v>0</v>
      </c>
      <c r="HX19" s="7"/>
      <c r="HY19" s="7"/>
      <c r="HZ19" s="7"/>
      <c r="IA19" s="7">
        <f t="shared" si="78"/>
        <v>0</v>
      </c>
      <c r="IB19" s="7">
        <v>1.0</v>
      </c>
      <c r="IC19" s="45">
        <f t="shared" si="79"/>
        <v>0</v>
      </c>
      <c r="ID19" s="7"/>
      <c r="IE19" s="7"/>
      <c r="IF19" s="7"/>
      <c r="IG19" s="7">
        <f t="shared" si="80"/>
        <v>0</v>
      </c>
      <c r="IH19" s="7">
        <v>1.0</v>
      </c>
      <c r="II19" s="45">
        <f t="shared" si="81"/>
        <v>0</v>
      </c>
      <c r="IJ19" s="7"/>
      <c r="IK19" s="7"/>
      <c r="IL19" s="7"/>
      <c r="IM19" s="7">
        <f t="shared" si="82"/>
        <v>0</v>
      </c>
      <c r="IN19" s="7">
        <v>1.0</v>
      </c>
      <c r="IO19" s="45">
        <f t="shared" si="83"/>
        <v>0</v>
      </c>
    </row>
    <row r="20">
      <c r="A20" s="62" t="s">
        <v>111</v>
      </c>
      <c r="B20" s="7" t="s">
        <v>112</v>
      </c>
      <c r="C20" s="1">
        <f t="shared" si="1"/>
        <v>15</v>
      </c>
      <c r="D20" s="15">
        <f>VLOOKUP(A20,TDP!A:C,3,FALSE)</f>
        <v>0.18</v>
      </c>
      <c r="E20" s="38">
        <f t="shared" si="2"/>
        <v>93.22</v>
      </c>
      <c r="F20" s="7"/>
      <c r="G20" s="39">
        <f t="shared" si="3"/>
        <v>0</v>
      </c>
      <c r="H20" s="7">
        <v>1.0</v>
      </c>
      <c r="I20" s="7">
        <v>1.0</v>
      </c>
      <c r="J20" s="7">
        <v>1.0</v>
      </c>
      <c r="K20" s="7">
        <f t="shared" si="4"/>
        <v>5</v>
      </c>
      <c r="L20" s="7">
        <v>1.0</v>
      </c>
      <c r="M20" s="45">
        <f t="shared" si="5"/>
        <v>5</v>
      </c>
      <c r="N20" s="41"/>
      <c r="O20" s="41"/>
      <c r="P20" s="41"/>
      <c r="Q20" s="42">
        <f t="shared" si="6"/>
        <v>0</v>
      </c>
      <c r="R20" s="41"/>
      <c r="S20" s="41"/>
      <c r="T20" s="41"/>
      <c r="U20" s="42">
        <f t="shared" si="7"/>
        <v>0</v>
      </c>
      <c r="V20" s="7"/>
      <c r="W20" s="7"/>
      <c r="X20" s="7"/>
      <c r="Y20" s="7">
        <f t="shared" si="8"/>
        <v>0</v>
      </c>
      <c r="Z20" s="7"/>
      <c r="AA20" s="45">
        <f t="shared" si="9"/>
        <v>0</v>
      </c>
      <c r="AB20" s="7">
        <v>1.0</v>
      </c>
      <c r="AC20" s="7">
        <v>1.0</v>
      </c>
      <c r="AD20" s="7">
        <v>1.0</v>
      </c>
      <c r="AE20" s="7">
        <f t="shared" si="10"/>
        <v>5</v>
      </c>
      <c r="AF20" s="7">
        <v>1.0</v>
      </c>
      <c r="AG20" s="45">
        <f t="shared" si="11"/>
        <v>5</v>
      </c>
      <c r="AH20" s="7">
        <v>1.0</v>
      </c>
      <c r="AI20" s="7">
        <v>1.0</v>
      </c>
      <c r="AJ20" s="7">
        <v>1.0</v>
      </c>
      <c r="AK20" s="7">
        <f t="shared" si="12"/>
        <v>5</v>
      </c>
      <c r="AL20" s="7">
        <v>1.0</v>
      </c>
      <c r="AM20" s="45">
        <f t="shared" si="13"/>
        <v>5</v>
      </c>
      <c r="AN20" s="7">
        <v>1.0</v>
      </c>
      <c r="AO20" s="7">
        <v>1.0</v>
      </c>
      <c r="AP20" s="7">
        <v>1.0</v>
      </c>
      <c r="AQ20" s="7">
        <f t="shared" si="14"/>
        <v>5</v>
      </c>
      <c r="AR20" s="7">
        <v>1.0</v>
      </c>
      <c r="AS20" s="45">
        <f t="shared" si="15"/>
        <v>5</v>
      </c>
      <c r="AT20" s="7"/>
      <c r="AU20" s="7"/>
      <c r="AV20" s="7">
        <v>1.0</v>
      </c>
      <c r="AW20" s="7">
        <f t="shared" si="16"/>
        <v>7</v>
      </c>
      <c r="AX20" s="7"/>
      <c r="AY20" s="45">
        <f t="shared" si="17"/>
        <v>7</v>
      </c>
      <c r="AZ20" s="7">
        <v>1.0</v>
      </c>
      <c r="BA20" s="7">
        <v>1.0</v>
      </c>
      <c r="BB20" s="7">
        <v>1.0</v>
      </c>
      <c r="BC20" s="7">
        <f t="shared" si="18"/>
        <v>5</v>
      </c>
      <c r="BD20" s="7">
        <v>1.0</v>
      </c>
      <c r="BE20" s="45">
        <f t="shared" si="19"/>
        <v>5</v>
      </c>
      <c r="BF20" s="7">
        <v>1.0</v>
      </c>
      <c r="BG20" s="7">
        <v>1.0</v>
      </c>
      <c r="BH20" s="7">
        <v>1.0</v>
      </c>
      <c r="BI20" s="7">
        <f t="shared" si="20"/>
        <v>5</v>
      </c>
      <c r="BJ20" s="7">
        <v>1.0</v>
      </c>
      <c r="BK20" s="45">
        <f t="shared" si="21"/>
        <v>5</v>
      </c>
      <c r="BL20" s="7">
        <v>1.0</v>
      </c>
      <c r="BM20" s="7">
        <v>1.0</v>
      </c>
      <c r="BN20" s="7">
        <v>1.0</v>
      </c>
      <c r="BO20" s="7">
        <f t="shared" si="22"/>
        <v>5</v>
      </c>
      <c r="BP20" s="7">
        <v>1.0</v>
      </c>
      <c r="BQ20" s="45">
        <f t="shared" si="23"/>
        <v>5</v>
      </c>
      <c r="BR20" s="7">
        <v>1.0</v>
      </c>
      <c r="BS20" s="7">
        <v>1.0</v>
      </c>
      <c r="BT20" s="7">
        <v>1.0</v>
      </c>
      <c r="BU20" s="7">
        <f t="shared" si="24"/>
        <v>5</v>
      </c>
      <c r="BV20" s="7">
        <v>1.0</v>
      </c>
      <c r="BW20" s="45">
        <f t="shared" si="25"/>
        <v>5</v>
      </c>
      <c r="BX20" s="7"/>
      <c r="BY20" s="7"/>
      <c r="BZ20" s="7"/>
      <c r="CA20" s="7">
        <f t="shared" si="26"/>
        <v>0</v>
      </c>
      <c r="CB20" s="7"/>
      <c r="CC20" s="45">
        <f t="shared" si="27"/>
        <v>0</v>
      </c>
      <c r="CD20" s="7"/>
      <c r="CE20" s="7"/>
      <c r="CF20" s="7"/>
      <c r="CG20" s="7">
        <f t="shared" si="28"/>
        <v>0</v>
      </c>
      <c r="CH20" s="7"/>
      <c r="CI20" s="45">
        <f t="shared" si="29"/>
        <v>0</v>
      </c>
      <c r="CJ20" s="7"/>
      <c r="CK20" s="7"/>
      <c r="CL20" s="7"/>
      <c r="CM20" s="7">
        <f t="shared" si="30"/>
        <v>0</v>
      </c>
      <c r="CN20" s="7"/>
      <c r="CO20" s="45">
        <f t="shared" si="31"/>
        <v>0</v>
      </c>
      <c r="CP20" s="7"/>
      <c r="CQ20" s="7"/>
      <c r="CR20" s="7"/>
      <c r="CS20" s="7">
        <f t="shared" si="32"/>
        <v>0</v>
      </c>
      <c r="CT20" s="7"/>
      <c r="CU20" s="45">
        <f t="shared" si="33"/>
        <v>0</v>
      </c>
      <c r="CV20" s="7">
        <v>1.0</v>
      </c>
      <c r="CW20" s="7">
        <v>1.0</v>
      </c>
      <c r="CX20" s="7"/>
      <c r="CY20" s="7">
        <f t="shared" si="34"/>
        <v>3</v>
      </c>
      <c r="CZ20" s="7">
        <v>1.0</v>
      </c>
      <c r="DA20" s="45">
        <f t="shared" si="35"/>
        <v>3</v>
      </c>
      <c r="DB20" s="7"/>
      <c r="DC20" s="7"/>
      <c r="DD20" s="7"/>
      <c r="DE20" s="7">
        <f t="shared" si="36"/>
        <v>0</v>
      </c>
      <c r="DF20" s="7">
        <v>1.0</v>
      </c>
      <c r="DG20" s="45">
        <f t="shared" si="37"/>
        <v>0</v>
      </c>
      <c r="DH20" s="7"/>
      <c r="DI20" s="7"/>
      <c r="DJ20" s="7"/>
      <c r="DK20" s="7">
        <f t="shared" si="38"/>
        <v>0</v>
      </c>
      <c r="DL20" s="7">
        <v>1.0</v>
      </c>
      <c r="DM20" s="45">
        <f t="shared" si="39"/>
        <v>0</v>
      </c>
      <c r="DN20" s="7"/>
      <c r="DO20" s="7"/>
      <c r="DP20" s="7"/>
      <c r="DQ20" s="7">
        <f t="shared" si="40"/>
        <v>0</v>
      </c>
      <c r="DR20" s="7">
        <v>1.0</v>
      </c>
      <c r="DS20" s="45">
        <f t="shared" si="41"/>
        <v>0</v>
      </c>
      <c r="DT20" s="7">
        <v>1.0</v>
      </c>
      <c r="DU20" s="7">
        <v>1.0</v>
      </c>
      <c r="DV20" s="7"/>
      <c r="DW20" s="7">
        <f t="shared" si="42"/>
        <v>3</v>
      </c>
      <c r="DX20" s="7">
        <v>1.0</v>
      </c>
      <c r="DY20" s="45">
        <f t="shared" si="43"/>
        <v>3</v>
      </c>
      <c r="DZ20" s="7"/>
      <c r="EA20" s="7"/>
      <c r="EB20" s="7"/>
      <c r="EC20" s="7">
        <f t="shared" si="44"/>
        <v>0</v>
      </c>
      <c r="ED20" s="7">
        <v>1.0</v>
      </c>
      <c r="EE20" s="45">
        <f t="shared" si="45"/>
        <v>0</v>
      </c>
      <c r="EF20" s="7">
        <v>1.0</v>
      </c>
      <c r="EG20" s="7">
        <v>1.0</v>
      </c>
      <c r="EH20" s="7">
        <v>1.0</v>
      </c>
      <c r="EI20" s="7">
        <f t="shared" si="46"/>
        <v>5</v>
      </c>
      <c r="EJ20" s="7">
        <v>1.0</v>
      </c>
      <c r="EK20" s="45">
        <f t="shared" si="47"/>
        <v>5</v>
      </c>
      <c r="EL20" s="7">
        <v>1.0</v>
      </c>
      <c r="EM20" s="7">
        <v>1.0</v>
      </c>
      <c r="EN20" s="7">
        <v>1.0</v>
      </c>
      <c r="EO20" s="7">
        <f t="shared" si="48"/>
        <v>5</v>
      </c>
      <c r="EP20" s="7">
        <v>1.0</v>
      </c>
      <c r="EQ20" s="45">
        <f t="shared" si="49"/>
        <v>5</v>
      </c>
      <c r="ER20" s="7">
        <v>1.0</v>
      </c>
      <c r="ES20" s="7">
        <v>1.0</v>
      </c>
      <c r="ET20" s="7"/>
      <c r="EU20" s="7">
        <f t="shared" si="50"/>
        <v>3</v>
      </c>
      <c r="EV20" s="7">
        <v>1.0</v>
      </c>
      <c r="EW20" s="45">
        <f t="shared" si="51"/>
        <v>3</v>
      </c>
      <c r="EX20" s="7"/>
      <c r="EY20" s="7"/>
      <c r="EZ20" s="7"/>
      <c r="FA20" s="7">
        <f t="shared" si="52"/>
        <v>0</v>
      </c>
      <c r="FB20" s="7">
        <v>1.0</v>
      </c>
      <c r="FC20" s="45">
        <f t="shared" si="53"/>
        <v>0</v>
      </c>
      <c r="FD20" s="41"/>
      <c r="FE20" s="41"/>
      <c r="FF20" s="41"/>
      <c r="FG20" s="41">
        <f t="shared" si="54"/>
        <v>0</v>
      </c>
      <c r="FH20" s="41">
        <v>1.0</v>
      </c>
      <c r="FI20" s="42">
        <f t="shared" si="55"/>
        <v>0</v>
      </c>
      <c r="FJ20" s="41"/>
      <c r="FK20" s="41"/>
      <c r="FL20" s="41"/>
      <c r="FM20" s="41">
        <f t="shared" si="56"/>
        <v>0</v>
      </c>
      <c r="FN20" s="41">
        <v>1.0</v>
      </c>
      <c r="FO20" s="42">
        <f t="shared" si="57"/>
        <v>0</v>
      </c>
      <c r="FP20" s="7">
        <v>1.0</v>
      </c>
      <c r="FQ20" s="7">
        <v>1.0</v>
      </c>
      <c r="FR20" s="7">
        <v>1.0</v>
      </c>
      <c r="FS20" s="7">
        <f t="shared" si="58"/>
        <v>5</v>
      </c>
      <c r="FT20" s="7">
        <v>1.0</v>
      </c>
      <c r="FU20" s="45">
        <f t="shared" si="59"/>
        <v>5</v>
      </c>
      <c r="FV20" s="7"/>
      <c r="FW20" s="7"/>
      <c r="FX20" s="7"/>
      <c r="FY20" s="7">
        <f t="shared" si="60"/>
        <v>0</v>
      </c>
      <c r="FZ20" s="7">
        <v>1.0</v>
      </c>
      <c r="GA20" s="45">
        <f t="shared" si="61"/>
        <v>0</v>
      </c>
      <c r="GB20" s="7"/>
      <c r="GC20" s="7"/>
      <c r="GD20" s="7"/>
      <c r="GE20" s="7">
        <f t="shared" si="62"/>
        <v>0</v>
      </c>
      <c r="GF20" s="7">
        <v>1.0</v>
      </c>
      <c r="GG20" s="45">
        <f t="shared" si="63"/>
        <v>0</v>
      </c>
      <c r="GH20" s="7">
        <v>1.0</v>
      </c>
      <c r="GI20" s="7">
        <v>1.0</v>
      </c>
      <c r="GJ20" s="7"/>
      <c r="GK20" s="7">
        <f t="shared" si="64"/>
        <v>3</v>
      </c>
      <c r="GL20" s="7">
        <v>1.0</v>
      </c>
      <c r="GM20" s="45">
        <f t="shared" si="65"/>
        <v>3</v>
      </c>
      <c r="GN20" s="41"/>
      <c r="GO20" s="41"/>
      <c r="GP20" s="41"/>
      <c r="GQ20" s="41">
        <f t="shared" si="66"/>
        <v>0</v>
      </c>
      <c r="GR20" s="41">
        <v>1.0</v>
      </c>
      <c r="GS20" s="42">
        <f t="shared" si="67"/>
        <v>0</v>
      </c>
      <c r="GT20" s="7"/>
      <c r="GU20" s="7"/>
      <c r="GV20" s="7"/>
      <c r="GW20" s="7">
        <f t="shared" si="68"/>
        <v>0</v>
      </c>
      <c r="GX20" s="7">
        <v>1.0</v>
      </c>
      <c r="GY20" s="45">
        <f t="shared" si="69"/>
        <v>0</v>
      </c>
      <c r="GZ20" s="7">
        <v>1.0</v>
      </c>
      <c r="HA20" s="7">
        <v>1.0</v>
      </c>
      <c r="HB20" s="7">
        <v>1.0</v>
      </c>
      <c r="HC20" s="7">
        <f t="shared" si="70"/>
        <v>5</v>
      </c>
      <c r="HD20" s="7">
        <v>1.0</v>
      </c>
      <c r="HE20" s="45">
        <f t="shared" si="71"/>
        <v>5</v>
      </c>
      <c r="HF20" s="7"/>
      <c r="HG20" s="7"/>
      <c r="HH20" s="7"/>
      <c r="HI20" s="7">
        <f t="shared" si="72"/>
        <v>0</v>
      </c>
      <c r="HJ20" s="7">
        <v>1.0</v>
      </c>
      <c r="HK20" s="45">
        <f t="shared" si="73"/>
        <v>0</v>
      </c>
      <c r="HL20" s="7"/>
      <c r="HM20" s="7"/>
      <c r="HN20" s="7"/>
      <c r="HO20" s="7">
        <f t="shared" si="74"/>
        <v>0</v>
      </c>
      <c r="HP20" s="7">
        <v>1.0</v>
      </c>
      <c r="HQ20" s="45">
        <f t="shared" si="75"/>
        <v>0</v>
      </c>
      <c r="HR20" s="7"/>
      <c r="HS20" s="7"/>
      <c r="HT20" s="7"/>
      <c r="HU20" s="7">
        <f t="shared" si="76"/>
        <v>0</v>
      </c>
      <c r="HV20" s="7">
        <v>1.0</v>
      </c>
      <c r="HW20" s="45">
        <f t="shared" si="77"/>
        <v>0</v>
      </c>
      <c r="HX20" s="7"/>
      <c r="HY20" s="7"/>
      <c r="HZ20" s="7"/>
      <c r="IA20" s="7">
        <f t="shared" si="78"/>
        <v>0</v>
      </c>
      <c r="IB20" s="7">
        <v>1.0</v>
      </c>
      <c r="IC20" s="45">
        <f t="shared" si="79"/>
        <v>0</v>
      </c>
      <c r="ID20" s="7"/>
      <c r="IE20" s="7"/>
      <c r="IF20" s="7"/>
      <c r="IG20" s="7">
        <f t="shared" si="80"/>
        <v>0</v>
      </c>
      <c r="IH20" s="7">
        <v>1.0</v>
      </c>
      <c r="II20" s="45">
        <f t="shared" si="81"/>
        <v>0</v>
      </c>
      <c r="IJ20" s="7"/>
      <c r="IK20" s="7"/>
      <c r="IL20" s="7"/>
      <c r="IM20" s="7">
        <f t="shared" si="82"/>
        <v>0</v>
      </c>
      <c r="IN20" s="7">
        <v>1.0</v>
      </c>
      <c r="IO20" s="45">
        <f t="shared" si="83"/>
        <v>0</v>
      </c>
    </row>
    <row r="21">
      <c r="A21" s="62" t="s">
        <v>31</v>
      </c>
      <c r="B21" s="7" t="s">
        <v>40</v>
      </c>
      <c r="C21" s="1">
        <f t="shared" si="1"/>
        <v>16</v>
      </c>
      <c r="D21" s="15">
        <f>VLOOKUP(A21,TDP!A:C,3,FALSE)</f>
        <v>0.39</v>
      </c>
      <c r="E21" s="38">
        <f t="shared" si="2"/>
        <v>91.74</v>
      </c>
      <c r="F21" s="7">
        <v>1.0</v>
      </c>
      <c r="G21" s="39">
        <f t="shared" si="3"/>
        <v>7</v>
      </c>
      <c r="H21" s="7"/>
      <c r="I21" s="7"/>
      <c r="J21" s="7"/>
      <c r="K21" s="7">
        <f t="shared" si="4"/>
        <v>0</v>
      </c>
      <c r="L21" s="7"/>
      <c r="M21" s="45">
        <f t="shared" si="5"/>
        <v>0</v>
      </c>
      <c r="N21" s="41"/>
      <c r="O21" s="41"/>
      <c r="P21" s="41"/>
      <c r="Q21" s="42">
        <f t="shared" si="6"/>
        <v>0</v>
      </c>
      <c r="R21" s="41"/>
      <c r="S21" s="41"/>
      <c r="T21" s="41"/>
      <c r="U21" s="42">
        <f t="shared" si="7"/>
        <v>0</v>
      </c>
      <c r="V21" s="7">
        <v>1.0</v>
      </c>
      <c r="W21" s="7">
        <v>1.0</v>
      </c>
      <c r="X21" s="7">
        <v>1.0</v>
      </c>
      <c r="Y21" s="7">
        <f t="shared" si="8"/>
        <v>5</v>
      </c>
      <c r="Z21" s="7">
        <v>1.0</v>
      </c>
      <c r="AA21" s="45">
        <f t="shared" si="9"/>
        <v>5</v>
      </c>
      <c r="AB21" s="7">
        <v>1.0</v>
      </c>
      <c r="AC21" s="7">
        <v>1.0</v>
      </c>
      <c r="AD21" s="7">
        <v>1.0</v>
      </c>
      <c r="AE21" s="7">
        <f t="shared" si="10"/>
        <v>5</v>
      </c>
      <c r="AF21" s="7">
        <v>1.0</v>
      </c>
      <c r="AG21" s="45">
        <f t="shared" si="11"/>
        <v>5</v>
      </c>
      <c r="AH21" s="7">
        <v>1.0</v>
      </c>
      <c r="AI21" s="7">
        <v>1.0</v>
      </c>
      <c r="AJ21" s="7"/>
      <c r="AK21" s="7">
        <f t="shared" si="12"/>
        <v>3</v>
      </c>
      <c r="AL21" s="7">
        <v>1.0</v>
      </c>
      <c r="AM21" s="45">
        <f t="shared" si="13"/>
        <v>3</v>
      </c>
      <c r="AN21" s="7">
        <v>1.0</v>
      </c>
      <c r="AO21" s="7">
        <v>1.0</v>
      </c>
      <c r="AP21" s="7">
        <v>1.0</v>
      </c>
      <c r="AQ21" s="7">
        <f t="shared" si="14"/>
        <v>5</v>
      </c>
      <c r="AR21" s="7">
        <v>1.0</v>
      </c>
      <c r="AS21" s="45">
        <f t="shared" si="15"/>
        <v>5</v>
      </c>
      <c r="AT21" s="7"/>
      <c r="AU21" s="7"/>
      <c r="AV21" s="7"/>
      <c r="AW21" s="7">
        <f t="shared" si="16"/>
        <v>0</v>
      </c>
      <c r="AX21" s="7"/>
      <c r="AY21" s="45">
        <f t="shared" si="17"/>
        <v>0</v>
      </c>
      <c r="AZ21" s="7">
        <v>1.0</v>
      </c>
      <c r="BA21" s="7">
        <v>1.0</v>
      </c>
      <c r="BB21" s="7"/>
      <c r="BC21" s="7">
        <f t="shared" si="18"/>
        <v>3</v>
      </c>
      <c r="BD21" s="7">
        <v>1.0</v>
      </c>
      <c r="BE21" s="45">
        <f t="shared" si="19"/>
        <v>3</v>
      </c>
      <c r="BF21" s="7">
        <v>1.0</v>
      </c>
      <c r="BG21" s="7">
        <v>1.0</v>
      </c>
      <c r="BH21" s="7">
        <v>1.0</v>
      </c>
      <c r="BI21" s="7">
        <f t="shared" si="20"/>
        <v>5</v>
      </c>
      <c r="BJ21" s="7">
        <v>1.0</v>
      </c>
      <c r="BK21" s="45">
        <f t="shared" si="21"/>
        <v>5</v>
      </c>
      <c r="BL21" s="7">
        <v>1.0</v>
      </c>
      <c r="BM21" s="7">
        <v>1.0</v>
      </c>
      <c r="BN21" s="7">
        <v>1.0</v>
      </c>
      <c r="BO21" s="7">
        <f t="shared" si="22"/>
        <v>5</v>
      </c>
      <c r="BP21" s="7">
        <v>1.0</v>
      </c>
      <c r="BQ21" s="45">
        <f t="shared" si="23"/>
        <v>5</v>
      </c>
      <c r="BR21" s="7">
        <v>1.0</v>
      </c>
      <c r="BS21" s="7">
        <v>1.0</v>
      </c>
      <c r="BT21" s="7">
        <v>1.0</v>
      </c>
      <c r="BU21" s="7">
        <f t="shared" si="24"/>
        <v>5</v>
      </c>
      <c r="BV21" s="7">
        <v>1.0</v>
      </c>
      <c r="BW21" s="45">
        <f t="shared" si="25"/>
        <v>5</v>
      </c>
      <c r="BX21" s="7">
        <v>1.0</v>
      </c>
      <c r="BY21" s="7">
        <v>1.0</v>
      </c>
      <c r="BZ21" s="7">
        <v>1.0</v>
      </c>
      <c r="CA21" s="7">
        <f t="shared" si="26"/>
        <v>5</v>
      </c>
      <c r="CB21" s="7">
        <v>1.0</v>
      </c>
      <c r="CC21" s="45">
        <f t="shared" si="27"/>
        <v>5</v>
      </c>
      <c r="CD21" s="7">
        <v>1.0</v>
      </c>
      <c r="CE21" s="7">
        <v>1.0</v>
      </c>
      <c r="CF21" s="7">
        <v>1.0</v>
      </c>
      <c r="CG21" s="7">
        <f t="shared" si="28"/>
        <v>5</v>
      </c>
      <c r="CH21" s="7">
        <v>1.0</v>
      </c>
      <c r="CI21" s="45">
        <f t="shared" si="29"/>
        <v>5</v>
      </c>
      <c r="CJ21" s="7">
        <v>1.0</v>
      </c>
      <c r="CK21" s="7">
        <v>1.0</v>
      </c>
      <c r="CL21" s="7">
        <v>1.0</v>
      </c>
      <c r="CM21" s="7">
        <f t="shared" si="30"/>
        <v>5</v>
      </c>
      <c r="CN21" s="7">
        <v>1.0</v>
      </c>
      <c r="CO21" s="45">
        <f t="shared" si="31"/>
        <v>5</v>
      </c>
      <c r="CP21" s="7">
        <v>1.0</v>
      </c>
      <c r="CQ21" s="7">
        <v>1.0</v>
      </c>
      <c r="CR21" s="7">
        <v>1.0</v>
      </c>
      <c r="CS21" s="7">
        <f t="shared" si="32"/>
        <v>5</v>
      </c>
      <c r="CT21" s="7">
        <v>1.0</v>
      </c>
      <c r="CU21" s="45">
        <f t="shared" si="33"/>
        <v>5</v>
      </c>
      <c r="CV21" s="7">
        <v>1.0</v>
      </c>
      <c r="CW21" s="7">
        <v>1.0</v>
      </c>
      <c r="CX21" s="7"/>
      <c r="CY21" s="7">
        <f t="shared" si="34"/>
        <v>3</v>
      </c>
      <c r="CZ21" s="7">
        <v>1.0</v>
      </c>
      <c r="DA21" s="45">
        <f t="shared" si="35"/>
        <v>3</v>
      </c>
      <c r="DB21" s="7"/>
      <c r="DC21" s="7"/>
      <c r="DD21" s="7"/>
      <c r="DE21" s="7">
        <f t="shared" si="36"/>
        <v>0</v>
      </c>
      <c r="DF21" s="7">
        <v>1.0</v>
      </c>
      <c r="DG21" s="45">
        <f t="shared" si="37"/>
        <v>0</v>
      </c>
      <c r="DH21" s="7"/>
      <c r="DI21" s="7"/>
      <c r="DJ21" s="7"/>
      <c r="DK21" s="7">
        <f t="shared" si="38"/>
        <v>0</v>
      </c>
      <c r="DL21" s="7">
        <v>1.0</v>
      </c>
      <c r="DM21" s="45">
        <f t="shared" si="39"/>
        <v>0</v>
      </c>
      <c r="DN21" s="7"/>
      <c r="DO21" s="7"/>
      <c r="DP21" s="7"/>
      <c r="DQ21" s="7">
        <f t="shared" si="40"/>
        <v>0</v>
      </c>
      <c r="DR21" s="7">
        <v>1.0</v>
      </c>
      <c r="DS21" s="45">
        <f t="shared" si="41"/>
        <v>0</v>
      </c>
      <c r="DT21" s="7"/>
      <c r="DU21" s="7"/>
      <c r="DV21" s="7"/>
      <c r="DW21" s="7">
        <f t="shared" si="42"/>
        <v>0</v>
      </c>
      <c r="DX21" s="7">
        <v>1.0</v>
      </c>
      <c r="DY21" s="45">
        <f t="shared" si="43"/>
        <v>0</v>
      </c>
      <c r="DZ21" s="7"/>
      <c r="EA21" s="7"/>
      <c r="EB21" s="7"/>
      <c r="EC21" s="7">
        <f t="shared" si="44"/>
        <v>0</v>
      </c>
      <c r="ED21" s="7">
        <v>1.0</v>
      </c>
      <c r="EE21" s="45">
        <f t="shared" si="45"/>
        <v>0</v>
      </c>
      <c r="EF21" s="7"/>
      <c r="EG21" s="7"/>
      <c r="EH21" s="7"/>
      <c r="EI21" s="7">
        <f t="shared" si="46"/>
        <v>0</v>
      </c>
      <c r="EJ21" s="7">
        <v>1.0</v>
      </c>
      <c r="EK21" s="45">
        <f t="shared" si="47"/>
        <v>0</v>
      </c>
      <c r="EL21" s="7"/>
      <c r="EM21" s="7"/>
      <c r="EN21" s="7"/>
      <c r="EO21" s="7">
        <f t="shared" si="48"/>
        <v>0</v>
      </c>
      <c r="EP21" s="7">
        <v>1.0</v>
      </c>
      <c r="EQ21" s="45">
        <f t="shared" si="49"/>
        <v>0</v>
      </c>
      <c r="ER21" s="7"/>
      <c r="ES21" s="7"/>
      <c r="ET21" s="7"/>
      <c r="EU21" s="7">
        <f t="shared" si="50"/>
        <v>0</v>
      </c>
      <c r="EV21" s="7">
        <v>1.0</v>
      </c>
      <c r="EW21" s="45">
        <f t="shared" si="51"/>
        <v>0</v>
      </c>
      <c r="EX21" s="7"/>
      <c r="EY21" s="7"/>
      <c r="EZ21" s="7"/>
      <c r="FA21" s="7">
        <f t="shared" si="52"/>
        <v>0</v>
      </c>
      <c r="FB21" s="7">
        <v>1.0</v>
      </c>
      <c r="FC21" s="45">
        <f t="shared" si="53"/>
        <v>0</v>
      </c>
      <c r="FD21" s="41"/>
      <c r="FE21" s="41"/>
      <c r="FF21" s="41"/>
      <c r="FG21" s="41">
        <f t="shared" si="54"/>
        <v>0</v>
      </c>
      <c r="FH21" s="41">
        <v>1.0</v>
      </c>
      <c r="FI21" s="42">
        <f t="shared" si="55"/>
        <v>0</v>
      </c>
      <c r="FJ21" s="41"/>
      <c r="FK21" s="41"/>
      <c r="FL21" s="41"/>
      <c r="FM21" s="41">
        <f t="shared" si="56"/>
        <v>0</v>
      </c>
      <c r="FN21" s="41">
        <v>1.0</v>
      </c>
      <c r="FO21" s="42">
        <f t="shared" si="57"/>
        <v>0</v>
      </c>
      <c r="FP21" s="7"/>
      <c r="FQ21" s="7"/>
      <c r="FR21" s="7"/>
      <c r="FS21" s="7">
        <f t="shared" si="58"/>
        <v>0</v>
      </c>
      <c r="FT21" s="7">
        <v>1.0</v>
      </c>
      <c r="FU21" s="45">
        <f t="shared" si="59"/>
        <v>0</v>
      </c>
      <c r="FV21" s="7"/>
      <c r="FW21" s="7"/>
      <c r="FX21" s="7"/>
      <c r="FY21" s="7">
        <f t="shared" si="60"/>
        <v>0</v>
      </c>
      <c r="FZ21" s="7">
        <v>1.0</v>
      </c>
      <c r="GA21" s="45">
        <f t="shared" si="61"/>
        <v>0</v>
      </c>
      <c r="GB21" s="7"/>
      <c r="GC21" s="7"/>
      <c r="GD21" s="7"/>
      <c r="GE21" s="7">
        <f t="shared" si="62"/>
        <v>0</v>
      </c>
      <c r="GF21" s="7">
        <v>1.0</v>
      </c>
      <c r="GG21" s="45">
        <f t="shared" si="63"/>
        <v>0</v>
      </c>
      <c r="GH21" s="7"/>
      <c r="GI21" s="7"/>
      <c r="GJ21" s="7"/>
      <c r="GK21" s="7">
        <f t="shared" si="64"/>
        <v>0</v>
      </c>
      <c r="GL21" s="7">
        <v>1.0</v>
      </c>
      <c r="GM21" s="45">
        <f t="shared" si="65"/>
        <v>0</v>
      </c>
      <c r="GN21" s="41"/>
      <c r="GO21" s="41"/>
      <c r="GP21" s="41"/>
      <c r="GQ21" s="41">
        <f t="shared" si="66"/>
        <v>0</v>
      </c>
      <c r="GR21" s="41">
        <v>1.0</v>
      </c>
      <c r="GS21" s="42">
        <f t="shared" si="67"/>
        <v>0</v>
      </c>
      <c r="GT21" s="7"/>
      <c r="GU21" s="7"/>
      <c r="GV21" s="7"/>
      <c r="GW21" s="7">
        <f t="shared" si="68"/>
        <v>0</v>
      </c>
      <c r="GX21" s="7">
        <v>1.0</v>
      </c>
      <c r="GY21" s="45">
        <f t="shared" si="69"/>
        <v>0</v>
      </c>
      <c r="GZ21" s="7"/>
      <c r="HA21" s="7"/>
      <c r="HB21" s="7"/>
      <c r="HC21" s="7">
        <f t="shared" si="70"/>
        <v>0</v>
      </c>
      <c r="HD21" s="7">
        <v>1.0</v>
      </c>
      <c r="HE21" s="45">
        <f t="shared" si="71"/>
        <v>0</v>
      </c>
      <c r="HF21" s="7"/>
      <c r="HG21" s="7"/>
      <c r="HH21" s="7"/>
      <c r="HI21" s="7">
        <f t="shared" si="72"/>
        <v>0</v>
      </c>
      <c r="HJ21" s="7">
        <v>1.0</v>
      </c>
      <c r="HK21" s="45">
        <f t="shared" si="73"/>
        <v>0</v>
      </c>
      <c r="HL21" s="7"/>
      <c r="HM21" s="7"/>
      <c r="HN21" s="7"/>
      <c r="HO21" s="7">
        <f t="shared" si="74"/>
        <v>0</v>
      </c>
      <c r="HP21" s="7">
        <v>1.0</v>
      </c>
      <c r="HQ21" s="45">
        <f t="shared" si="75"/>
        <v>0</v>
      </c>
      <c r="HR21" s="7"/>
      <c r="HS21" s="7"/>
      <c r="HT21" s="7"/>
      <c r="HU21" s="7">
        <f t="shared" si="76"/>
        <v>0</v>
      </c>
      <c r="HV21" s="7">
        <v>1.0</v>
      </c>
      <c r="HW21" s="45">
        <f t="shared" si="77"/>
        <v>0</v>
      </c>
      <c r="HX21" s="7"/>
      <c r="HY21" s="7"/>
      <c r="HZ21" s="7"/>
      <c r="IA21" s="7">
        <f t="shared" si="78"/>
        <v>0</v>
      </c>
      <c r="IB21" s="7">
        <v>1.0</v>
      </c>
      <c r="IC21" s="45">
        <f t="shared" si="79"/>
        <v>0</v>
      </c>
      <c r="ID21" s="7"/>
      <c r="IE21" s="7"/>
      <c r="IF21" s="7"/>
      <c r="IG21" s="7">
        <f t="shared" si="80"/>
        <v>0</v>
      </c>
      <c r="IH21" s="7">
        <v>1.0</v>
      </c>
      <c r="II21" s="45">
        <f t="shared" si="81"/>
        <v>0</v>
      </c>
      <c r="IJ21" s="7"/>
      <c r="IK21" s="7"/>
      <c r="IL21" s="7"/>
      <c r="IM21" s="7">
        <f t="shared" si="82"/>
        <v>0</v>
      </c>
      <c r="IN21" s="7">
        <v>1.0</v>
      </c>
      <c r="IO21" s="45">
        <f t="shared" si="83"/>
        <v>0</v>
      </c>
    </row>
    <row r="22">
      <c r="A22" s="36" t="s">
        <v>47</v>
      </c>
      <c r="B22" s="23" t="s">
        <v>167</v>
      </c>
      <c r="C22" s="1">
        <f t="shared" si="1"/>
        <v>17</v>
      </c>
      <c r="D22" s="15">
        <f>VLOOKUP(A22,TDP!A:C,3,FALSE)</f>
        <v>0.37</v>
      </c>
      <c r="E22" s="38">
        <f t="shared" si="2"/>
        <v>86.31</v>
      </c>
      <c r="F22" s="7"/>
      <c r="G22" s="107">
        <f t="shared" si="3"/>
        <v>0</v>
      </c>
      <c r="H22" s="7"/>
      <c r="I22" s="7"/>
      <c r="J22" s="7">
        <v>1.0</v>
      </c>
      <c r="K22" s="7">
        <f t="shared" si="4"/>
        <v>7</v>
      </c>
      <c r="L22" s="7"/>
      <c r="M22" s="45">
        <f t="shared" si="5"/>
        <v>7</v>
      </c>
      <c r="N22" s="41"/>
      <c r="O22" s="41"/>
      <c r="P22" s="41"/>
      <c r="Q22" s="42">
        <f t="shared" si="6"/>
        <v>0</v>
      </c>
      <c r="R22" s="41"/>
      <c r="S22" s="41"/>
      <c r="T22" s="41"/>
      <c r="U22" s="42">
        <f t="shared" si="7"/>
        <v>0</v>
      </c>
      <c r="V22" s="7">
        <v>1.0</v>
      </c>
      <c r="W22" s="7">
        <v>1.0</v>
      </c>
      <c r="X22" s="7">
        <v>1.0</v>
      </c>
      <c r="Y22" s="7">
        <f t="shared" si="8"/>
        <v>5</v>
      </c>
      <c r="Z22" s="7">
        <v>1.0</v>
      </c>
      <c r="AA22" s="45">
        <f t="shared" si="9"/>
        <v>5</v>
      </c>
      <c r="AB22" s="7">
        <v>1.0</v>
      </c>
      <c r="AC22" s="7">
        <v>1.0</v>
      </c>
      <c r="AD22" s="7"/>
      <c r="AE22" s="7">
        <f t="shared" si="10"/>
        <v>3</v>
      </c>
      <c r="AF22" s="7">
        <v>1.0</v>
      </c>
      <c r="AG22" s="45">
        <f t="shared" si="11"/>
        <v>3</v>
      </c>
      <c r="AH22" s="7">
        <v>1.0</v>
      </c>
      <c r="AI22" s="7">
        <v>1.0</v>
      </c>
      <c r="AJ22" s="7"/>
      <c r="AK22" s="7">
        <f t="shared" si="12"/>
        <v>3</v>
      </c>
      <c r="AL22" s="7">
        <v>1.0</v>
      </c>
      <c r="AM22" s="45">
        <f t="shared" si="13"/>
        <v>3</v>
      </c>
      <c r="AN22" s="7">
        <v>1.0</v>
      </c>
      <c r="AO22" s="7">
        <v>1.0</v>
      </c>
      <c r="AP22" s="7">
        <v>1.0</v>
      </c>
      <c r="AQ22" s="7">
        <f t="shared" si="14"/>
        <v>5</v>
      </c>
      <c r="AR22" s="7">
        <v>1.0</v>
      </c>
      <c r="AS22" s="45">
        <f t="shared" si="15"/>
        <v>5</v>
      </c>
      <c r="AT22" s="7">
        <v>1.0</v>
      </c>
      <c r="AU22" s="7">
        <v>1.0</v>
      </c>
      <c r="AV22" s="7"/>
      <c r="AW22" s="7">
        <f t="shared" si="16"/>
        <v>3</v>
      </c>
      <c r="AX22" s="7">
        <v>1.0</v>
      </c>
      <c r="AY22" s="45">
        <f t="shared" si="17"/>
        <v>3</v>
      </c>
      <c r="AZ22" s="7"/>
      <c r="BA22" s="7"/>
      <c r="BB22" s="7"/>
      <c r="BC22" s="7">
        <f t="shared" si="18"/>
        <v>0</v>
      </c>
      <c r="BD22" s="7"/>
      <c r="BE22" s="45">
        <f t="shared" si="19"/>
        <v>0</v>
      </c>
      <c r="BF22" s="7">
        <v>1.0</v>
      </c>
      <c r="BG22" s="7">
        <v>1.0</v>
      </c>
      <c r="BH22" s="7"/>
      <c r="BI22" s="7">
        <f t="shared" si="20"/>
        <v>3</v>
      </c>
      <c r="BJ22" s="7">
        <v>1.0</v>
      </c>
      <c r="BK22" s="45">
        <f t="shared" si="21"/>
        <v>3</v>
      </c>
      <c r="BL22" s="7"/>
      <c r="BM22" s="7"/>
      <c r="BN22" s="7"/>
      <c r="BO22" s="7">
        <f t="shared" si="22"/>
        <v>0</v>
      </c>
      <c r="BP22" s="7"/>
      <c r="BQ22" s="45">
        <f t="shared" si="23"/>
        <v>0</v>
      </c>
      <c r="BR22" s="7"/>
      <c r="BS22" s="7"/>
      <c r="BT22" s="7"/>
      <c r="BU22" s="7">
        <f t="shared" si="24"/>
        <v>0</v>
      </c>
      <c r="BV22" s="7"/>
      <c r="BW22" s="45">
        <f t="shared" si="25"/>
        <v>0</v>
      </c>
      <c r="BX22" s="7">
        <v>1.0</v>
      </c>
      <c r="BY22" s="7">
        <v>1.0</v>
      </c>
      <c r="BZ22" s="7">
        <v>1.0</v>
      </c>
      <c r="CA22" s="7">
        <f t="shared" si="26"/>
        <v>5</v>
      </c>
      <c r="CB22" s="7">
        <v>1.0</v>
      </c>
      <c r="CC22" s="45">
        <f t="shared" si="27"/>
        <v>5</v>
      </c>
      <c r="CD22" s="7">
        <v>1.0</v>
      </c>
      <c r="CE22" s="7">
        <v>1.0</v>
      </c>
      <c r="CF22" s="7">
        <v>1.0</v>
      </c>
      <c r="CG22" s="7">
        <f t="shared" si="28"/>
        <v>5</v>
      </c>
      <c r="CH22" s="7">
        <v>1.0</v>
      </c>
      <c r="CI22" s="45">
        <f t="shared" si="29"/>
        <v>5</v>
      </c>
      <c r="CJ22" s="7">
        <v>1.0</v>
      </c>
      <c r="CK22" s="7">
        <v>1.0</v>
      </c>
      <c r="CL22" s="7"/>
      <c r="CM22" s="7">
        <f t="shared" si="30"/>
        <v>3</v>
      </c>
      <c r="CN22" s="7">
        <v>1.0</v>
      </c>
      <c r="CO22" s="45">
        <f t="shared" si="31"/>
        <v>3</v>
      </c>
      <c r="CP22" s="7">
        <v>1.0</v>
      </c>
      <c r="CQ22" s="7">
        <v>1.0</v>
      </c>
      <c r="CR22" s="7"/>
      <c r="CS22" s="7">
        <f t="shared" si="32"/>
        <v>3</v>
      </c>
      <c r="CT22" s="7">
        <v>1.0</v>
      </c>
      <c r="CU22" s="45">
        <f t="shared" si="33"/>
        <v>3</v>
      </c>
      <c r="CV22" s="7">
        <v>1.0</v>
      </c>
      <c r="CW22" s="7">
        <v>1.0</v>
      </c>
      <c r="CX22" s="7"/>
      <c r="CY22" s="7">
        <f t="shared" si="34"/>
        <v>3</v>
      </c>
      <c r="CZ22" s="7">
        <v>1.0</v>
      </c>
      <c r="DA22" s="45">
        <f t="shared" si="35"/>
        <v>3</v>
      </c>
      <c r="DB22" s="7">
        <v>1.0</v>
      </c>
      <c r="DC22" s="7">
        <v>1.0</v>
      </c>
      <c r="DD22" s="7"/>
      <c r="DE22" s="7">
        <f t="shared" si="36"/>
        <v>3</v>
      </c>
      <c r="DF22" s="7">
        <v>1.0</v>
      </c>
      <c r="DG22" s="45">
        <f t="shared" si="37"/>
        <v>3</v>
      </c>
      <c r="DH22" s="7">
        <v>1.0</v>
      </c>
      <c r="DI22" s="7">
        <v>1.0</v>
      </c>
      <c r="DJ22" s="7"/>
      <c r="DK22" s="7">
        <f t="shared" si="38"/>
        <v>3</v>
      </c>
      <c r="DL22" s="7">
        <v>1.0</v>
      </c>
      <c r="DM22" s="45">
        <f t="shared" si="39"/>
        <v>3</v>
      </c>
      <c r="DN22" s="7"/>
      <c r="DO22" s="7"/>
      <c r="DP22" s="7"/>
      <c r="DQ22" s="7">
        <f t="shared" si="40"/>
        <v>0</v>
      </c>
      <c r="DR22" s="7">
        <v>1.0</v>
      </c>
      <c r="DS22" s="45">
        <f t="shared" si="41"/>
        <v>0</v>
      </c>
      <c r="DT22" s="7">
        <v>1.0</v>
      </c>
      <c r="DU22" s="7">
        <v>1.0</v>
      </c>
      <c r="DV22" s="7"/>
      <c r="DW22" s="7">
        <f t="shared" si="42"/>
        <v>3</v>
      </c>
      <c r="DX22" s="7">
        <v>1.0</v>
      </c>
      <c r="DY22" s="45">
        <f t="shared" si="43"/>
        <v>3</v>
      </c>
      <c r="DZ22" s="7">
        <v>1.0</v>
      </c>
      <c r="EA22" s="7">
        <v>1.0</v>
      </c>
      <c r="EB22" s="7"/>
      <c r="EC22" s="7">
        <f t="shared" si="44"/>
        <v>3</v>
      </c>
      <c r="ED22" s="7">
        <v>1.0</v>
      </c>
      <c r="EE22" s="45">
        <f t="shared" si="45"/>
        <v>3</v>
      </c>
      <c r="EF22" s="7"/>
      <c r="EG22" s="7"/>
      <c r="EH22" s="7"/>
      <c r="EI22" s="7">
        <f t="shared" si="46"/>
        <v>0</v>
      </c>
      <c r="EJ22" s="7">
        <v>1.0</v>
      </c>
      <c r="EK22" s="45">
        <f t="shared" si="47"/>
        <v>0</v>
      </c>
      <c r="EL22" s="7">
        <v>1.0</v>
      </c>
      <c r="EM22" s="7">
        <v>1.0</v>
      </c>
      <c r="EN22" s="7"/>
      <c r="EO22" s="7">
        <f t="shared" si="48"/>
        <v>3</v>
      </c>
      <c r="EP22" s="7">
        <v>1.0</v>
      </c>
      <c r="EQ22" s="45">
        <f t="shared" si="49"/>
        <v>3</v>
      </c>
      <c r="ER22" s="7"/>
      <c r="ES22" s="7"/>
      <c r="ET22" s="7"/>
      <c r="EU22" s="7">
        <f t="shared" si="50"/>
        <v>0</v>
      </c>
      <c r="EV22" s="7">
        <v>1.0</v>
      </c>
      <c r="EW22" s="45">
        <f t="shared" si="51"/>
        <v>0</v>
      </c>
      <c r="EX22" s="7"/>
      <c r="EY22" s="7"/>
      <c r="EZ22" s="7"/>
      <c r="FA22" s="7">
        <f t="shared" si="52"/>
        <v>0</v>
      </c>
      <c r="FB22" s="7">
        <v>1.0</v>
      </c>
      <c r="FC22" s="45">
        <f t="shared" si="53"/>
        <v>0</v>
      </c>
      <c r="FD22" s="41"/>
      <c r="FE22" s="41"/>
      <c r="FF22" s="41"/>
      <c r="FG22" s="41">
        <f t="shared" si="54"/>
        <v>0</v>
      </c>
      <c r="FH22" s="41">
        <v>1.0</v>
      </c>
      <c r="FI22" s="42">
        <f t="shared" si="55"/>
        <v>0</v>
      </c>
      <c r="FJ22" s="41"/>
      <c r="FK22" s="41"/>
      <c r="FL22" s="41"/>
      <c r="FM22" s="41">
        <f t="shared" si="56"/>
        <v>0</v>
      </c>
      <c r="FN22" s="41">
        <v>1.0</v>
      </c>
      <c r="FO22" s="42">
        <f t="shared" si="57"/>
        <v>0</v>
      </c>
      <c r="FP22" s="7"/>
      <c r="FQ22" s="7"/>
      <c r="FR22" s="7"/>
      <c r="FS22" s="7">
        <f t="shared" si="58"/>
        <v>0</v>
      </c>
      <c r="FT22" s="7">
        <v>1.0</v>
      </c>
      <c r="FU22" s="45">
        <f t="shared" si="59"/>
        <v>0</v>
      </c>
      <c r="FV22" s="7"/>
      <c r="FW22" s="7"/>
      <c r="FX22" s="7"/>
      <c r="FY22" s="7">
        <f t="shared" si="60"/>
        <v>0</v>
      </c>
      <c r="FZ22" s="7">
        <v>1.0</v>
      </c>
      <c r="GA22" s="45">
        <f t="shared" si="61"/>
        <v>0</v>
      </c>
      <c r="GB22" s="7"/>
      <c r="GC22" s="7"/>
      <c r="GD22" s="7"/>
      <c r="GE22" s="7">
        <f t="shared" si="62"/>
        <v>0</v>
      </c>
      <c r="GF22" s="7">
        <v>1.0</v>
      </c>
      <c r="GG22" s="45">
        <f t="shared" si="63"/>
        <v>0</v>
      </c>
      <c r="GH22" s="7"/>
      <c r="GI22" s="7"/>
      <c r="GJ22" s="7"/>
      <c r="GK22" s="7">
        <f t="shared" si="64"/>
        <v>0</v>
      </c>
      <c r="GL22" s="7">
        <v>1.0</v>
      </c>
      <c r="GM22" s="45">
        <f t="shared" si="65"/>
        <v>0</v>
      </c>
      <c r="GN22" s="41"/>
      <c r="GO22" s="41"/>
      <c r="GP22" s="41"/>
      <c r="GQ22" s="41">
        <f t="shared" si="66"/>
        <v>0</v>
      </c>
      <c r="GR22" s="41">
        <v>1.0</v>
      </c>
      <c r="GS22" s="42">
        <f t="shared" si="67"/>
        <v>0</v>
      </c>
      <c r="GT22" s="7"/>
      <c r="GU22" s="7"/>
      <c r="GV22" s="7"/>
      <c r="GW22" s="7">
        <f t="shared" si="68"/>
        <v>0</v>
      </c>
      <c r="GX22" s="7">
        <v>1.0</v>
      </c>
      <c r="GY22" s="45">
        <f t="shared" si="69"/>
        <v>0</v>
      </c>
      <c r="GZ22" s="7"/>
      <c r="HA22" s="7"/>
      <c r="HB22" s="7"/>
      <c r="HC22" s="7">
        <f t="shared" si="70"/>
        <v>0</v>
      </c>
      <c r="HD22" s="7">
        <v>1.0</v>
      </c>
      <c r="HE22" s="45">
        <f t="shared" si="71"/>
        <v>0</v>
      </c>
      <c r="HF22" s="7"/>
      <c r="HG22" s="7"/>
      <c r="HH22" s="7"/>
      <c r="HI22" s="7">
        <f t="shared" si="72"/>
        <v>0</v>
      </c>
      <c r="HJ22" s="7">
        <v>1.0</v>
      </c>
      <c r="HK22" s="45">
        <f t="shared" si="73"/>
        <v>0</v>
      </c>
      <c r="HL22" s="7"/>
      <c r="HM22" s="7"/>
      <c r="HN22" s="7"/>
      <c r="HO22" s="7">
        <f t="shared" si="74"/>
        <v>0</v>
      </c>
      <c r="HP22" s="7">
        <v>1.0</v>
      </c>
      <c r="HQ22" s="45">
        <f t="shared" si="75"/>
        <v>0</v>
      </c>
      <c r="HR22" s="7"/>
      <c r="HS22" s="7"/>
      <c r="HT22" s="7"/>
      <c r="HU22" s="7">
        <f t="shared" si="76"/>
        <v>0</v>
      </c>
      <c r="HV22" s="7">
        <v>1.0</v>
      </c>
      <c r="HW22" s="45">
        <f t="shared" si="77"/>
        <v>0</v>
      </c>
      <c r="HX22" s="7"/>
      <c r="HY22" s="7"/>
      <c r="HZ22" s="7"/>
      <c r="IA22" s="7">
        <f t="shared" si="78"/>
        <v>0</v>
      </c>
      <c r="IB22" s="7">
        <v>1.0</v>
      </c>
      <c r="IC22" s="45">
        <f t="shared" si="79"/>
        <v>0</v>
      </c>
      <c r="ID22" s="7"/>
      <c r="IE22" s="7"/>
      <c r="IF22" s="7"/>
      <c r="IG22" s="7">
        <f t="shared" si="80"/>
        <v>0</v>
      </c>
      <c r="IH22" s="7">
        <v>1.0</v>
      </c>
      <c r="II22" s="45">
        <f t="shared" si="81"/>
        <v>0</v>
      </c>
      <c r="IJ22" s="7"/>
      <c r="IK22" s="7"/>
      <c r="IL22" s="7"/>
      <c r="IM22" s="7">
        <f t="shared" si="82"/>
        <v>0</v>
      </c>
      <c r="IN22" s="7">
        <v>1.0</v>
      </c>
      <c r="IO22" s="45">
        <f t="shared" si="83"/>
        <v>0</v>
      </c>
    </row>
    <row r="23">
      <c r="A23" s="36" t="s">
        <v>113</v>
      </c>
      <c r="B23" s="21" t="s">
        <v>114</v>
      </c>
      <c r="C23" s="1">
        <f t="shared" si="1"/>
        <v>18</v>
      </c>
      <c r="D23" s="15">
        <f>VLOOKUP(A23,TDP!A:C,3,FALSE)</f>
        <v>0.18</v>
      </c>
      <c r="E23" s="38">
        <f t="shared" si="2"/>
        <v>61.36</v>
      </c>
      <c r="F23" s="7"/>
      <c r="G23" s="39">
        <f t="shared" si="3"/>
        <v>0</v>
      </c>
      <c r="H23" s="7"/>
      <c r="I23" s="7"/>
      <c r="J23" s="7"/>
      <c r="K23" s="7">
        <f t="shared" si="4"/>
        <v>0</v>
      </c>
      <c r="L23" s="7"/>
      <c r="M23" s="45">
        <f t="shared" si="5"/>
        <v>0</v>
      </c>
      <c r="N23" s="41"/>
      <c r="O23" s="41"/>
      <c r="P23" s="41"/>
      <c r="Q23" s="42">
        <f t="shared" si="6"/>
        <v>0</v>
      </c>
      <c r="R23" s="41"/>
      <c r="S23" s="41"/>
      <c r="T23" s="41"/>
      <c r="U23" s="42">
        <f t="shared" si="7"/>
        <v>0</v>
      </c>
      <c r="V23" s="7"/>
      <c r="W23" s="7"/>
      <c r="X23" s="7"/>
      <c r="Y23" s="7">
        <f t="shared" si="8"/>
        <v>0</v>
      </c>
      <c r="Z23" s="7"/>
      <c r="AA23" s="45">
        <f t="shared" si="9"/>
        <v>0</v>
      </c>
      <c r="AB23" s="7"/>
      <c r="AC23" s="7"/>
      <c r="AD23" s="7"/>
      <c r="AE23" s="7">
        <f t="shared" si="10"/>
        <v>0</v>
      </c>
      <c r="AF23" s="7"/>
      <c r="AG23" s="45">
        <f t="shared" si="11"/>
        <v>0</v>
      </c>
      <c r="AH23" s="7"/>
      <c r="AI23" s="7"/>
      <c r="AJ23" s="7"/>
      <c r="AK23" s="7">
        <f t="shared" si="12"/>
        <v>0</v>
      </c>
      <c r="AL23" s="7"/>
      <c r="AM23" s="45">
        <f t="shared" si="13"/>
        <v>0</v>
      </c>
      <c r="AN23" s="7"/>
      <c r="AO23" s="7"/>
      <c r="AP23" s="7"/>
      <c r="AQ23" s="7">
        <f t="shared" si="14"/>
        <v>0</v>
      </c>
      <c r="AR23" s="7"/>
      <c r="AS23" s="45">
        <f t="shared" si="15"/>
        <v>0</v>
      </c>
      <c r="AT23" s="7"/>
      <c r="AU23" s="7"/>
      <c r="AV23" s="7"/>
      <c r="AW23" s="7">
        <f t="shared" si="16"/>
        <v>0</v>
      </c>
      <c r="AX23" s="7"/>
      <c r="AY23" s="45">
        <f t="shared" si="17"/>
        <v>0</v>
      </c>
      <c r="AZ23" s="7"/>
      <c r="BA23" s="7"/>
      <c r="BB23" s="7"/>
      <c r="BC23" s="7">
        <f t="shared" si="18"/>
        <v>0</v>
      </c>
      <c r="BD23" s="7"/>
      <c r="BE23" s="45">
        <f t="shared" si="19"/>
        <v>0</v>
      </c>
      <c r="BF23" s="7"/>
      <c r="BG23" s="7"/>
      <c r="BH23" s="7"/>
      <c r="BI23" s="7">
        <f t="shared" si="20"/>
        <v>0</v>
      </c>
      <c r="BJ23" s="7"/>
      <c r="BK23" s="45">
        <f t="shared" si="21"/>
        <v>0</v>
      </c>
      <c r="BL23" s="7"/>
      <c r="BM23" s="7"/>
      <c r="BN23" s="7"/>
      <c r="BO23" s="7">
        <f t="shared" si="22"/>
        <v>0</v>
      </c>
      <c r="BP23" s="7"/>
      <c r="BQ23" s="45">
        <f t="shared" si="23"/>
        <v>0</v>
      </c>
      <c r="BR23" s="7"/>
      <c r="BS23" s="7"/>
      <c r="BT23" s="7"/>
      <c r="BU23" s="7">
        <f t="shared" si="24"/>
        <v>0</v>
      </c>
      <c r="BV23" s="7"/>
      <c r="BW23" s="45">
        <f t="shared" si="25"/>
        <v>0</v>
      </c>
      <c r="BX23" s="7"/>
      <c r="BY23" s="7"/>
      <c r="BZ23" s="7"/>
      <c r="CA23" s="7">
        <f t="shared" si="26"/>
        <v>0</v>
      </c>
      <c r="CB23" s="7"/>
      <c r="CC23" s="45">
        <f t="shared" si="27"/>
        <v>0</v>
      </c>
      <c r="CD23" s="7"/>
      <c r="CE23" s="7"/>
      <c r="CF23" s="7"/>
      <c r="CG23" s="7">
        <f t="shared" si="28"/>
        <v>0</v>
      </c>
      <c r="CH23" s="7"/>
      <c r="CI23" s="45">
        <f t="shared" si="29"/>
        <v>0</v>
      </c>
      <c r="CJ23" s="7"/>
      <c r="CK23" s="7"/>
      <c r="CL23" s="7"/>
      <c r="CM23" s="7">
        <f t="shared" si="30"/>
        <v>0</v>
      </c>
      <c r="CN23" s="7"/>
      <c r="CO23" s="45">
        <f t="shared" si="31"/>
        <v>0</v>
      </c>
      <c r="CP23" s="7"/>
      <c r="CQ23" s="7"/>
      <c r="CR23" s="7"/>
      <c r="CS23" s="7">
        <f t="shared" si="32"/>
        <v>0</v>
      </c>
      <c r="CT23" s="7"/>
      <c r="CU23" s="45">
        <f t="shared" si="33"/>
        <v>0</v>
      </c>
      <c r="CV23" s="7">
        <v>1.0</v>
      </c>
      <c r="CW23" s="7">
        <v>1.0</v>
      </c>
      <c r="CX23" s="7">
        <v>1.0</v>
      </c>
      <c r="CY23" s="7">
        <f t="shared" si="34"/>
        <v>5</v>
      </c>
      <c r="CZ23" s="7">
        <v>1.0</v>
      </c>
      <c r="DA23" s="45">
        <f t="shared" si="35"/>
        <v>5</v>
      </c>
      <c r="DB23" s="7">
        <v>1.0</v>
      </c>
      <c r="DC23" s="7">
        <v>1.0</v>
      </c>
      <c r="DD23" s="7">
        <v>1.0</v>
      </c>
      <c r="DE23" s="7">
        <f t="shared" si="36"/>
        <v>5</v>
      </c>
      <c r="DF23" s="7">
        <v>1.0</v>
      </c>
      <c r="DG23" s="45">
        <f t="shared" si="37"/>
        <v>5</v>
      </c>
      <c r="DH23" s="7">
        <v>1.0</v>
      </c>
      <c r="DI23" s="7">
        <v>1.0</v>
      </c>
      <c r="DJ23" s="7">
        <v>1.0</v>
      </c>
      <c r="DK23" s="7">
        <f t="shared" si="38"/>
        <v>5</v>
      </c>
      <c r="DL23" s="7">
        <v>1.0</v>
      </c>
      <c r="DM23" s="45">
        <f t="shared" si="39"/>
        <v>5</v>
      </c>
      <c r="DN23" s="7">
        <v>1.0</v>
      </c>
      <c r="DO23" s="7">
        <v>1.0</v>
      </c>
      <c r="DP23" s="7">
        <v>1.0</v>
      </c>
      <c r="DQ23" s="7">
        <f t="shared" si="40"/>
        <v>5</v>
      </c>
      <c r="DR23" s="7">
        <v>1.0</v>
      </c>
      <c r="DS23" s="45">
        <f t="shared" si="41"/>
        <v>5</v>
      </c>
      <c r="DT23" s="7">
        <v>1.0</v>
      </c>
      <c r="DU23" s="7">
        <v>1.0</v>
      </c>
      <c r="DV23" s="7">
        <v>1.0</v>
      </c>
      <c r="DW23" s="7">
        <f t="shared" si="42"/>
        <v>5</v>
      </c>
      <c r="DX23" s="7">
        <v>1.0</v>
      </c>
      <c r="DY23" s="45">
        <f t="shared" si="43"/>
        <v>5</v>
      </c>
      <c r="DZ23" s="7"/>
      <c r="EA23" s="7"/>
      <c r="EB23" s="7"/>
      <c r="EC23" s="7">
        <f t="shared" si="44"/>
        <v>0</v>
      </c>
      <c r="ED23" s="7">
        <v>1.0</v>
      </c>
      <c r="EE23" s="45">
        <f t="shared" si="45"/>
        <v>0</v>
      </c>
      <c r="EF23" s="7">
        <v>1.0</v>
      </c>
      <c r="EG23" s="7">
        <v>1.0</v>
      </c>
      <c r="EH23" s="7"/>
      <c r="EI23" s="7">
        <f t="shared" si="46"/>
        <v>3</v>
      </c>
      <c r="EJ23" s="7">
        <v>1.0</v>
      </c>
      <c r="EK23" s="45">
        <f t="shared" si="47"/>
        <v>3</v>
      </c>
      <c r="EL23" s="7">
        <v>1.0</v>
      </c>
      <c r="EM23" s="7">
        <v>1.0</v>
      </c>
      <c r="EN23" s="7"/>
      <c r="EO23" s="7">
        <f t="shared" si="48"/>
        <v>3</v>
      </c>
      <c r="EP23" s="7">
        <v>1.0</v>
      </c>
      <c r="EQ23" s="45">
        <f t="shared" si="49"/>
        <v>3</v>
      </c>
      <c r="ER23" s="7">
        <v>1.0</v>
      </c>
      <c r="ES23" s="7">
        <v>1.0</v>
      </c>
      <c r="ET23" s="7"/>
      <c r="EU23" s="7">
        <f t="shared" si="50"/>
        <v>3</v>
      </c>
      <c r="EV23" s="7">
        <v>1.0</v>
      </c>
      <c r="EW23" s="45">
        <f t="shared" si="51"/>
        <v>3</v>
      </c>
      <c r="EX23" s="7">
        <v>1.0</v>
      </c>
      <c r="EY23" s="7">
        <v>1.0</v>
      </c>
      <c r="EZ23" s="7"/>
      <c r="FA23" s="7">
        <f t="shared" si="52"/>
        <v>3</v>
      </c>
      <c r="FB23" s="7">
        <v>1.0</v>
      </c>
      <c r="FC23" s="45">
        <f t="shared" si="53"/>
        <v>3</v>
      </c>
      <c r="FD23" s="41"/>
      <c r="FE23" s="41"/>
      <c r="FF23" s="41"/>
      <c r="FG23" s="41">
        <f t="shared" si="54"/>
        <v>0</v>
      </c>
      <c r="FH23" s="41">
        <v>1.0</v>
      </c>
      <c r="FI23" s="42">
        <f t="shared" si="55"/>
        <v>0</v>
      </c>
      <c r="FJ23" s="41"/>
      <c r="FK23" s="41"/>
      <c r="FL23" s="41"/>
      <c r="FM23" s="41">
        <f t="shared" si="56"/>
        <v>0</v>
      </c>
      <c r="FN23" s="41">
        <v>1.0</v>
      </c>
      <c r="FO23" s="42">
        <f t="shared" si="57"/>
        <v>0</v>
      </c>
      <c r="FP23" s="7">
        <v>1.0</v>
      </c>
      <c r="FQ23" s="7">
        <v>1.0</v>
      </c>
      <c r="FR23" s="7"/>
      <c r="FS23" s="7">
        <f t="shared" si="58"/>
        <v>3</v>
      </c>
      <c r="FT23" s="7">
        <v>1.0</v>
      </c>
      <c r="FU23" s="45">
        <f t="shared" si="59"/>
        <v>3</v>
      </c>
      <c r="FV23" s="7">
        <v>1.0</v>
      </c>
      <c r="FW23" s="7">
        <v>1.0</v>
      </c>
      <c r="FX23" s="7"/>
      <c r="FY23" s="7">
        <f t="shared" si="60"/>
        <v>3</v>
      </c>
      <c r="FZ23" s="7">
        <v>1.0</v>
      </c>
      <c r="GA23" s="45">
        <f t="shared" si="61"/>
        <v>3</v>
      </c>
      <c r="GB23" s="7">
        <v>1.0</v>
      </c>
      <c r="GC23" s="7">
        <v>1.0</v>
      </c>
      <c r="GD23" s="7"/>
      <c r="GE23" s="7">
        <f t="shared" si="62"/>
        <v>3</v>
      </c>
      <c r="GF23" s="7">
        <v>1.0</v>
      </c>
      <c r="GG23" s="45">
        <f t="shared" si="63"/>
        <v>3</v>
      </c>
      <c r="GH23" s="7">
        <v>1.0</v>
      </c>
      <c r="GI23" s="7">
        <v>1.0</v>
      </c>
      <c r="GJ23" s="7"/>
      <c r="GK23" s="7">
        <f t="shared" si="64"/>
        <v>3</v>
      </c>
      <c r="GL23" s="7">
        <v>1.0</v>
      </c>
      <c r="GM23" s="45">
        <f t="shared" si="65"/>
        <v>3</v>
      </c>
      <c r="GN23" s="41"/>
      <c r="GO23" s="41"/>
      <c r="GP23" s="41"/>
      <c r="GQ23" s="41">
        <f t="shared" si="66"/>
        <v>0</v>
      </c>
      <c r="GR23" s="41">
        <v>1.0</v>
      </c>
      <c r="GS23" s="42">
        <f t="shared" si="67"/>
        <v>0</v>
      </c>
      <c r="GT23" s="7">
        <v>1.0</v>
      </c>
      <c r="GU23" s="7">
        <v>1.0</v>
      </c>
      <c r="GV23" s="7"/>
      <c r="GW23" s="7">
        <f t="shared" si="68"/>
        <v>3</v>
      </c>
      <c r="GX23" s="7">
        <v>1.0</v>
      </c>
      <c r="GY23" s="45">
        <f t="shared" si="69"/>
        <v>3</v>
      </c>
      <c r="GZ23" s="7"/>
      <c r="HA23" s="7"/>
      <c r="HB23" s="7"/>
      <c r="HC23" s="7">
        <f t="shared" si="70"/>
        <v>0</v>
      </c>
      <c r="HD23" s="7">
        <v>1.0</v>
      </c>
      <c r="HE23" s="45">
        <f t="shared" si="71"/>
        <v>0</v>
      </c>
      <c r="HF23" s="7"/>
      <c r="HG23" s="7"/>
      <c r="HH23" s="7"/>
      <c r="HI23" s="7">
        <f t="shared" si="72"/>
        <v>0</v>
      </c>
      <c r="HJ23" s="7">
        <v>1.0</v>
      </c>
      <c r="HK23" s="45">
        <f t="shared" si="73"/>
        <v>0</v>
      </c>
      <c r="HL23" s="7"/>
      <c r="HM23" s="7"/>
      <c r="HN23" s="7"/>
      <c r="HO23" s="7">
        <f t="shared" si="74"/>
        <v>0</v>
      </c>
      <c r="HP23" s="7">
        <v>1.0</v>
      </c>
      <c r="HQ23" s="45">
        <f t="shared" si="75"/>
        <v>0</v>
      </c>
      <c r="HR23" s="7"/>
      <c r="HS23" s="7"/>
      <c r="HT23" s="7"/>
      <c r="HU23" s="7">
        <f t="shared" si="76"/>
        <v>0</v>
      </c>
      <c r="HV23" s="7">
        <v>1.0</v>
      </c>
      <c r="HW23" s="45">
        <f t="shared" si="77"/>
        <v>0</v>
      </c>
      <c r="HX23" s="7"/>
      <c r="HY23" s="7"/>
      <c r="HZ23" s="7"/>
      <c r="IA23" s="7">
        <f t="shared" si="78"/>
        <v>0</v>
      </c>
      <c r="IB23" s="7">
        <v>1.0</v>
      </c>
      <c r="IC23" s="45">
        <f t="shared" si="79"/>
        <v>0</v>
      </c>
      <c r="ID23" s="7"/>
      <c r="IE23" s="7"/>
      <c r="IF23" s="7"/>
      <c r="IG23" s="7">
        <f t="shared" si="80"/>
        <v>0</v>
      </c>
      <c r="IH23" s="7">
        <v>1.0</v>
      </c>
      <c r="II23" s="45">
        <f t="shared" si="81"/>
        <v>0</v>
      </c>
      <c r="IJ23" s="7"/>
      <c r="IK23" s="7"/>
      <c r="IL23" s="7"/>
      <c r="IM23" s="7">
        <f t="shared" si="82"/>
        <v>0</v>
      </c>
      <c r="IN23" s="7">
        <v>1.0</v>
      </c>
      <c r="IO23" s="45">
        <f t="shared" si="83"/>
        <v>0</v>
      </c>
    </row>
    <row r="24">
      <c r="A24" s="36" t="s">
        <v>106</v>
      </c>
      <c r="B24" s="21" t="s">
        <v>107</v>
      </c>
      <c r="C24" s="1">
        <f t="shared" si="1"/>
        <v>19</v>
      </c>
      <c r="D24" s="15">
        <f>VLOOKUP(A24,TDP!A:C,3,FALSE)</f>
        <v>0.19</v>
      </c>
      <c r="E24" s="38">
        <f t="shared" si="2"/>
        <v>39.27</v>
      </c>
      <c r="F24" s="7"/>
      <c r="G24" s="39">
        <f t="shared" si="3"/>
        <v>0</v>
      </c>
      <c r="H24" s="7"/>
      <c r="I24" s="7"/>
      <c r="J24" s="7"/>
      <c r="K24" s="7">
        <f t="shared" si="4"/>
        <v>0</v>
      </c>
      <c r="L24" s="7"/>
      <c r="M24" s="45">
        <f t="shared" si="5"/>
        <v>0</v>
      </c>
      <c r="N24" s="41"/>
      <c r="O24" s="41"/>
      <c r="P24" s="41"/>
      <c r="Q24" s="42">
        <f t="shared" si="6"/>
        <v>0</v>
      </c>
      <c r="R24" s="41"/>
      <c r="S24" s="41"/>
      <c r="T24" s="41"/>
      <c r="U24" s="42">
        <f t="shared" si="7"/>
        <v>0</v>
      </c>
      <c r="V24" s="7"/>
      <c r="W24" s="7"/>
      <c r="X24" s="7"/>
      <c r="Y24" s="7">
        <f t="shared" si="8"/>
        <v>0</v>
      </c>
      <c r="Z24" s="7"/>
      <c r="AA24" s="45">
        <f t="shared" si="9"/>
        <v>0</v>
      </c>
      <c r="AB24" s="7"/>
      <c r="AC24" s="7"/>
      <c r="AD24" s="7"/>
      <c r="AE24" s="7">
        <f t="shared" si="10"/>
        <v>0</v>
      </c>
      <c r="AF24" s="7"/>
      <c r="AG24" s="45">
        <f t="shared" si="11"/>
        <v>0</v>
      </c>
      <c r="AH24" s="7"/>
      <c r="AI24" s="7"/>
      <c r="AJ24" s="7"/>
      <c r="AK24" s="7">
        <f t="shared" si="12"/>
        <v>0</v>
      </c>
      <c r="AL24" s="7"/>
      <c r="AM24" s="45">
        <f t="shared" si="13"/>
        <v>0</v>
      </c>
      <c r="AN24" s="7"/>
      <c r="AO24" s="7"/>
      <c r="AP24" s="7"/>
      <c r="AQ24" s="7">
        <f t="shared" si="14"/>
        <v>0</v>
      </c>
      <c r="AR24" s="7"/>
      <c r="AS24" s="45">
        <f t="shared" si="15"/>
        <v>0</v>
      </c>
      <c r="AT24" s="7"/>
      <c r="AU24" s="7"/>
      <c r="AV24" s="7"/>
      <c r="AW24" s="7">
        <f t="shared" si="16"/>
        <v>0</v>
      </c>
      <c r="AX24" s="7"/>
      <c r="AY24" s="45">
        <f t="shared" si="17"/>
        <v>0</v>
      </c>
      <c r="AZ24" s="7"/>
      <c r="BA24" s="7"/>
      <c r="BB24" s="7"/>
      <c r="BC24" s="7">
        <f t="shared" si="18"/>
        <v>0</v>
      </c>
      <c r="BD24" s="7"/>
      <c r="BE24" s="45">
        <f t="shared" si="19"/>
        <v>0</v>
      </c>
      <c r="BF24" s="7"/>
      <c r="BG24" s="7"/>
      <c r="BH24" s="7"/>
      <c r="BI24" s="7">
        <f t="shared" si="20"/>
        <v>0</v>
      </c>
      <c r="BJ24" s="7"/>
      <c r="BK24" s="45">
        <f t="shared" si="21"/>
        <v>0</v>
      </c>
      <c r="BL24" s="7"/>
      <c r="BM24" s="7"/>
      <c r="BN24" s="7"/>
      <c r="BO24" s="7">
        <f t="shared" si="22"/>
        <v>0</v>
      </c>
      <c r="BP24" s="7"/>
      <c r="BQ24" s="45">
        <f t="shared" si="23"/>
        <v>0</v>
      </c>
      <c r="BR24" s="7"/>
      <c r="BS24" s="7"/>
      <c r="BT24" s="7"/>
      <c r="BU24" s="7">
        <f t="shared" si="24"/>
        <v>0</v>
      </c>
      <c r="BV24" s="7"/>
      <c r="BW24" s="45">
        <f t="shared" si="25"/>
        <v>0</v>
      </c>
      <c r="BX24" s="7"/>
      <c r="BY24" s="7"/>
      <c r="BZ24" s="7"/>
      <c r="CA24" s="7">
        <f t="shared" si="26"/>
        <v>0</v>
      </c>
      <c r="CB24" s="7"/>
      <c r="CC24" s="45">
        <f t="shared" si="27"/>
        <v>0</v>
      </c>
      <c r="CD24" s="7"/>
      <c r="CE24" s="7"/>
      <c r="CF24" s="7"/>
      <c r="CG24" s="7">
        <f t="shared" si="28"/>
        <v>0</v>
      </c>
      <c r="CH24" s="7"/>
      <c r="CI24" s="45">
        <f t="shared" si="29"/>
        <v>0</v>
      </c>
      <c r="CJ24" s="7"/>
      <c r="CK24" s="7"/>
      <c r="CL24" s="7"/>
      <c r="CM24" s="7">
        <f t="shared" si="30"/>
        <v>0</v>
      </c>
      <c r="CN24" s="7"/>
      <c r="CO24" s="45">
        <f t="shared" si="31"/>
        <v>0</v>
      </c>
      <c r="CP24" s="7"/>
      <c r="CQ24" s="7"/>
      <c r="CR24" s="7"/>
      <c r="CS24" s="7">
        <f t="shared" si="32"/>
        <v>0</v>
      </c>
      <c r="CT24" s="7"/>
      <c r="CU24" s="45">
        <f t="shared" si="33"/>
        <v>0</v>
      </c>
      <c r="CV24" s="7"/>
      <c r="CW24" s="7"/>
      <c r="CX24" s="7"/>
      <c r="CY24" s="7">
        <f t="shared" si="34"/>
        <v>0</v>
      </c>
      <c r="CZ24" s="7"/>
      <c r="DA24" s="45">
        <f t="shared" si="35"/>
        <v>0</v>
      </c>
      <c r="DB24" s="7">
        <v>1.0</v>
      </c>
      <c r="DC24" s="7">
        <v>1.0</v>
      </c>
      <c r="DD24" s="7">
        <v>1.0</v>
      </c>
      <c r="DE24" s="7">
        <f t="shared" si="36"/>
        <v>5</v>
      </c>
      <c r="DF24" s="7">
        <v>1.0</v>
      </c>
      <c r="DG24" s="45">
        <f t="shared" si="37"/>
        <v>5</v>
      </c>
      <c r="DH24" s="7">
        <v>1.0</v>
      </c>
      <c r="DI24" s="7">
        <v>1.0</v>
      </c>
      <c r="DJ24" s="7">
        <v>1.0</v>
      </c>
      <c r="DK24" s="7">
        <f t="shared" si="38"/>
        <v>5</v>
      </c>
      <c r="DL24" s="7">
        <v>1.0</v>
      </c>
      <c r="DM24" s="45">
        <f t="shared" si="39"/>
        <v>5</v>
      </c>
      <c r="DN24" s="7">
        <v>1.0</v>
      </c>
      <c r="DO24" s="7">
        <v>1.0</v>
      </c>
      <c r="DP24" s="7">
        <v>1.0</v>
      </c>
      <c r="DQ24" s="7">
        <f t="shared" si="40"/>
        <v>5</v>
      </c>
      <c r="DR24" s="7">
        <v>1.0</v>
      </c>
      <c r="DS24" s="45">
        <f t="shared" si="41"/>
        <v>5</v>
      </c>
      <c r="DT24" s="7">
        <v>1.0</v>
      </c>
      <c r="DU24" s="7">
        <v>1.0</v>
      </c>
      <c r="DV24" s="7">
        <v>1.0</v>
      </c>
      <c r="DW24" s="7">
        <f t="shared" si="42"/>
        <v>5</v>
      </c>
      <c r="DX24" s="7">
        <v>1.0</v>
      </c>
      <c r="DY24" s="45">
        <f t="shared" si="43"/>
        <v>5</v>
      </c>
      <c r="DZ24" s="7"/>
      <c r="EA24" s="7"/>
      <c r="EB24" s="7"/>
      <c r="EC24" s="7">
        <f t="shared" si="44"/>
        <v>0</v>
      </c>
      <c r="ED24" s="7">
        <v>1.0</v>
      </c>
      <c r="EE24" s="45">
        <f t="shared" si="45"/>
        <v>0</v>
      </c>
      <c r="EF24" s="7"/>
      <c r="EG24" s="7"/>
      <c r="EH24" s="7"/>
      <c r="EI24" s="7">
        <f t="shared" si="46"/>
        <v>0</v>
      </c>
      <c r="EJ24" s="7">
        <v>1.0</v>
      </c>
      <c r="EK24" s="45">
        <f t="shared" si="47"/>
        <v>0</v>
      </c>
      <c r="EL24" s="7">
        <v>1.0</v>
      </c>
      <c r="EM24" s="7">
        <v>1.0</v>
      </c>
      <c r="EN24" s="7">
        <v>1.0</v>
      </c>
      <c r="EO24" s="7">
        <f t="shared" si="48"/>
        <v>5</v>
      </c>
      <c r="EP24" s="7">
        <v>1.0</v>
      </c>
      <c r="EQ24" s="45">
        <f t="shared" si="49"/>
        <v>5</v>
      </c>
      <c r="ER24" s="7"/>
      <c r="ES24" s="7"/>
      <c r="ET24" s="7"/>
      <c r="EU24" s="7">
        <f t="shared" si="50"/>
        <v>0</v>
      </c>
      <c r="EV24" s="7">
        <v>1.0</v>
      </c>
      <c r="EW24" s="45">
        <f t="shared" si="51"/>
        <v>0</v>
      </c>
      <c r="EX24" s="7"/>
      <c r="EY24" s="7"/>
      <c r="EZ24" s="7"/>
      <c r="FA24" s="7">
        <f t="shared" si="52"/>
        <v>0</v>
      </c>
      <c r="FB24" s="7">
        <v>1.0</v>
      </c>
      <c r="FC24" s="45">
        <f t="shared" si="53"/>
        <v>0</v>
      </c>
      <c r="FD24" s="41"/>
      <c r="FE24" s="41"/>
      <c r="FF24" s="41"/>
      <c r="FG24" s="41">
        <f t="shared" si="54"/>
        <v>0</v>
      </c>
      <c r="FH24" s="41">
        <v>1.0</v>
      </c>
      <c r="FI24" s="42">
        <f t="shared" si="55"/>
        <v>0</v>
      </c>
      <c r="FJ24" s="41"/>
      <c r="FK24" s="41"/>
      <c r="FL24" s="41"/>
      <c r="FM24" s="41">
        <f t="shared" si="56"/>
        <v>0</v>
      </c>
      <c r="FN24" s="41">
        <v>1.0</v>
      </c>
      <c r="FO24" s="42">
        <f t="shared" si="57"/>
        <v>0</v>
      </c>
      <c r="FP24" s="7"/>
      <c r="FQ24" s="7"/>
      <c r="FR24" s="7"/>
      <c r="FS24" s="7">
        <f t="shared" si="58"/>
        <v>0</v>
      </c>
      <c r="FT24" s="7">
        <v>1.0</v>
      </c>
      <c r="FU24" s="45">
        <f t="shared" si="59"/>
        <v>0</v>
      </c>
      <c r="FV24" s="7"/>
      <c r="FW24" s="7"/>
      <c r="FX24" s="7"/>
      <c r="FY24" s="7">
        <f t="shared" si="60"/>
        <v>0</v>
      </c>
      <c r="FZ24" s="7">
        <v>1.0</v>
      </c>
      <c r="GA24" s="45">
        <f t="shared" si="61"/>
        <v>0</v>
      </c>
      <c r="GB24" s="7">
        <v>1.0</v>
      </c>
      <c r="GC24" s="7">
        <v>1.0</v>
      </c>
      <c r="GD24" s="7"/>
      <c r="GE24" s="7">
        <f t="shared" si="62"/>
        <v>3</v>
      </c>
      <c r="GF24" s="7">
        <v>1.0</v>
      </c>
      <c r="GG24" s="45">
        <f t="shared" si="63"/>
        <v>3</v>
      </c>
      <c r="GH24" s="7">
        <v>1.0</v>
      </c>
      <c r="GI24" s="7">
        <v>1.0</v>
      </c>
      <c r="GJ24" s="7">
        <v>1.0</v>
      </c>
      <c r="GK24" s="7">
        <f t="shared" si="64"/>
        <v>5</v>
      </c>
      <c r="GL24" s="7">
        <v>1.0</v>
      </c>
      <c r="GM24" s="45">
        <f t="shared" si="65"/>
        <v>5</v>
      </c>
      <c r="GN24" s="41"/>
      <c r="GO24" s="41"/>
      <c r="GP24" s="41"/>
      <c r="GQ24" s="41">
        <f t="shared" si="66"/>
        <v>0</v>
      </c>
      <c r="GR24" s="41">
        <v>1.0</v>
      </c>
      <c r="GS24" s="42">
        <f t="shared" si="67"/>
        <v>0</v>
      </c>
      <c r="GT24" s="7"/>
      <c r="GU24" s="7"/>
      <c r="GV24" s="7"/>
      <c r="GW24" s="7">
        <f t="shared" si="68"/>
        <v>0</v>
      </c>
      <c r="GX24" s="7">
        <v>1.0</v>
      </c>
      <c r="GY24" s="45">
        <f t="shared" si="69"/>
        <v>0</v>
      </c>
      <c r="GZ24" s="7"/>
      <c r="HA24" s="7"/>
      <c r="HB24" s="7"/>
      <c r="HC24" s="7">
        <f t="shared" si="70"/>
        <v>0</v>
      </c>
      <c r="HD24" s="7">
        <v>1.0</v>
      </c>
      <c r="HE24" s="45">
        <f t="shared" si="71"/>
        <v>0</v>
      </c>
      <c r="HF24" s="7"/>
      <c r="HG24" s="7"/>
      <c r="HH24" s="7"/>
      <c r="HI24" s="7">
        <f t="shared" si="72"/>
        <v>0</v>
      </c>
      <c r="HJ24" s="7">
        <v>1.0</v>
      </c>
      <c r="HK24" s="45">
        <f t="shared" si="73"/>
        <v>0</v>
      </c>
      <c r="HL24" s="7"/>
      <c r="HM24" s="7"/>
      <c r="HN24" s="7"/>
      <c r="HO24" s="7">
        <f t="shared" si="74"/>
        <v>0</v>
      </c>
      <c r="HP24" s="7">
        <v>1.0</v>
      </c>
      <c r="HQ24" s="45">
        <f t="shared" si="75"/>
        <v>0</v>
      </c>
      <c r="HR24" s="7"/>
      <c r="HS24" s="7"/>
      <c r="HT24" s="7"/>
      <c r="HU24" s="7">
        <f t="shared" si="76"/>
        <v>0</v>
      </c>
      <c r="HV24" s="7">
        <v>1.0</v>
      </c>
      <c r="HW24" s="45">
        <f t="shared" si="77"/>
        <v>0</v>
      </c>
      <c r="HX24" s="7"/>
      <c r="HY24" s="7"/>
      <c r="HZ24" s="7"/>
      <c r="IA24" s="7">
        <f t="shared" si="78"/>
        <v>0</v>
      </c>
      <c r="IB24" s="7">
        <v>1.0</v>
      </c>
      <c r="IC24" s="45">
        <f t="shared" si="79"/>
        <v>0</v>
      </c>
      <c r="ID24" s="7"/>
      <c r="IE24" s="7"/>
      <c r="IF24" s="7"/>
      <c r="IG24" s="7">
        <f t="shared" si="80"/>
        <v>0</v>
      </c>
      <c r="IH24" s="7">
        <v>1.0</v>
      </c>
      <c r="II24" s="45">
        <f t="shared" si="81"/>
        <v>0</v>
      </c>
      <c r="IJ24" s="7"/>
      <c r="IK24" s="7"/>
      <c r="IL24" s="7"/>
      <c r="IM24" s="7">
        <f t="shared" si="82"/>
        <v>0</v>
      </c>
      <c r="IN24" s="7">
        <v>1.0</v>
      </c>
      <c r="IO24" s="45">
        <f t="shared" si="83"/>
        <v>0</v>
      </c>
    </row>
    <row r="25">
      <c r="A25" s="36" t="s">
        <v>109</v>
      </c>
      <c r="B25" s="21"/>
      <c r="C25" s="1">
        <f t="shared" si="1"/>
        <v>20</v>
      </c>
      <c r="D25" s="15">
        <f>VLOOKUP(A25,TDP!A:C,3,FALSE)</f>
        <v>0.15</v>
      </c>
      <c r="E25" s="38">
        <f t="shared" si="2"/>
        <v>29.9</v>
      </c>
      <c r="F25" s="7"/>
      <c r="G25" s="39">
        <f t="shared" si="3"/>
        <v>0</v>
      </c>
      <c r="H25" s="7">
        <v>1.0</v>
      </c>
      <c r="I25" s="7">
        <v>1.0</v>
      </c>
      <c r="J25" s="7">
        <v>1.0</v>
      </c>
      <c r="K25" s="7">
        <f t="shared" si="4"/>
        <v>5</v>
      </c>
      <c r="L25" s="7">
        <v>1.0</v>
      </c>
      <c r="M25" s="45">
        <f t="shared" si="5"/>
        <v>5</v>
      </c>
      <c r="N25" s="41"/>
      <c r="O25" s="41"/>
      <c r="P25" s="41"/>
      <c r="Q25" s="42">
        <f t="shared" si="6"/>
        <v>0</v>
      </c>
      <c r="R25" s="41"/>
      <c r="S25" s="41"/>
      <c r="T25" s="41"/>
      <c r="U25" s="42">
        <f t="shared" si="7"/>
        <v>0</v>
      </c>
      <c r="V25" s="7"/>
      <c r="W25" s="7"/>
      <c r="X25" s="7"/>
      <c r="Y25" s="7">
        <f t="shared" si="8"/>
        <v>0</v>
      </c>
      <c r="Z25" s="7"/>
      <c r="AA25" s="45">
        <f t="shared" si="9"/>
        <v>0</v>
      </c>
      <c r="AB25" s="7"/>
      <c r="AC25" s="7"/>
      <c r="AD25" s="7"/>
      <c r="AE25" s="7">
        <f t="shared" si="10"/>
        <v>0</v>
      </c>
      <c r="AF25" s="7"/>
      <c r="AG25" s="45">
        <f t="shared" si="11"/>
        <v>0</v>
      </c>
      <c r="AH25" s="7"/>
      <c r="AI25" s="7"/>
      <c r="AJ25" s="7"/>
      <c r="AK25" s="7">
        <f t="shared" si="12"/>
        <v>0</v>
      </c>
      <c r="AL25" s="7"/>
      <c r="AM25" s="45">
        <f t="shared" si="13"/>
        <v>0</v>
      </c>
      <c r="AN25" s="7"/>
      <c r="AO25" s="7"/>
      <c r="AP25" s="7"/>
      <c r="AQ25" s="7">
        <f t="shared" si="14"/>
        <v>0</v>
      </c>
      <c r="AR25" s="7"/>
      <c r="AS25" s="45">
        <f t="shared" si="15"/>
        <v>0</v>
      </c>
      <c r="AT25" s="7"/>
      <c r="AU25" s="7"/>
      <c r="AV25" s="7"/>
      <c r="AW25" s="7">
        <f t="shared" si="16"/>
        <v>0</v>
      </c>
      <c r="AX25" s="7"/>
      <c r="AY25" s="45">
        <f t="shared" si="17"/>
        <v>0</v>
      </c>
      <c r="AZ25" s="7"/>
      <c r="BA25" s="7"/>
      <c r="BB25" s="7"/>
      <c r="BC25" s="7">
        <f t="shared" si="18"/>
        <v>0</v>
      </c>
      <c r="BD25" s="7"/>
      <c r="BE25" s="45">
        <f t="shared" si="19"/>
        <v>0</v>
      </c>
      <c r="BF25" s="7"/>
      <c r="BG25" s="7"/>
      <c r="BH25" s="7"/>
      <c r="BI25" s="7">
        <f t="shared" si="20"/>
        <v>0</v>
      </c>
      <c r="BJ25" s="7"/>
      <c r="BK25" s="45">
        <f t="shared" si="21"/>
        <v>0</v>
      </c>
      <c r="BL25" s="7"/>
      <c r="BM25" s="7"/>
      <c r="BN25" s="7"/>
      <c r="BO25" s="7">
        <f t="shared" si="22"/>
        <v>0</v>
      </c>
      <c r="BP25" s="7"/>
      <c r="BQ25" s="45">
        <f t="shared" si="23"/>
        <v>0</v>
      </c>
      <c r="BR25" s="7"/>
      <c r="BS25" s="7"/>
      <c r="BT25" s="7"/>
      <c r="BU25" s="7">
        <f t="shared" si="24"/>
        <v>0</v>
      </c>
      <c r="BV25" s="7"/>
      <c r="BW25" s="45">
        <f t="shared" si="25"/>
        <v>0</v>
      </c>
      <c r="BX25" s="7"/>
      <c r="BY25" s="7"/>
      <c r="BZ25" s="7"/>
      <c r="CA25" s="7">
        <f t="shared" si="26"/>
        <v>0</v>
      </c>
      <c r="CB25" s="7"/>
      <c r="CC25" s="45">
        <f t="shared" si="27"/>
        <v>0</v>
      </c>
      <c r="CD25" s="7"/>
      <c r="CE25" s="7"/>
      <c r="CF25" s="7"/>
      <c r="CG25" s="7">
        <f t="shared" si="28"/>
        <v>0</v>
      </c>
      <c r="CH25" s="7"/>
      <c r="CI25" s="45">
        <f t="shared" si="29"/>
        <v>0</v>
      </c>
      <c r="CJ25" s="7"/>
      <c r="CK25" s="7"/>
      <c r="CL25" s="7"/>
      <c r="CM25" s="7">
        <f t="shared" si="30"/>
        <v>0</v>
      </c>
      <c r="CN25" s="7"/>
      <c r="CO25" s="45">
        <f t="shared" si="31"/>
        <v>0</v>
      </c>
      <c r="CP25" s="7"/>
      <c r="CQ25" s="7"/>
      <c r="CR25" s="7"/>
      <c r="CS25" s="7">
        <f t="shared" si="32"/>
        <v>0</v>
      </c>
      <c r="CT25" s="7"/>
      <c r="CU25" s="45">
        <f t="shared" si="33"/>
        <v>0</v>
      </c>
      <c r="CV25" s="7"/>
      <c r="CW25" s="7"/>
      <c r="CX25" s="7"/>
      <c r="CY25" s="7">
        <f t="shared" si="34"/>
        <v>0</v>
      </c>
      <c r="CZ25" s="7"/>
      <c r="DA25" s="45">
        <f t="shared" si="35"/>
        <v>0</v>
      </c>
      <c r="DB25" s="7"/>
      <c r="DC25" s="7"/>
      <c r="DD25" s="7"/>
      <c r="DE25" s="7">
        <f t="shared" si="36"/>
        <v>0</v>
      </c>
      <c r="DF25" s="7">
        <v>1.0</v>
      </c>
      <c r="DG25" s="45">
        <f t="shared" si="37"/>
        <v>0</v>
      </c>
      <c r="DH25" s="7"/>
      <c r="DI25" s="7"/>
      <c r="DJ25" s="7"/>
      <c r="DK25" s="7">
        <f t="shared" si="38"/>
        <v>0</v>
      </c>
      <c r="DL25" s="7">
        <v>1.0</v>
      </c>
      <c r="DM25" s="45">
        <f t="shared" si="39"/>
        <v>0</v>
      </c>
      <c r="DN25" s="7"/>
      <c r="DO25" s="7"/>
      <c r="DP25" s="7"/>
      <c r="DQ25" s="7">
        <f t="shared" si="40"/>
        <v>0</v>
      </c>
      <c r="DR25" s="7">
        <v>1.0</v>
      </c>
      <c r="DS25" s="45">
        <f t="shared" si="41"/>
        <v>0</v>
      </c>
      <c r="DT25" s="7">
        <v>1.0</v>
      </c>
      <c r="DU25" s="7">
        <v>1.0</v>
      </c>
      <c r="DV25" s="7"/>
      <c r="DW25" s="7">
        <f t="shared" si="42"/>
        <v>3</v>
      </c>
      <c r="DX25" s="7">
        <v>1.0</v>
      </c>
      <c r="DY25" s="45">
        <f t="shared" si="43"/>
        <v>3</v>
      </c>
      <c r="DZ25" s="7"/>
      <c r="EA25" s="7"/>
      <c r="EB25" s="7"/>
      <c r="EC25" s="7">
        <f t="shared" si="44"/>
        <v>0</v>
      </c>
      <c r="ED25" s="7">
        <v>1.0</v>
      </c>
      <c r="EE25" s="45">
        <f t="shared" si="45"/>
        <v>0</v>
      </c>
      <c r="EF25" s="7">
        <v>1.0</v>
      </c>
      <c r="EG25" s="7">
        <v>1.0</v>
      </c>
      <c r="EH25" s="7">
        <v>1.0</v>
      </c>
      <c r="EI25" s="7">
        <f t="shared" si="46"/>
        <v>5</v>
      </c>
      <c r="EJ25" s="7">
        <v>1.0</v>
      </c>
      <c r="EK25" s="45">
        <f t="shared" si="47"/>
        <v>5</v>
      </c>
      <c r="EL25" s="7"/>
      <c r="EM25" s="7"/>
      <c r="EN25" s="7"/>
      <c r="EO25" s="7">
        <f t="shared" si="48"/>
        <v>0</v>
      </c>
      <c r="EP25" s="7">
        <v>1.0</v>
      </c>
      <c r="EQ25" s="45">
        <f t="shared" si="49"/>
        <v>0</v>
      </c>
      <c r="ER25" s="7"/>
      <c r="ES25" s="7"/>
      <c r="ET25" s="7"/>
      <c r="EU25" s="7">
        <f t="shared" si="50"/>
        <v>0</v>
      </c>
      <c r="EV25" s="7">
        <v>1.0</v>
      </c>
      <c r="EW25" s="45">
        <f t="shared" si="51"/>
        <v>0</v>
      </c>
      <c r="EX25" s="7"/>
      <c r="EY25" s="7"/>
      <c r="EZ25" s="7"/>
      <c r="FA25" s="7">
        <f t="shared" si="52"/>
        <v>0</v>
      </c>
      <c r="FB25" s="7">
        <v>1.0</v>
      </c>
      <c r="FC25" s="45">
        <f t="shared" si="53"/>
        <v>0</v>
      </c>
      <c r="FD25" s="41"/>
      <c r="FE25" s="41"/>
      <c r="FF25" s="41"/>
      <c r="FG25" s="41">
        <f t="shared" si="54"/>
        <v>0</v>
      </c>
      <c r="FH25" s="41">
        <v>1.0</v>
      </c>
      <c r="FI25" s="42">
        <f t="shared" si="55"/>
        <v>0</v>
      </c>
      <c r="FJ25" s="41"/>
      <c r="FK25" s="41"/>
      <c r="FL25" s="41"/>
      <c r="FM25" s="41">
        <f t="shared" si="56"/>
        <v>0</v>
      </c>
      <c r="FN25" s="41">
        <v>1.0</v>
      </c>
      <c r="FO25" s="42">
        <f t="shared" si="57"/>
        <v>0</v>
      </c>
      <c r="FP25" s="7"/>
      <c r="FQ25" s="7"/>
      <c r="FR25" s="7"/>
      <c r="FS25" s="7">
        <f t="shared" si="58"/>
        <v>0</v>
      </c>
      <c r="FT25" s="7">
        <v>1.0</v>
      </c>
      <c r="FU25" s="45">
        <f t="shared" si="59"/>
        <v>0</v>
      </c>
      <c r="FV25" s="7">
        <v>1.0</v>
      </c>
      <c r="FW25" s="7">
        <v>1.0</v>
      </c>
      <c r="FX25" s="7">
        <v>1.0</v>
      </c>
      <c r="FY25" s="7">
        <f t="shared" si="60"/>
        <v>5</v>
      </c>
      <c r="FZ25" s="7">
        <v>1.0</v>
      </c>
      <c r="GA25" s="45">
        <f t="shared" si="61"/>
        <v>5</v>
      </c>
      <c r="GB25" s="7"/>
      <c r="GC25" s="7"/>
      <c r="GD25" s="7"/>
      <c r="GE25" s="7">
        <f t="shared" si="62"/>
        <v>0</v>
      </c>
      <c r="GF25" s="7">
        <v>1.0</v>
      </c>
      <c r="GG25" s="45">
        <f t="shared" si="63"/>
        <v>0</v>
      </c>
      <c r="GH25" s="7"/>
      <c r="GI25" s="7"/>
      <c r="GJ25" s="7"/>
      <c r="GK25" s="7">
        <f t="shared" si="64"/>
        <v>0</v>
      </c>
      <c r="GL25" s="7">
        <v>1.0</v>
      </c>
      <c r="GM25" s="45">
        <f t="shared" si="65"/>
        <v>0</v>
      </c>
      <c r="GN25" s="41"/>
      <c r="GO25" s="41"/>
      <c r="GP25" s="41"/>
      <c r="GQ25" s="41">
        <f t="shared" si="66"/>
        <v>0</v>
      </c>
      <c r="GR25" s="41">
        <v>1.0</v>
      </c>
      <c r="GS25" s="42">
        <f t="shared" si="67"/>
        <v>0</v>
      </c>
      <c r="GT25" s="7">
        <v>1.0</v>
      </c>
      <c r="GU25" s="7">
        <v>1.0</v>
      </c>
      <c r="GV25" s="7">
        <v>1.0</v>
      </c>
      <c r="GW25" s="7">
        <f t="shared" si="68"/>
        <v>5</v>
      </c>
      <c r="GX25" s="7">
        <v>1.0</v>
      </c>
      <c r="GY25" s="45">
        <f t="shared" si="69"/>
        <v>5</v>
      </c>
      <c r="GZ25" s="7"/>
      <c r="HA25" s="7"/>
      <c r="HB25" s="7"/>
      <c r="HC25" s="7">
        <f t="shared" si="70"/>
        <v>0</v>
      </c>
      <c r="HD25" s="7">
        <v>1.0</v>
      </c>
      <c r="HE25" s="45">
        <f t="shared" si="71"/>
        <v>0</v>
      </c>
      <c r="HF25" s="7">
        <v>1.0</v>
      </c>
      <c r="HG25" s="7">
        <v>1.0</v>
      </c>
      <c r="HH25" s="7"/>
      <c r="HI25" s="7">
        <f t="shared" si="72"/>
        <v>3</v>
      </c>
      <c r="HJ25" s="7">
        <v>1.0</v>
      </c>
      <c r="HK25" s="45">
        <f t="shared" si="73"/>
        <v>3</v>
      </c>
      <c r="HL25" s="7"/>
      <c r="HM25" s="7"/>
      <c r="HN25" s="7"/>
      <c r="HO25" s="7">
        <f t="shared" si="74"/>
        <v>0</v>
      </c>
      <c r="HP25" s="7">
        <v>1.0</v>
      </c>
      <c r="HQ25" s="45">
        <f t="shared" si="75"/>
        <v>0</v>
      </c>
      <c r="HR25" s="7"/>
      <c r="HS25" s="7"/>
      <c r="HT25" s="7"/>
      <c r="HU25" s="7">
        <f t="shared" si="76"/>
        <v>0</v>
      </c>
      <c r="HV25" s="7">
        <v>1.0</v>
      </c>
      <c r="HW25" s="45">
        <f t="shared" si="77"/>
        <v>0</v>
      </c>
      <c r="HX25" s="7"/>
      <c r="HY25" s="7"/>
      <c r="HZ25" s="7"/>
      <c r="IA25" s="7">
        <f t="shared" si="78"/>
        <v>0</v>
      </c>
      <c r="IB25" s="7">
        <v>1.0</v>
      </c>
      <c r="IC25" s="45">
        <f t="shared" si="79"/>
        <v>0</v>
      </c>
      <c r="ID25" s="7"/>
      <c r="IE25" s="7"/>
      <c r="IF25" s="7"/>
      <c r="IG25" s="7">
        <f t="shared" si="80"/>
        <v>0</v>
      </c>
      <c r="IH25" s="7">
        <v>1.0</v>
      </c>
      <c r="II25" s="45">
        <f t="shared" si="81"/>
        <v>0</v>
      </c>
      <c r="IJ25" s="7"/>
      <c r="IK25" s="7"/>
      <c r="IL25" s="7"/>
      <c r="IM25" s="7">
        <f t="shared" si="82"/>
        <v>0</v>
      </c>
      <c r="IN25" s="7">
        <v>1.0</v>
      </c>
      <c r="IO25" s="45">
        <f t="shared" si="83"/>
        <v>0</v>
      </c>
    </row>
    <row r="26">
      <c r="A26" s="36" t="s">
        <v>91</v>
      </c>
      <c r="B26" s="21" t="s">
        <v>92</v>
      </c>
      <c r="C26" s="1">
        <f t="shared" si="1"/>
        <v>21</v>
      </c>
      <c r="D26" s="15">
        <f>VLOOKUP(A26,TDP!A:C,3,FALSE)</f>
        <v>0.25</v>
      </c>
      <c r="E26" s="38">
        <f t="shared" si="2"/>
        <v>25</v>
      </c>
      <c r="F26" s="7"/>
      <c r="G26" s="39">
        <f t="shared" si="3"/>
        <v>0</v>
      </c>
      <c r="H26" s="7"/>
      <c r="I26" s="7"/>
      <c r="J26" s="7"/>
      <c r="K26" s="7">
        <f t="shared" si="4"/>
        <v>0</v>
      </c>
      <c r="L26" s="7"/>
      <c r="M26" s="45">
        <f t="shared" si="5"/>
        <v>0</v>
      </c>
      <c r="N26" s="41"/>
      <c r="O26" s="41"/>
      <c r="P26" s="41"/>
      <c r="Q26" s="42">
        <f t="shared" si="6"/>
        <v>0</v>
      </c>
      <c r="R26" s="41"/>
      <c r="S26" s="41"/>
      <c r="T26" s="41"/>
      <c r="U26" s="42">
        <f t="shared" si="7"/>
        <v>0</v>
      </c>
      <c r="V26" s="7"/>
      <c r="W26" s="7"/>
      <c r="X26" s="7"/>
      <c r="Y26" s="7">
        <f t="shared" si="8"/>
        <v>0</v>
      </c>
      <c r="Z26" s="7"/>
      <c r="AA26" s="45">
        <f t="shared" si="9"/>
        <v>0</v>
      </c>
      <c r="AB26" s="7"/>
      <c r="AC26" s="7"/>
      <c r="AD26" s="7"/>
      <c r="AE26" s="7">
        <f t="shared" si="10"/>
        <v>0</v>
      </c>
      <c r="AF26" s="7"/>
      <c r="AG26" s="45">
        <f t="shared" si="11"/>
        <v>0</v>
      </c>
      <c r="AH26" s="7"/>
      <c r="AI26" s="7"/>
      <c r="AJ26" s="7"/>
      <c r="AK26" s="7">
        <f t="shared" si="12"/>
        <v>0</v>
      </c>
      <c r="AL26" s="7"/>
      <c r="AM26" s="45">
        <f t="shared" si="13"/>
        <v>0</v>
      </c>
      <c r="AN26" s="7"/>
      <c r="AO26" s="7"/>
      <c r="AP26" s="7"/>
      <c r="AQ26" s="7">
        <f t="shared" si="14"/>
        <v>0</v>
      </c>
      <c r="AR26" s="7"/>
      <c r="AS26" s="45">
        <f t="shared" si="15"/>
        <v>0</v>
      </c>
      <c r="AT26" s="7"/>
      <c r="AU26" s="7"/>
      <c r="AV26" s="7"/>
      <c r="AW26" s="7">
        <f t="shared" si="16"/>
        <v>0</v>
      </c>
      <c r="AX26" s="7"/>
      <c r="AY26" s="45">
        <f t="shared" si="17"/>
        <v>0</v>
      </c>
      <c r="AZ26" s="7"/>
      <c r="BA26" s="7"/>
      <c r="BB26" s="7"/>
      <c r="BC26" s="7">
        <f t="shared" si="18"/>
        <v>0</v>
      </c>
      <c r="BD26" s="7"/>
      <c r="BE26" s="45">
        <f t="shared" si="19"/>
        <v>0</v>
      </c>
      <c r="BF26" s="7"/>
      <c r="BG26" s="7"/>
      <c r="BH26" s="7"/>
      <c r="BI26" s="7">
        <f t="shared" si="20"/>
        <v>0</v>
      </c>
      <c r="BJ26" s="7"/>
      <c r="BK26" s="45">
        <f t="shared" si="21"/>
        <v>0</v>
      </c>
      <c r="BL26" s="7"/>
      <c r="BM26" s="7"/>
      <c r="BN26" s="7"/>
      <c r="BO26" s="7">
        <f t="shared" si="22"/>
        <v>0</v>
      </c>
      <c r="BP26" s="7"/>
      <c r="BQ26" s="45">
        <f t="shared" si="23"/>
        <v>0</v>
      </c>
      <c r="BR26" s="7"/>
      <c r="BS26" s="7"/>
      <c r="BT26" s="7"/>
      <c r="BU26" s="7">
        <f t="shared" si="24"/>
        <v>0</v>
      </c>
      <c r="BV26" s="7"/>
      <c r="BW26" s="45">
        <f t="shared" si="25"/>
        <v>0</v>
      </c>
      <c r="BX26" s="7"/>
      <c r="BY26" s="7"/>
      <c r="BZ26" s="7"/>
      <c r="CA26" s="7">
        <f t="shared" si="26"/>
        <v>0</v>
      </c>
      <c r="CB26" s="7"/>
      <c r="CC26" s="45">
        <f t="shared" si="27"/>
        <v>0</v>
      </c>
      <c r="CD26" s="7"/>
      <c r="CE26" s="7"/>
      <c r="CF26" s="7"/>
      <c r="CG26" s="7">
        <f t="shared" si="28"/>
        <v>0</v>
      </c>
      <c r="CH26" s="7"/>
      <c r="CI26" s="45">
        <f t="shared" si="29"/>
        <v>0</v>
      </c>
      <c r="CJ26" s="7"/>
      <c r="CK26" s="7"/>
      <c r="CL26" s="7"/>
      <c r="CM26" s="7">
        <f t="shared" si="30"/>
        <v>0</v>
      </c>
      <c r="CN26" s="7"/>
      <c r="CO26" s="45">
        <f t="shared" si="31"/>
        <v>0</v>
      </c>
      <c r="CP26" s="7"/>
      <c r="CQ26" s="7"/>
      <c r="CR26" s="7"/>
      <c r="CS26" s="7">
        <f t="shared" si="32"/>
        <v>0</v>
      </c>
      <c r="CT26" s="7"/>
      <c r="CU26" s="45">
        <f t="shared" si="33"/>
        <v>0</v>
      </c>
      <c r="CV26" s="7"/>
      <c r="CW26" s="7"/>
      <c r="CX26" s="7"/>
      <c r="CY26" s="7">
        <f t="shared" si="34"/>
        <v>0</v>
      </c>
      <c r="CZ26" s="7"/>
      <c r="DA26" s="45">
        <f t="shared" si="35"/>
        <v>0</v>
      </c>
      <c r="DB26" s="7"/>
      <c r="DC26" s="7"/>
      <c r="DD26" s="7"/>
      <c r="DE26" s="7">
        <f t="shared" si="36"/>
        <v>0</v>
      </c>
      <c r="DF26" s="7">
        <v>1.0</v>
      </c>
      <c r="DG26" s="45">
        <f t="shared" si="37"/>
        <v>0</v>
      </c>
      <c r="DH26" s="7"/>
      <c r="DI26" s="7"/>
      <c r="DJ26" s="7"/>
      <c r="DK26" s="7">
        <f t="shared" si="38"/>
        <v>0</v>
      </c>
      <c r="DL26" s="7">
        <v>1.0</v>
      </c>
      <c r="DM26" s="45">
        <f t="shared" si="39"/>
        <v>0</v>
      </c>
      <c r="DN26" s="7"/>
      <c r="DO26" s="7"/>
      <c r="DP26" s="7"/>
      <c r="DQ26" s="7">
        <f t="shared" si="40"/>
        <v>0</v>
      </c>
      <c r="DR26" s="7">
        <v>1.0</v>
      </c>
      <c r="DS26" s="45">
        <f t="shared" si="41"/>
        <v>0</v>
      </c>
      <c r="DT26" s="7"/>
      <c r="DU26" s="7"/>
      <c r="DV26" s="7"/>
      <c r="DW26" s="7">
        <f t="shared" si="42"/>
        <v>0</v>
      </c>
      <c r="DX26" s="7">
        <v>1.0</v>
      </c>
      <c r="DY26" s="45">
        <f t="shared" si="43"/>
        <v>0</v>
      </c>
      <c r="DZ26" s="7"/>
      <c r="EA26" s="7"/>
      <c r="EB26" s="7"/>
      <c r="EC26" s="7">
        <f t="shared" si="44"/>
        <v>0</v>
      </c>
      <c r="ED26" s="7">
        <v>1.0</v>
      </c>
      <c r="EE26" s="45">
        <f t="shared" si="45"/>
        <v>0</v>
      </c>
      <c r="EF26" s="7">
        <v>1.0</v>
      </c>
      <c r="EG26" s="7">
        <v>1.0</v>
      </c>
      <c r="EH26" s="7"/>
      <c r="EI26" s="7">
        <f t="shared" si="46"/>
        <v>3</v>
      </c>
      <c r="EJ26" s="7">
        <v>1.0</v>
      </c>
      <c r="EK26" s="45">
        <f t="shared" si="47"/>
        <v>3</v>
      </c>
      <c r="EL26" s="7">
        <v>1.0</v>
      </c>
      <c r="EM26" s="7">
        <v>1.0</v>
      </c>
      <c r="EN26" s="7"/>
      <c r="EO26" s="7">
        <f t="shared" si="48"/>
        <v>3</v>
      </c>
      <c r="EP26" s="7">
        <v>1.0</v>
      </c>
      <c r="EQ26" s="45">
        <f t="shared" si="49"/>
        <v>3</v>
      </c>
      <c r="ER26" s="7">
        <v>1.0</v>
      </c>
      <c r="ES26" s="7">
        <v>1.0</v>
      </c>
      <c r="ET26" s="7"/>
      <c r="EU26" s="7">
        <f t="shared" si="50"/>
        <v>3</v>
      </c>
      <c r="EV26" s="7">
        <v>1.0</v>
      </c>
      <c r="EW26" s="45">
        <f t="shared" si="51"/>
        <v>3</v>
      </c>
      <c r="EX26" s="7"/>
      <c r="EY26" s="7"/>
      <c r="EZ26" s="7"/>
      <c r="FA26" s="7">
        <f t="shared" si="52"/>
        <v>0</v>
      </c>
      <c r="FB26" s="7">
        <v>1.0</v>
      </c>
      <c r="FC26" s="45">
        <f t="shared" si="53"/>
        <v>0</v>
      </c>
      <c r="FD26" s="41"/>
      <c r="FE26" s="41"/>
      <c r="FF26" s="41"/>
      <c r="FG26" s="41">
        <f t="shared" si="54"/>
        <v>0</v>
      </c>
      <c r="FH26" s="41">
        <v>1.0</v>
      </c>
      <c r="FI26" s="42">
        <f t="shared" si="55"/>
        <v>0</v>
      </c>
      <c r="FJ26" s="41"/>
      <c r="FK26" s="41"/>
      <c r="FL26" s="41"/>
      <c r="FM26" s="41">
        <f t="shared" si="56"/>
        <v>0</v>
      </c>
      <c r="FN26" s="41">
        <v>1.0</v>
      </c>
      <c r="FO26" s="42">
        <f t="shared" si="57"/>
        <v>0</v>
      </c>
      <c r="FP26" s="7"/>
      <c r="FQ26" s="7"/>
      <c r="FR26" s="7"/>
      <c r="FS26" s="7">
        <f t="shared" si="58"/>
        <v>0</v>
      </c>
      <c r="FT26" s="7">
        <v>1.0</v>
      </c>
      <c r="FU26" s="45">
        <f t="shared" si="59"/>
        <v>0</v>
      </c>
      <c r="FV26" s="7"/>
      <c r="FW26" s="7"/>
      <c r="FX26" s="7"/>
      <c r="FY26" s="7">
        <f t="shared" si="60"/>
        <v>0</v>
      </c>
      <c r="FZ26" s="7">
        <v>1.0</v>
      </c>
      <c r="GA26" s="45">
        <f t="shared" si="61"/>
        <v>0</v>
      </c>
      <c r="GB26" s="7"/>
      <c r="GC26" s="7"/>
      <c r="GD26" s="7"/>
      <c r="GE26" s="7">
        <f t="shared" si="62"/>
        <v>0</v>
      </c>
      <c r="GF26" s="7">
        <v>1.0</v>
      </c>
      <c r="GG26" s="45">
        <f t="shared" si="63"/>
        <v>0</v>
      </c>
      <c r="GH26" s="7"/>
      <c r="GI26" s="7"/>
      <c r="GJ26" s="7"/>
      <c r="GK26" s="7">
        <f t="shared" si="64"/>
        <v>0</v>
      </c>
      <c r="GL26" s="7">
        <v>1.0</v>
      </c>
      <c r="GM26" s="45">
        <f t="shared" si="65"/>
        <v>0</v>
      </c>
      <c r="GN26" s="41"/>
      <c r="GO26" s="41"/>
      <c r="GP26" s="41"/>
      <c r="GQ26" s="41">
        <f t="shared" si="66"/>
        <v>0</v>
      </c>
      <c r="GR26" s="41">
        <v>1.0</v>
      </c>
      <c r="GS26" s="42">
        <f t="shared" si="67"/>
        <v>0</v>
      </c>
      <c r="GT26" s="7">
        <v>1.0</v>
      </c>
      <c r="GU26" s="7">
        <v>1.0</v>
      </c>
      <c r="GV26" s="7">
        <v>1.0</v>
      </c>
      <c r="GW26" s="7">
        <f t="shared" si="68"/>
        <v>5</v>
      </c>
      <c r="GX26" s="7">
        <v>1.0</v>
      </c>
      <c r="GY26" s="45">
        <f t="shared" si="69"/>
        <v>5</v>
      </c>
      <c r="GZ26" s="7">
        <v>1.0</v>
      </c>
      <c r="HA26" s="7">
        <v>1.0</v>
      </c>
      <c r="HB26" s="7"/>
      <c r="HC26" s="7">
        <f t="shared" si="70"/>
        <v>3</v>
      </c>
      <c r="HD26" s="7">
        <v>1.0</v>
      </c>
      <c r="HE26" s="45">
        <f t="shared" si="71"/>
        <v>3</v>
      </c>
      <c r="HF26" s="7">
        <v>1.0</v>
      </c>
      <c r="HG26" s="7">
        <v>1.0</v>
      </c>
      <c r="HH26" s="7"/>
      <c r="HI26" s="7">
        <f t="shared" si="72"/>
        <v>3</v>
      </c>
      <c r="HJ26" s="7">
        <v>1.0</v>
      </c>
      <c r="HK26" s="45">
        <f t="shared" si="73"/>
        <v>3</v>
      </c>
      <c r="HL26" s="7"/>
      <c r="HM26" s="7"/>
      <c r="HN26" s="7"/>
      <c r="HO26" s="7">
        <f t="shared" si="74"/>
        <v>0</v>
      </c>
      <c r="HP26" s="7">
        <v>1.0</v>
      </c>
      <c r="HQ26" s="45">
        <f t="shared" si="75"/>
        <v>0</v>
      </c>
      <c r="HR26" s="7"/>
      <c r="HS26" s="7"/>
      <c r="HT26" s="7"/>
      <c r="HU26" s="7">
        <f t="shared" si="76"/>
        <v>0</v>
      </c>
      <c r="HV26" s="7">
        <v>1.0</v>
      </c>
      <c r="HW26" s="45">
        <f t="shared" si="77"/>
        <v>0</v>
      </c>
      <c r="HX26" s="7"/>
      <c r="HY26" s="7"/>
      <c r="HZ26" s="7"/>
      <c r="IA26" s="7">
        <f t="shared" si="78"/>
        <v>0</v>
      </c>
      <c r="IB26" s="7">
        <v>1.0</v>
      </c>
      <c r="IC26" s="45">
        <f t="shared" si="79"/>
        <v>0</v>
      </c>
      <c r="ID26" s="7"/>
      <c r="IE26" s="7"/>
      <c r="IF26" s="7"/>
      <c r="IG26" s="7">
        <f t="shared" si="80"/>
        <v>0</v>
      </c>
      <c r="IH26" s="7">
        <v>1.0</v>
      </c>
      <c r="II26" s="45">
        <f t="shared" si="81"/>
        <v>0</v>
      </c>
      <c r="IJ26" s="7"/>
      <c r="IK26" s="7"/>
      <c r="IL26" s="7"/>
      <c r="IM26" s="7">
        <f t="shared" si="82"/>
        <v>0</v>
      </c>
      <c r="IN26" s="7">
        <v>1.0</v>
      </c>
      <c r="IO26" s="45">
        <f t="shared" si="83"/>
        <v>0</v>
      </c>
    </row>
    <row r="27">
      <c r="A27" s="36" t="s">
        <v>49</v>
      </c>
      <c r="B27" s="21" t="s">
        <v>50</v>
      </c>
      <c r="C27" s="1">
        <f t="shared" si="1"/>
        <v>22</v>
      </c>
      <c r="D27" s="15">
        <f>VLOOKUP(A27,TDP!A:C,3,FALSE)</f>
        <v>0.38</v>
      </c>
      <c r="E27" s="38">
        <f t="shared" si="2"/>
        <v>23.46</v>
      </c>
      <c r="F27" s="7">
        <v>1.0</v>
      </c>
      <c r="G27" s="39">
        <f t="shared" si="3"/>
        <v>7</v>
      </c>
      <c r="H27" s="7"/>
      <c r="I27" s="7"/>
      <c r="J27" s="7"/>
      <c r="K27" s="7">
        <f t="shared" si="4"/>
        <v>0</v>
      </c>
      <c r="L27" s="7"/>
      <c r="M27" s="45">
        <f t="shared" si="5"/>
        <v>0</v>
      </c>
      <c r="N27" s="41"/>
      <c r="O27" s="41"/>
      <c r="P27" s="41"/>
      <c r="Q27" s="42">
        <f t="shared" si="6"/>
        <v>0</v>
      </c>
      <c r="R27" s="41"/>
      <c r="S27" s="41"/>
      <c r="T27" s="41"/>
      <c r="U27" s="42">
        <f t="shared" si="7"/>
        <v>0</v>
      </c>
      <c r="V27" s="7"/>
      <c r="W27" s="7"/>
      <c r="X27" s="7"/>
      <c r="Y27" s="7">
        <f t="shared" si="8"/>
        <v>0</v>
      </c>
      <c r="Z27" s="7"/>
      <c r="AA27" s="45">
        <f t="shared" si="9"/>
        <v>0</v>
      </c>
      <c r="AB27" s="7"/>
      <c r="AC27" s="7"/>
      <c r="AD27" s="7"/>
      <c r="AE27" s="7">
        <f t="shared" si="10"/>
        <v>0</v>
      </c>
      <c r="AF27" s="7"/>
      <c r="AG27" s="45">
        <f t="shared" si="11"/>
        <v>0</v>
      </c>
      <c r="AH27" s="7"/>
      <c r="AI27" s="7"/>
      <c r="AJ27" s="7"/>
      <c r="AK27" s="7">
        <f t="shared" si="12"/>
        <v>0</v>
      </c>
      <c r="AL27" s="7"/>
      <c r="AM27" s="45">
        <f t="shared" si="13"/>
        <v>0</v>
      </c>
      <c r="AN27" s="7"/>
      <c r="AO27" s="7"/>
      <c r="AP27" s="7"/>
      <c r="AQ27" s="7">
        <f t="shared" si="14"/>
        <v>0</v>
      </c>
      <c r="AR27" s="7"/>
      <c r="AS27" s="45">
        <f t="shared" si="15"/>
        <v>0</v>
      </c>
      <c r="AT27" s="7"/>
      <c r="AU27" s="7"/>
      <c r="AV27" s="7"/>
      <c r="AW27" s="7">
        <f t="shared" si="16"/>
        <v>0</v>
      </c>
      <c r="AX27" s="7"/>
      <c r="AY27" s="45">
        <f t="shared" si="17"/>
        <v>0</v>
      </c>
      <c r="AZ27" s="7"/>
      <c r="BA27" s="7"/>
      <c r="BB27" s="7"/>
      <c r="BC27" s="7">
        <f t="shared" si="18"/>
        <v>0</v>
      </c>
      <c r="BD27" s="7"/>
      <c r="BE27" s="45">
        <f t="shared" si="19"/>
        <v>0</v>
      </c>
      <c r="BF27" s="7"/>
      <c r="BG27" s="7"/>
      <c r="BH27" s="7"/>
      <c r="BI27" s="7">
        <f t="shared" si="20"/>
        <v>0</v>
      </c>
      <c r="BJ27" s="7"/>
      <c r="BK27" s="45">
        <f t="shared" si="21"/>
        <v>0</v>
      </c>
      <c r="BL27" s="7"/>
      <c r="BM27" s="7"/>
      <c r="BN27" s="7"/>
      <c r="BO27" s="7">
        <f t="shared" si="22"/>
        <v>0</v>
      </c>
      <c r="BP27" s="7"/>
      <c r="BQ27" s="45">
        <f t="shared" si="23"/>
        <v>0</v>
      </c>
      <c r="BR27" s="7"/>
      <c r="BS27" s="7"/>
      <c r="BT27" s="7"/>
      <c r="BU27" s="7">
        <f t="shared" si="24"/>
        <v>0</v>
      </c>
      <c r="BV27" s="7"/>
      <c r="BW27" s="45">
        <f t="shared" si="25"/>
        <v>0</v>
      </c>
      <c r="BX27" s="7"/>
      <c r="BY27" s="7"/>
      <c r="BZ27" s="7"/>
      <c r="CA27" s="7">
        <f t="shared" si="26"/>
        <v>0</v>
      </c>
      <c r="CB27" s="7"/>
      <c r="CC27" s="45">
        <f t="shared" si="27"/>
        <v>0</v>
      </c>
      <c r="CD27" s="7"/>
      <c r="CE27" s="7"/>
      <c r="CF27" s="7"/>
      <c r="CG27" s="7">
        <f t="shared" si="28"/>
        <v>0</v>
      </c>
      <c r="CH27" s="7"/>
      <c r="CI27" s="45">
        <f t="shared" si="29"/>
        <v>0</v>
      </c>
      <c r="CJ27" s="7"/>
      <c r="CK27" s="7"/>
      <c r="CL27" s="7"/>
      <c r="CM27" s="7">
        <f t="shared" si="30"/>
        <v>0</v>
      </c>
      <c r="CN27" s="7"/>
      <c r="CO27" s="45">
        <f t="shared" si="31"/>
        <v>0</v>
      </c>
      <c r="CP27" s="7"/>
      <c r="CQ27" s="7"/>
      <c r="CR27" s="7"/>
      <c r="CS27" s="7">
        <f t="shared" si="32"/>
        <v>0</v>
      </c>
      <c r="CT27" s="7"/>
      <c r="CU27" s="45">
        <f t="shared" si="33"/>
        <v>0</v>
      </c>
      <c r="CV27" s="7"/>
      <c r="CW27" s="7"/>
      <c r="CX27" s="7"/>
      <c r="CY27" s="7">
        <f t="shared" si="34"/>
        <v>0</v>
      </c>
      <c r="CZ27" s="7"/>
      <c r="DA27" s="45">
        <f t="shared" si="35"/>
        <v>0</v>
      </c>
      <c r="DB27" s="7"/>
      <c r="DC27" s="7"/>
      <c r="DD27" s="7"/>
      <c r="DE27" s="7">
        <f t="shared" si="36"/>
        <v>0</v>
      </c>
      <c r="DF27" s="7">
        <v>1.0</v>
      </c>
      <c r="DG27" s="45">
        <f t="shared" si="37"/>
        <v>0</v>
      </c>
      <c r="DH27" s="7"/>
      <c r="DI27" s="7"/>
      <c r="DJ27" s="7"/>
      <c r="DK27" s="7">
        <f t="shared" si="38"/>
        <v>0</v>
      </c>
      <c r="DL27" s="7">
        <v>1.0</v>
      </c>
      <c r="DM27" s="45">
        <f t="shared" si="39"/>
        <v>0</v>
      </c>
      <c r="DN27" s="7"/>
      <c r="DO27" s="7"/>
      <c r="DP27" s="7"/>
      <c r="DQ27" s="7">
        <f t="shared" si="40"/>
        <v>0</v>
      </c>
      <c r="DR27" s="7">
        <v>1.0</v>
      </c>
      <c r="DS27" s="45">
        <f t="shared" si="41"/>
        <v>0</v>
      </c>
      <c r="DT27" s="7"/>
      <c r="DU27" s="7"/>
      <c r="DV27" s="7"/>
      <c r="DW27" s="7">
        <f t="shared" si="42"/>
        <v>0</v>
      </c>
      <c r="DX27" s="7">
        <v>1.0</v>
      </c>
      <c r="DY27" s="45">
        <f t="shared" si="43"/>
        <v>0</v>
      </c>
      <c r="DZ27" s="7"/>
      <c r="EA27" s="7"/>
      <c r="EB27" s="7"/>
      <c r="EC27" s="7">
        <f t="shared" si="44"/>
        <v>0</v>
      </c>
      <c r="ED27" s="7">
        <v>1.0</v>
      </c>
      <c r="EE27" s="45">
        <f t="shared" si="45"/>
        <v>0</v>
      </c>
      <c r="EF27" s="7"/>
      <c r="EG27" s="7"/>
      <c r="EH27" s="7"/>
      <c r="EI27" s="7">
        <f t="shared" si="46"/>
        <v>0</v>
      </c>
      <c r="EJ27" s="7">
        <v>1.0</v>
      </c>
      <c r="EK27" s="45">
        <f t="shared" si="47"/>
        <v>0</v>
      </c>
      <c r="EL27" s="7"/>
      <c r="EM27" s="7"/>
      <c r="EN27" s="7"/>
      <c r="EO27" s="7">
        <f t="shared" si="48"/>
        <v>0</v>
      </c>
      <c r="EP27" s="7">
        <v>1.0</v>
      </c>
      <c r="EQ27" s="45">
        <f t="shared" si="49"/>
        <v>0</v>
      </c>
      <c r="ER27" s="7"/>
      <c r="ES27" s="7"/>
      <c r="ET27" s="7"/>
      <c r="EU27" s="7">
        <f t="shared" si="50"/>
        <v>0</v>
      </c>
      <c r="EV27" s="7">
        <v>1.0</v>
      </c>
      <c r="EW27" s="45">
        <f t="shared" si="51"/>
        <v>0</v>
      </c>
      <c r="EX27" s="7"/>
      <c r="EY27" s="7"/>
      <c r="EZ27" s="7"/>
      <c r="FA27" s="7">
        <f t="shared" si="52"/>
        <v>0</v>
      </c>
      <c r="FB27" s="7">
        <v>1.0</v>
      </c>
      <c r="FC27" s="45">
        <f t="shared" si="53"/>
        <v>0</v>
      </c>
      <c r="FD27" s="41"/>
      <c r="FE27" s="41"/>
      <c r="FF27" s="41"/>
      <c r="FG27" s="41">
        <f t="shared" si="54"/>
        <v>0</v>
      </c>
      <c r="FH27" s="41">
        <v>1.0</v>
      </c>
      <c r="FI27" s="42">
        <f t="shared" si="55"/>
        <v>0</v>
      </c>
      <c r="FJ27" s="41"/>
      <c r="FK27" s="41"/>
      <c r="FL27" s="41"/>
      <c r="FM27" s="41">
        <f t="shared" si="56"/>
        <v>0</v>
      </c>
      <c r="FN27" s="41">
        <v>1.0</v>
      </c>
      <c r="FO27" s="42">
        <f t="shared" si="57"/>
        <v>0</v>
      </c>
      <c r="FP27" s="7"/>
      <c r="FQ27" s="7"/>
      <c r="FR27" s="7"/>
      <c r="FS27" s="7">
        <f t="shared" si="58"/>
        <v>0</v>
      </c>
      <c r="FT27" s="7">
        <v>1.0</v>
      </c>
      <c r="FU27" s="45">
        <f t="shared" si="59"/>
        <v>0</v>
      </c>
      <c r="FV27" s="7"/>
      <c r="FW27" s="7"/>
      <c r="FX27" s="7"/>
      <c r="FY27" s="7">
        <f t="shared" si="60"/>
        <v>0</v>
      </c>
      <c r="FZ27" s="7">
        <v>1.0</v>
      </c>
      <c r="GA27" s="45">
        <f t="shared" si="61"/>
        <v>0</v>
      </c>
      <c r="GB27" s="7"/>
      <c r="GC27" s="7"/>
      <c r="GD27" s="7"/>
      <c r="GE27" s="7">
        <f t="shared" si="62"/>
        <v>0</v>
      </c>
      <c r="GF27" s="7">
        <v>1.0</v>
      </c>
      <c r="GG27" s="45">
        <f t="shared" si="63"/>
        <v>0</v>
      </c>
      <c r="GH27" s="7"/>
      <c r="GI27" s="7"/>
      <c r="GJ27" s="7"/>
      <c r="GK27" s="7">
        <f t="shared" si="64"/>
        <v>0</v>
      </c>
      <c r="GL27" s="7">
        <v>1.0</v>
      </c>
      <c r="GM27" s="45">
        <f t="shared" si="65"/>
        <v>0</v>
      </c>
      <c r="GN27" s="41"/>
      <c r="GO27" s="41"/>
      <c r="GP27" s="41"/>
      <c r="GQ27" s="41">
        <f t="shared" si="66"/>
        <v>0</v>
      </c>
      <c r="GR27" s="41">
        <v>1.0</v>
      </c>
      <c r="GS27" s="42">
        <f t="shared" si="67"/>
        <v>0</v>
      </c>
      <c r="GT27" s="7">
        <v>1.0</v>
      </c>
      <c r="GU27" s="7">
        <v>1.0</v>
      </c>
      <c r="GV27" s="7">
        <v>1.0</v>
      </c>
      <c r="GW27" s="7">
        <f t="shared" si="68"/>
        <v>5</v>
      </c>
      <c r="GX27" s="7">
        <v>1.0</v>
      </c>
      <c r="GY27" s="45">
        <f t="shared" si="69"/>
        <v>5</v>
      </c>
      <c r="GZ27" s="7"/>
      <c r="HA27" s="7"/>
      <c r="HB27" s="7"/>
      <c r="HC27" s="7">
        <f t="shared" si="70"/>
        <v>0</v>
      </c>
      <c r="HD27" s="7">
        <v>1.0</v>
      </c>
      <c r="HE27" s="45">
        <f t="shared" si="71"/>
        <v>0</v>
      </c>
      <c r="HF27" s="7">
        <v>1.0</v>
      </c>
      <c r="HG27" s="7">
        <v>1.0</v>
      </c>
      <c r="HH27" s="7">
        <v>1.0</v>
      </c>
      <c r="HI27" s="7">
        <f t="shared" si="72"/>
        <v>5</v>
      </c>
      <c r="HJ27" s="7">
        <v>1.0</v>
      </c>
      <c r="HK27" s="45">
        <f t="shared" si="73"/>
        <v>5</v>
      </c>
      <c r="HL27" s="7"/>
      <c r="HM27" s="7"/>
      <c r="HN27" s="7"/>
      <c r="HO27" s="7">
        <f t="shared" si="74"/>
        <v>0</v>
      </c>
      <c r="HP27" s="7">
        <v>1.0</v>
      </c>
      <c r="HQ27" s="45">
        <f t="shared" si="75"/>
        <v>0</v>
      </c>
      <c r="HR27" s="7"/>
      <c r="HS27" s="7"/>
      <c r="HT27" s="7"/>
      <c r="HU27" s="7">
        <f t="shared" si="76"/>
        <v>0</v>
      </c>
      <c r="HV27" s="7">
        <v>1.0</v>
      </c>
      <c r="HW27" s="45">
        <f t="shared" si="77"/>
        <v>0</v>
      </c>
      <c r="HX27" s="7"/>
      <c r="HY27" s="7"/>
      <c r="HZ27" s="7"/>
      <c r="IA27" s="7">
        <f t="shared" si="78"/>
        <v>0</v>
      </c>
      <c r="IB27" s="7">
        <v>1.0</v>
      </c>
      <c r="IC27" s="45">
        <f t="shared" si="79"/>
        <v>0</v>
      </c>
      <c r="ID27" s="7"/>
      <c r="IE27" s="7"/>
      <c r="IF27" s="7"/>
      <c r="IG27" s="7">
        <f t="shared" si="80"/>
        <v>0</v>
      </c>
      <c r="IH27" s="7">
        <v>1.0</v>
      </c>
      <c r="II27" s="45">
        <f t="shared" si="81"/>
        <v>0</v>
      </c>
      <c r="IJ27" s="7"/>
      <c r="IK27" s="7"/>
      <c r="IL27" s="7"/>
      <c r="IM27" s="7">
        <f t="shared" si="82"/>
        <v>0</v>
      </c>
      <c r="IN27" s="7">
        <v>1.0</v>
      </c>
      <c r="IO27" s="45">
        <f t="shared" si="83"/>
        <v>0</v>
      </c>
    </row>
    <row r="28">
      <c r="A28" s="36" t="s">
        <v>88</v>
      </c>
      <c r="B28" s="21"/>
      <c r="C28" s="1">
        <f t="shared" si="1"/>
        <v>23</v>
      </c>
      <c r="D28" s="15">
        <f>VLOOKUP(A28,TDP!A:C,3,FALSE)</f>
        <v>0.05</v>
      </c>
      <c r="E28" s="38">
        <f t="shared" si="2"/>
        <v>22.05</v>
      </c>
      <c r="F28" s="7"/>
      <c r="G28" s="39">
        <f t="shared" si="3"/>
        <v>0</v>
      </c>
      <c r="H28" s="7"/>
      <c r="I28" s="7"/>
      <c r="J28" s="7"/>
      <c r="K28" s="7">
        <f t="shared" si="4"/>
        <v>0</v>
      </c>
      <c r="L28" s="7"/>
      <c r="M28" s="45">
        <f t="shared" si="5"/>
        <v>0</v>
      </c>
      <c r="N28" s="41"/>
      <c r="O28" s="41"/>
      <c r="P28" s="41"/>
      <c r="Q28" s="42">
        <f t="shared" si="6"/>
        <v>0</v>
      </c>
      <c r="R28" s="41"/>
      <c r="S28" s="41"/>
      <c r="T28" s="41"/>
      <c r="U28" s="42">
        <f t="shared" si="7"/>
        <v>0</v>
      </c>
      <c r="V28" s="7"/>
      <c r="W28" s="7"/>
      <c r="X28" s="7">
        <v>1.0</v>
      </c>
      <c r="Y28" s="7">
        <f t="shared" si="8"/>
        <v>7</v>
      </c>
      <c r="Z28" s="7"/>
      <c r="AA28" s="45">
        <f t="shared" si="9"/>
        <v>7</v>
      </c>
      <c r="AB28" s="7"/>
      <c r="AC28" s="7"/>
      <c r="AD28" s="7"/>
      <c r="AE28" s="7">
        <f t="shared" si="10"/>
        <v>0</v>
      </c>
      <c r="AF28" s="7"/>
      <c r="AG28" s="45">
        <f t="shared" si="11"/>
        <v>0</v>
      </c>
      <c r="AH28" s="7"/>
      <c r="AI28" s="7"/>
      <c r="AJ28" s="7"/>
      <c r="AK28" s="7">
        <f t="shared" si="12"/>
        <v>0</v>
      </c>
      <c r="AL28" s="7"/>
      <c r="AM28" s="45">
        <f t="shared" si="13"/>
        <v>0</v>
      </c>
      <c r="AN28" s="7"/>
      <c r="AO28" s="7"/>
      <c r="AP28" s="7"/>
      <c r="AQ28" s="7">
        <f t="shared" si="14"/>
        <v>0</v>
      </c>
      <c r="AR28" s="7"/>
      <c r="AS28" s="45">
        <f t="shared" si="15"/>
        <v>0</v>
      </c>
      <c r="AT28" s="7"/>
      <c r="AU28" s="7"/>
      <c r="AV28" s="7"/>
      <c r="AW28" s="7">
        <f t="shared" si="16"/>
        <v>0</v>
      </c>
      <c r="AX28" s="7"/>
      <c r="AY28" s="45">
        <f t="shared" si="17"/>
        <v>0</v>
      </c>
      <c r="AZ28" s="7"/>
      <c r="BA28" s="7"/>
      <c r="BB28" s="7"/>
      <c r="BC28" s="7">
        <f t="shared" si="18"/>
        <v>0</v>
      </c>
      <c r="BD28" s="7"/>
      <c r="BE28" s="45">
        <f t="shared" si="19"/>
        <v>0</v>
      </c>
      <c r="BF28" s="7"/>
      <c r="BG28" s="7"/>
      <c r="BH28" s="7"/>
      <c r="BI28" s="7">
        <f t="shared" si="20"/>
        <v>0</v>
      </c>
      <c r="BJ28" s="7"/>
      <c r="BK28" s="45">
        <f t="shared" si="21"/>
        <v>0</v>
      </c>
      <c r="BL28" s="7"/>
      <c r="BM28" s="7"/>
      <c r="BN28" s="7"/>
      <c r="BO28" s="7">
        <f t="shared" si="22"/>
        <v>0</v>
      </c>
      <c r="BP28" s="7"/>
      <c r="BQ28" s="45">
        <f t="shared" si="23"/>
        <v>0</v>
      </c>
      <c r="BR28" s="7"/>
      <c r="BS28" s="7"/>
      <c r="BT28" s="7"/>
      <c r="BU28" s="7">
        <f t="shared" si="24"/>
        <v>0</v>
      </c>
      <c r="BV28" s="7"/>
      <c r="BW28" s="45">
        <f t="shared" si="25"/>
        <v>0</v>
      </c>
      <c r="BX28" s="7"/>
      <c r="BY28" s="7"/>
      <c r="BZ28" s="7"/>
      <c r="CA28" s="7">
        <f t="shared" si="26"/>
        <v>0</v>
      </c>
      <c r="CB28" s="7"/>
      <c r="CC28" s="45">
        <f t="shared" si="27"/>
        <v>0</v>
      </c>
      <c r="CD28" s="7"/>
      <c r="CE28" s="7"/>
      <c r="CF28" s="7"/>
      <c r="CG28" s="7">
        <f t="shared" si="28"/>
        <v>0</v>
      </c>
      <c r="CH28" s="7"/>
      <c r="CI28" s="45">
        <f t="shared" si="29"/>
        <v>0</v>
      </c>
      <c r="CJ28" s="7"/>
      <c r="CK28" s="7"/>
      <c r="CL28" s="7"/>
      <c r="CM28" s="7">
        <f t="shared" si="30"/>
        <v>0</v>
      </c>
      <c r="CN28" s="7"/>
      <c r="CO28" s="45">
        <f t="shared" si="31"/>
        <v>0</v>
      </c>
      <c r="CP28" s="7"/>
      <c r="CQ28" s="7"/>
      <c r="CR28" s="7"/>
      <c r="CS28" s="7">
        <f t="shared" si="32"/>
        <v>0</v>
      </c>
      <c r="CT28" s="7"/>
      <c r="CU28" s="45">
        <f t="shared" si="33"/>
        <v>0</v>
      </c>
      <c r="CV28" s="7"/>
      <c r="CW28" s="7"/>
      <c r="CX28" s="7"/>
      <c r="CY28" s="7">
        <f t="shared" si="34"/>
        <v>0</v>
      </c>
      <c r="CZ28" s="7"/>
      <c r="DA28" s="45">
        <f t="shared" si="35"/>
        <v>0</v>
      </c>
      <c r="DB28" s="7"/>
      <c r="DC28" s="7"/>
      <c r="DD28" s="7"/>
      <c r="DE28" s="7">
        <f t="shared" si="36"/>
        <v>0</v>
      </c>
      <c r="DF28" s="7">
        <v>1.0</v>
      </c>
      <c r="DG28" s="45">
        <f t="shared" si="37"/>
        <v>0</v>
      </c>
      <c r="DH28" s="7"/>
      <c r="DI28" s="7"/>
      <c r="DJ28" s="7"/>
      <c r="DK28" s="7">
        <f t="shared" si="38"/>
        <v>0</v>
      </c>
      <c r="DL28" s="7">
        <v>1.0</v>
      </c>
      <c r="DM28" s="45">
        <f t="shared" si="39"/>
        <v>0</v>
      </c>
      <c r="DN28" s="7"/>
      <c r="DO28" s="7"/>
      <c r="DP28" s="7"/>
      <c r="DQ28" s="7">
        <f t="shared" si="40"/>
        <v>0</v>
      </c>
      <c r="DR28" s="7">
        <v>1.0</v>
      </c>
      <c r="DS28" s="45">
        <f t="shared" si="41"/>
        <v>0</v>
      </c>
      <c r="DT28" s="7"/>
      <c r="DU28" s="7"/>
      <c r="DV28" s="7"/>
      <c r="DW28" s="7">
        <f t="shared" si="42"/>
        <v>0</v>
      </c>
      <c r="DX28" s="7">
        <v>1.0</v>
      </c>
      <c r="DY28" s="45">
        <f t="shared" si="43"/>
        <v>0</v>
      </c>
      <c r="DZ28" s="7"/>
      <c r="EA28" s="7"/>
      <c r="EB28" s="7"/>
      <c r="EC28" s="7">
        <f t="shared" si="44"/>
        <v>0</v>
      </c>
      <c r="ED28" s="7">
        <v>1.0</v>
      </c>
      <c r="EE28" s="45">
        <f t="shared" si="45"/>
        <v>0</v>
      </c>
      <c r="EF28" s="7"/>
      <c r="EG28" s="7"/>
      <c r="EH28" s="7"/>
      <c r="EI28" s="7">
        <f t="shared" si="46"/>
        <v>0</v>
      </c>
      <c r="EJ28" s="7">
        <v>1.0</v>
      </c>
      <c r="EK28" s="45">
        <f t="shared" si="47"/>
        <v>0</v>
      </c>
      <c r="EL28" s="7"/>
      <c r="EM28" s="7"/>
      <c r="EN28" s="7"/>
      <c r="EO28" s="7">
        <f t="shared" si="48"/>
        <v>0</v>
      </c>
      <c r="EP28" s="7">
        <v>1.0</v>
      </c>
      <c r="EQ28" s="45">
        <f t="shared" si="49"/>
        <v>0</v>
      </c>
      <c r="ER28" s="7"/>
      <c r="ES28" s="7"/>
      <c r="ET28" s="7"/>
      <c r="EU28" s="7">
        <f t="shared" si="50"/>
        <v>0</v>
      </c>
      <c r="EV28" s="7">
        <v>1.0</v>
      </c>
      <c r="EW28" s="45">
        <f t="shared" si="51"/>
        <v>0</v>
      </c>
      <c r="EX28" s="7"/>
      <c r="EY28" s="7"/>
      <c r="EZ28" s="7"/>
      <c r="FA28" s="7">
        <f t="shared" si="52"/>
        <v>0</v>
      </c>
      <c r="FB28" s="7">
        <v>1.0</v>
      </c>
      <c r="FC28" s="45">
        <f t="shared" si="53"/>
        <v>0</v>
      </c>
      <c r="FD28" s="41"/>
      <c r="FE28" s="41"/>
      <c r="FF28" s="41"/>
      <c r="FG28" s="41">
        <f t="shared" si="54"/>
        <v>0</v>
      </c>
      <c r="FH28" s="41">
        <v>1.0</v>
      </c>
      <c r="FI28" s="42">
        <f t="shared" si="55"/>
        <v>0</v>
      </c>
      <c r="FJ28" s="41"/>
      <c r="FK28" s="41"/>
      <c r="FL28" s="41"/>
      <c r="FM28" s="41">
        <f t="shared" si="56"/>
        <v>0</v>
      </c>
      <c r="FN28" s="41">
        <v>1.0</v>
      </c>
      <c r="FO28" s="42">
        <f t="shared" si="57"/>
        <v>0</v>
      </c>
      <c r="FP28" s="7"/>
      <c r="FQ28" s="7"/>
      <c r="FR28" s="7"/>
      <c r="FS28" s="7">
        <f t="shared" si="58"/>
        <v>0</v>
      </c>
      <c r="FT28" s="7">
        <v>1.0</v>
      </c>
      <c r="FU28" s="45">
        <f t="shared" si="59"/>
        <v>0</v>
      </c>
      <c r="FV28" s="7"/>
      <c r="FW28" s="7"/>
      <c r="FX28" s="7"/>
      <c r="FY28" s="7">
        <f t="shared" si="60"/>
        <v>0</v>
      </c>
      <c r="FZ28" s="7">
        <v>1.0</v>
      </c>
      <c r="GA28" s="45">
        <f t="shared" si="61"/>
        <v>0</v>
      </c>
      <c r="GB28" s="7"/>
      <c r="GC28" s="7"/>
      <c r="GD28" s="7"/>
      <c r="GE28" s="7">
        <f t="shared" si="62"/>
        <v>0</v>
      </c>
      <c r="GF28" s="7">
        <v>1.0</v>
      </c>
      <c r="GG28" s="45">
        <f t="shared" si="63"/>
        <v>0</v>
      </c>
      <c r="GH28" s="7"/>
      <c r="GI28" s="7"/>
      <c r="GJ28" s="7"/>
      <c r="GK28" s="7">
        <f t="shared" si="64"/>
        <v>0</v>
      </c>
      <c r="GL28" s="7">
        <v>1.0</v>
      </c>
      <c r="GM28" s="45">
        <f t="shared" si="65"/>
        <v>0</v>
      </c>
      <c r="GN28" s="41"/>
      <c r="GO28" s="41"/>
      <c r="GP28" s="41"/>
      <c r="GQ28" s="41">
        <f t="shared" si="66"/>
        <v>0</v>
      </c>
      <c r="GR28" s="41">
        <v>1.0</v>
      </c>
      <c r="GS28" s="42">
        <f t="shared" si="67"/>
        <v>0</v>
      </c>
      <c r="GT28" s="7"/>
      <c r="GU28" s="7"/>
      <c r="GV28" s="7">
        <v>1.0</v>
      </c>
      <c r="GW28" s="7">
        <f t="shared" si="68"/>
        <v>7</v>
      </c>
      <c r="GX28" s="7">
        <v>1.0</v>
      </c>
      <c r="GY28" s="45">
        <f t="shared" si="69"/>
        <v>7</v>
      </c>
      <c r="GZ28" s="7"/>
      <c r="HA28" s="7"/>
      <c r="HB28" s="7"/>
      <c r="HC28" s="7">
        <f t="shared" si="70"/>
        <v>0</v>
      </c>
      <c r="HD28" s="7">
        <v>1.0</v>
      </c>
      <c r="HE28" s="45">
        <f t="shared" si="71"/>
        <v>0</v>
      </c>
      <c r="HF28" s="7"/>
      <c r="HG28" s="7"/>
      <c r="HH28" s="7">
        <v>1.0</v>
      </c>
      <c r="HI28" s="7">
        <f t="shared" si="72"/>
        <v>7</v>
      </c>
      <c r="HJ28" s="7">
        <v>1.0</v>
      </c>
      <c r="HK28" s="45">
        <f t="shared" si="73"/>
        <v>7</v>
      </c>
      <c r="HL28" s="7"/>
      <c r="HM28" s="7"/>
      <c r="HN28" s="7"/>
      <c r="HO28" s="7">
        <f t="shared" si="74"/>
        <v>0</v>
      </c>
      <c r="HP28" s="7">
        <v>1.0</v>
      </c>
      <c r="HQ28" s="45">
        <f t="shared" si="75"/>
        <v>0</v>
      </c>
      <c r="HR28" s="7"/>
      <c r="HS28" s="7"/>
      <c r="HT28" s="7"/>
      <c r="HU28" s="7">
        <f t="shared" si="76"/>
        <v>0</v>
      </c>
      <c r="HV28" s="7">
        <v>1.0</v>
      </c>
      <c r="HW28" s="45">
        <f t="shared" si="77"/>
        <v>0</v>
      </c>
      <c r="HX28" s="7"/>
      <c r="HY28" s="7"/>
      <c r="HZ28" s="7"/>
      <c r="IA28" s="7">
        <f t="shared" si="78"/>
        <v>0</v>
      </c>
      <c r="IB28" s="7">
        <v>1.0</v>
      </c>
      <c r="IC28" s="45">
        <f t="shared" si="79"/>
        <v>0</v>
      </c>
      <c r="ID28" s="7"/>
      <c r="IE28" s="7"/>
      <c r="IF28" s="7"/>
      <c r="IG28" s="7">
        <f t="shared" si="80"/>
        <v>0</v>
      </c>
      <c r="IH28" s="7">
        <v>1.0</v>
      </c>
      <c r="II28" s="45">
        <f t="shared" si="81"/>
        <v>0</v>
      </c>
      <c r="IJ28" s="7"/>
      <c r="IK28" s="7"/>
      <c r="IL28" s="7"/>
      <c r="IM28" s="7">
        <f t="shared" si="82"/>
        <v>0</v>
      </c>
      <c r="IN28" s="7">
        <v>1.0</v>
      </c>
      <c r="IO28" s="45">
        <f t="shared" si="83"/>
        <v>0</v>
      </c>
    </row>
    <row r="29">
      <c r="A29" s="36" t="s">
        <v>77</v>
      </c>
      <c r="B29" s="21"/>
      <c r="C29" s="1">
        <f t="shared" si="1"/>
        <v>24</v>
      </c>
      <c r="D29" s="15">
        <f>VLOOKUP(A29,TDP!A:C,3,FALSE)</f>
        <v>0.25</v>
      </c>
      <c r="E29" s="38">
        <f t="shared" si="2"/>
        <v>18.75</v>
      </c>
      <c r="F29" s="7"/>
      <c r="G29" s="39">
        <f t="shared" si="3"/>
        <v>0</v>
      </c>
      <c r="H29" s="7"/>
      <c r="I29" s="7"/>
      <c r="J29" s="7"/>
      <c r="K29" s="7">
        <f t="shared" si="4"/>
        <v>0</v>
      </c>
      <c r="L29" s="7"/>
      <c r="M29" s="45">
        <f t="shared" si="5"/>
        <v>0</v>
      </c>
      <c r="N29" s="41"/>
      <c r="O29" s="41"/>
      <c r="P29" s="41"/>
      <c r="Q29" s="42">
        <f t="shared" si="6"/>
        <v>0</v>
      </c>
      <c r="R29" s="41"/>
      <c r="S29" s="41"/>
      <c r="T29" s="41"/>
      <c r="U29" s="42">
        <f t="shared" si="7"/>
        <v>0</v>
      </c>
      <c r="V29" s="7"/>
      <c r="W29" s="7"/>
      <c r="X29" s="7"/>
      <c r="Y29" s="7">
        <f t="shared" si="8"/>
        <v>0</v>
      </c>
      <c r="Z29" s="7"/>
      <c r="AA29" s="45">
        <f t="shared" si="9"/>
        <v>0</v>
      </c>
      <c r="AB29" s="7"/>
      <c r="AC29" s="7"/>
      <c r="AD29" s="7"/>
      <c r="AE29" s="7">
        <f t="shared" si="10"/>
        <v>0</v>
      </c>
      <c r="AF29" s="7"/>
      <c r="AG29" s="45">
        <f t="shared" si="11"/>
        <v>0</v>
      </c>
      <c r="AH29" s="7"/>
      <c r="AI29" s="7"/>
      <c r="AJ29" s="7"/>
      <c r="AK29" s="7">
        <f t="shared" si="12"/>
        <v>0</v>
      </c>
      <c r="AL29" s="7"/>
      <c r="AM29" s="45">
        <f t="shared" si="13"/>
        <v>0</v>
      </c>
      <c r="AN29" s="7"/>
      <c r="AO29" s="7"/>
      <c r="AP29" s="7"/>
      <c r="AQ29" s="7">
        <f t="shared" si="14"/>
        <v>0</v>
      </c>
      <c r="AR29" s="7"/>
      <c r="AS29" s="45">
        <f t="shared" si="15"/>
        <v>0</v>
      </c>
      <c r="AT29" s="7"/>
      <c r="AU29" s="7"/>
      <c r="AV29" s="7"/>
      <c r="AW29" s="7">
        <f t="shared" si="16"/>
        <v>0</v>
      </c>
      <c r="AX29" s="7"/>
      <c r="AY29" s="45">
        <f t="shared" si="17"/>
        <v>0</v>
      </c>
      <c r="AZ29" s="7"/>
      <c r="BA29" s="7"/>
      <c r="BB29" s="7"/>
      <c r="BC29" s="7">
        <f t="shared" si="18"/>
        <v>0</v>
      </c>
      <c r="BD29" s="7"/>
      <c r="BE29" s="45">
        <f t="shared" si="19"/>
        <v>0</v>
      </c>
      <c r="BF29" s="7"/>
      <c r="BG29" s="7"/>
      <c r="BH29" s="7"/>
      <c r="BI29" s="7">
        <f t="shared" si="20"/>
        <v>0</v>
      </c>
      <c r="BJ29" s="7"/>
      <c r="BK29" s="45">
        <f t="shared" si="21"/>
        <v>0</v>
      </c>
      <c r="BL29" s="7"/>
      <c r="BM29" s="7"/>
      <c r="BN29" s="7"/>
      <c r="BO29" s="7">
        <f t="shared" si="22"/>
        <v>0</v>
      </c>
      <c r="BP29" s="7"/>
      <c r="BQ29" s="45">
        <f t="shared" si="23"/>
        <v>0</v>
      </c>
      <c r="BR29" s="7"/>
      <c r="BS29" s="7"/>
      <c r="BT29" s="7"/>
      <c r="BU29" s="7">
        <f t="shared" si="24"/>
        <v>0</v>
      </c>
      <c r="BV29" s="7"/>
      <c r="BW29" s="45">
        <f t="shared" si="25"/>
        <v>0</v>
      </c>
      <c r="BX29" s="7"/>
      <c r="BY29" s="7"/>
      <c r="BZ29" s="7"/>
      <c r="CA29" s="7">
        <f t="shared" si="26"/>
        <v>0</v>
      </c>
      <c r="CB29" s="7"/>
      <c r="CC29" s="45">
        <f t="shared" si="27"/>
        <v>0</v>
      </c>
      <c r="CD29" s="7"/>
      <c r="CE29" s="7"/>
      <c r="CF29" s="7"/>
      <c r="CG29" s="7">
        <f t="shared" si="28"/>
        <v>0</v>
      </c>
      <c r="CH29" s="7"/>
      <c r="CI29" s="45">
        <f t="shared" si="29"/>
        <v>0</v>
      </c>
      <c r="CJ29" s="7"/>
      <c r="CK29" s="7"/>
      <c r="CL29" s="7"/>
      <c r="CM29" s="7">
        <f t="shared" si="30"/>
        <v>0</v>
      </c>
      <c r="CN29" s="7"/>
      <c r="CO29" s="45">
        <f t="shared" si="31"/>
        <v>0</v>
      </c>
      <c r="CP29" s="7"/>
      <c r="CQ29" s="7"/>
      <c r="CR29" s="7"/>
      <c r="CS29" s="7">
        <f t="shared" si="32"/>
        <v>0</v>
      </c>
      <c r="CT29" s="7"/>
      <c r="CU29" s="45">
        <f t="shared" si="33"/>
        <v>0</v>
      </c>
      <c r="CV29" s="7"/>
      <c r="CW29" s="7"/>
      <c r="CX29" s="7"/>
      <c r="CY29" s="7">
        <f t="shared" si="34"/>
        <v>0</v>
      </c>
      <c r="CZ29" s="7"/>
      <c r="DA29" s="45">
        <f t="shared" si="35"/>
        <v>0</v>
      </c>
      <c r="DB29" s="7"/>
      <c r="DC29" s="7"/>
      <c r="DD29" s="7">
        <v>1.0</v>
      </c>
      <c r="DE29" s="7">
        <f t="shared" si="36"/>
        <v>7</v>
      </c>
      <c r="DF29" s="7">
        <v>1.0</v>
      </c>
      <c r="DG29" s="45">
        <f t="shared" si="37"/>
        <v>7</v>
      </c>
      <c r="DH29" s="7">
        <v>1.0</v>
      </c>
      <c r="DI29" s="7">
        <v>1.0</v>
      </c>
      <c r="DJ29" s="7"/>
      <c r="DK29" s="7">
        <f t="shared" si="38"/>
        <v>3</v>
      </c>
      <c r="DL29" s="7">
        <v>1.0</v>
      </c>
      <c r="DM29" s="45">
        <f t="shared" si="39"/>
        <v>3</v>
      </c>
      <c r="DN29" s="7"/>
      <c r="DO29" s="7"/>
      <c r="DP29" s="7"/>
      <c r="DQ29" s="7">
        <f t="shared" si="40"/>
        <v>0</v>
      </c>
      <c r="DR29" s="7">
        <v>1.0</v>
      </c>
      <c r="DS29" s="45">
        <f t="shared" si="41"/>
        <v>0</v>
      </c>
      <c r="DT29" s="7"/>
      <c r="DU29" s="7"/>
      <c r="DV29" s="7"/>
      <c r="DW29" s="7">
        <f t="shared" si="42"/>
        <v>0</v>
      </c>
      <c r="DX29" s="7">
        <v>1.0</v>
      </c>
      <c r="DY29" s="45">
        <f t="shared" si="43"/>
        <v>0</v>
      </c>
      <c r="DZ29" s="7"/>
      <c r="EA29" s="7"/>
      <c r="EB29" s="7"/>
      <c r="EC29" s="7">
        <f t="shared" si="44"/>
        <v>0</v>
      </c>
      <c r="ED29" s="7">
        <v>1.0</v>
      </c>
      <c r="EE29" s="45">
        <f t="shared" si="45"/>
        <v>0</v>
      </c>
      <c r="EF29" s="7">
        <v>1.0</v>
      </c>
      <c r="EG29" s="7">
        <v>1.0</v>
      </c>
      <c r="EH29" s="7">
        <v>1.0</v>
      </c>
      <c r="EI29" s="7">
        <f t="shared" si="46"/>
        <v>5</v>
      </c>
      <c r="EJ29" s="7">
        <v>1.0</v>
      </c>
      <c r="EK29" s="45">
        <f t="shared" si="47"/>
        <v>5</v>
      </c>
      <c r="EL29" s="7"/>
      <c r="EM29" s="7"/>
      <c r="EN29" s="7"/>
      <c r="EO29" s="7">
        <f t="shared" si="48"/>
        <v>0</v>
      </c>
      <c r="EP29" s="7">
        <v>1.0</v>
      </c>
      <c r="EQ29" s="45">
        <f t="shared" si="49"/>
        <v>0</v>
      </c>
      <c r="ER29" s="7"/>
      <c r="ES29" s="7"/>
      <c r="ET29" s="7"/>
      <c r="EU29" s="7">
        <f t="shared" si="50"/>
        <v>0</v>
      </c>
      <c r="EV29" s="7">
        <v>1.0</v>
      </c>
      <c r="EW29" s="45">
        <f t="shared" si="51"/>
        <v>0</v>
      </c>
      <c r="EX29" s="7"/>
      <c r="EY29" s="7"/>
      <c r="EZ29" s="7"/>
      <c r="FA29" s="7">
        <f t="shared" si="52"/>
        <v>0</v>
      </c>
      <c r="FB29" s="7">
        <v>1.0</v>
      </c>
      <c r="FC29" s="45">
        <f t="shared" si="53"/>
        <v>0</v>
      </c>
      <c r="FD29" s="41"/>
      <c r="FE29" s="41"/>
      <c r="FF29" s="41"/>
      <c r="FG29" s="41">
        <f t="shared" si="54"/>
        <v>0</v>
      </c>
      <c r="FH29" s="41">
        <v>1.0</v>
      </c>
      <c r="FI29" s="42">
        <f t="shared" si="55"/>
        <v>0</v>
      </c>
      <c r="FJ29" s="41"/>
      <c r="FK29" s="41"/>
      <c r="FL29" s="41"/>
      <c r="FM29" s="41">
        <f t="shared" si="56"/>
        <v>0</v>
      </c>
      <c r="FN29" s="41">
        <v>1.0</v>
      </c>
      <c r="FO29" s="42">
        <f t="shared" si="57"/>
        <v>0</v>
      </c>
      <c r="FP29" s="7"/>
      <c r="FQ29" s="7"/>
      <c r="FR29" s="7"/>
      <c r="FS29" s="7">
        <f t="shared" si="58"/>
        <v>0</v>
      </c>
      <c r="FT29" s="7">
        <v>1.0</v>
      </c>
      <c r="FU29" s="45">
        <f t="shared" si="59"/>
        <v>0</v>
      </c>
      <c r="FV29" s="7"/>
      <c r="FW29" s="7"/>
      <c r="FX29" s="7"/>
      <c r="FY29" s="7">
        <f t="shared" si="60"/>
        <v>0</v>
      </c>
      <c r="FZ29" s="7">
        <v>1.0</v>
      </c>
      <c r="GA29" s="45">
        <f t="shared" si="61"/>
        <v>0</v>
      </c>
      <c r="GB29" s="7"/>
      <c r="GC29" s="7"/>
      <c r="GD29" s="7"/>
      <c r="GE29" s="7">
        <f t="shared" si="62"/>
        <v>0</v>
      </c>
      <c r="GF29" s="7">
        <v>1.0</v>
      </c>
      <c r="GG29" s="45">
        <f t="shared" si="63"/>
        <v>0</v>
      </c>
      <c r="GH29" s="7"/>
      <c r="GI29" s="7"/>
      <c r="GJ29" s="7"/>
      <c r="GK29" s="7">
        <f t="shared" si="64"/>
        <v>0</v>
      </c>
      <c r="GL29" s="7">
        <v>1.0</v>
      </c>
      <c r="GM29" s="45">
        <f t="shared" si="65"/>
        <v>0</v>
      </c>
      <c r="GN29" s="41"/>
      <c r="GO29" s="41"/>
      <c r="GP29" s="41"/>
      <c r="GQ29" s="41">
        <f t="shared" si="66"/>
        <v>0</v>
      </c>
      <c r="GR29" s="41">
        <v>1.0</v>
      </c>
      <c r="GS29" s="42">
        <f t="shared" si="67"/>
        <v>0</v>
      </c>
      <c r="GT29" s="7"/>
      <c r="GU29" s="7"/>
      <c r="GV29" s="7"/>
      <c r="GW29" s="7">
        <f t="shared" si="68"/>
        <v>0</v>
      </c>
      <c r="GX29" s="7">
        <v>1.0</v>
      </c>
      <c r="GY29" s="45">
        <f t="shared" si="69"/>
        <v>0</v>
      </c>
      <c r="GZ29" s="7"/>
      <c r="HA29" s="7"/>
      <c r="HB29" s="7"/>
      <c r="HC29" s="7">
        <f t="shared" si="70"/>
        <v>0</v>
      </c>
      <c r="HD29" s="7">
        <v>1.0</v>
      </c>
      <c r="HE29" s="45">
        <f t="shared" si="71"/>
        <v>0</v>
      </c>
      <c r="HF29" s="7"/>
      <c r="HG29" s="7"/>
      <c r="HH29" s="7"/>
      <c r="HI29" s="7">
        <f t="shared" si="72"/>
        <v>0</v>
      </c>
      <c r="HJ29" s="7">
        <v>1.0</v>
      </c>
      <c r="HK29" s="45">
        <f t="shared" si="73"/>
        <v>0</v>
      </c>
      <c r="HL29" s="7"/>
      <c r="HM29" s="7"/>
      <c r="HN29" s="7"/>
      <c r="HO29" s="7">
        <f t="shared" si="74"/>
        <v>0</v>
      </c>
      <c r="HP29" s="7">
        <v>1.0</v>
      </c>
      <c r="HQ29" s="45">
        <f t="shared" si="75"/>
        <v>0</v>
      </c>
      <c r="HR29" s="7"/>
      <c r="HS29" s="7"/>
      <c r="HT29" s="7"/>
      <c r="HU29" s="7">
        <f t="shared" si="76"/>
        <v>0</v>
      </c>
      <c r="HV29" s="7">
        <v>1.0</v>
      </c>
      <c r="HW29" s="45">
        <f t="shared" si="77"/>
        <v>0</v>
      </c>
      <c r="HX29" s="7"/>
      <c r="HY29" s="7"/>
      <c r="HZ29" s="7"/>
      <c r="IA29" s="7">
        <f t="shared" si="78"/>
        <v>0</v>
      </c>
      <c r="IB29" s="7">
        <v>1.0</v>
      </c>
      <c r="IC29" s="45">
        <f t="shared" si="79"/>
        <v>0</v>
      </c>
      <c r="ID29" s="7"/>
      <c r="IE29" s="7"/>
      <c r="IF29" s="7"/>
      <c r="IG29" s="7">
        <f t="shared" si="80"/>
        <v>0</v>
      </c>
      <c r="IH29" s="7">
        <v>1.0</v>
      </c>
      <c r="II29" s="45">
        <f t="shared" si="81"/>
        <v>0</v>
      </c>
      <c r="IJ29" s="7"/>
      <c r="IK29" s="7"/>
      <c r="IL29" s="7"/>
      <c r="IM29" s="7">
        <f t="shared" si="82"/>
        <v>0</v>
      </c>
      <c r="IN29" s="7">
        <v>1.0</v>
      </c>
      <c r="IO29" s="45">
        <f t="shared" si="83"/>
        <v>0</v>
      </c>
    </row>
    <row r="30">
      <c r="A30" s="36" t="s">
        <v>97</v>
      </c>
      <c r="B30" s="21" t="s">
        <v>98</v>
      </c>
      <c r="C30" s="1">
        <f t="shared" si="1"/>
        <v>25</v>
      </c>
      <c r="D30" s="15">
        <f>VLOOKUP(A30,TDP!A:C,3,FALSE)</f>
        <v>0.13</v>
      </c>
      <c r="E30" s="38">
        <f t="shared" si="2"/>
        <v>15.82</v>
      </c>
      <c r="F30" s="7"/>
      <c r="G30" s="39">
        <f t="shared" si="3"/>
        <v>0</v>
      </c>
      <c r="H30" s="7"/>
      <c r="I30" s="7"/>
      <c r="J30" s="7">
        <v>1.0</v>
      </c>
      <c r="K30" s="7">
        <f t="shared" si="4"/>
        <v>7</v>
      </c>
      <c r="L30" s="7"/>
      <c r="M30" s="45">
        <f t="shared" si="5"/>
        <v>7</v>
      </c>
      <c r="N30" s="41"/>
      <c r="O30" s="41"/>
      <c r="P30" s="41"/>
      <c r="Q30" s="42">
        <f t="shared" si="6"/>
        <v>0</v>
      </c>
      <c r="R30" s="41"/>
      <c r="S30" s="41"/>
      <c r="T30" s="41"/>
      <c r="U30" s="42">
        <f t="shared" si="7"/>
        <v>0</v>
      </c>
      <c r="V30" s="7"/>
      <c r="W30" s="7"/>
      <c r="X30" s="7">
        <v>1.0</v>
      </c>
      <c r="Y30" s="7">
        <f t="shared" si="8"/>
        <v>7</v>
      </c>
      <c r="Z30" s="7"/>
      <c r="AA30" s="45">
        <f t="shared" si="9"/>
        <v>7</v>
      </c>
      <c r="AB30" s="7"/>
      <c r="AC30" s="7"/>
      <c r="AD30" s="7"/>
      <c r="AE30" s="7">
        <f t="shared" si="10"/>
        <v>0</v>
      </c>
      <c r="AF30" s="7"/>
      <c r="AG30" s="45">
        <f t="shared" si="11"/>
        <v>0</v>
      </c>
      <c r="AH30" s="7"/>
      <c r="AI30" s="7"/>
      <c r="AJ30" s="7"/>
      <c r="AK30" s="7">
        <f t="shared" si="12"/>
        <v>0</v>
      </c>
      <c r="AL30" s="7"/>
      <c r="AM30" s="45">
        <f t="shared" si="13"/>
        <v>0</v>
      </c>
      <c r="AN30" s="7"/>
      <c r="AO30" s="7"/>
      <c r="AP30" s="7"/>
      <c r="AQ30" s="7">
        <f t="shared" si="14"/>
        <v>0</v>
      </c>
      <c r="AR30" s="7"/>
      <c r="AS30" s="45">
        <f t="shared" si="15"/>
        <v>0</v>
      </c>
      <c r="AT30" s="7"/>
      <c r="AU30" s="7"/>
      <c r="AV30" s="7"/>
      <c r="AW30" s="7">
        <f t="shared" si="16"/>
        <v>0</v>
      </c>
      <c r="AX30" s="7"/>
      <c r="AY30" s="45">
        <f t="shared" si="17"/>
        <v>0</v>
      </c>
      <c r="AZ30" s="7"/>
      <c r="BA30" s="7"/>
      <c r="BB30" s="7"/>
      <c r="BC30" s="7">
        <f t="shared" si="18"/>
        <v>0</v>
      </c>
      <c r="BD30" s="7"/>
      <c r="BE30" s="45">
        <f t="shared" si="19"/>
        <v>0</v>
      </c>
      <c r="BF30" s="7"/>
      <c r="BG30" s="7"/>
      <c r="BH30" s="7"/>
      <c r="BI30" s="7">
        <f t="shared" si="20"/>
        <v>0</v>
      </c>
      <c r="BJ30" s="7"/>
      <c r="BK30" s="45">
        <f t="shared" si="21"/>
        <v>0</v>
      </c>
      <c r="BL30" s="7"/>
      <c r="BM30" s="7"/>
      <c r="BN30" s="7"/>
      <c r="BO30" s="7">
        <f t="shared" si="22"/>
        <v>0</v>
      </c>
      <c r="BP30" s="7"/>
      <c r="BQ30" s="45">
        <f t="shared" si="23"/>
        <v>0</v>
      </c>
      <c r="BR30" s="7"/>
      <c r="BS30" s="7"/>
      <c r="BT30" s="7"/>
      <c r="BU30" s="7">
        <f t="shared" si="24"/>
        <v>0</v>
      </c>
      <c r="BV30" s="7"/>
      <c r="BW30" s="45">
        <f t="shared" si="25"/>
        <v>0</v>
      </c>
      <c r="BX30" s="7"/>
      <c r="BY30" s="7"/>
      <c r="BZ30" s="7"/>
      <c r="CA30" s="7">
        <f t="shared" si="26"/>
        <v>0</v>
      </c>
      <c r="CB30" s="7"/>
      <c r="CC30" s="45">
        <f t="shared" si="27"/>
        <v>0</v>
      </c>
      <c r="CD30" s="7"/>
      <c r="CE30" s="7"/>
      <c r="CF30" s="7"/>
      <c r="CG30" s="7">
        <f t="shared" si="28"/>
        <v>0</v>
      </c>
      <c r="CH30" s="7"/>
      <c r="CI30" s="45">
        <f t="shared" si="29"/>
        <v>0</v>
      </c>
      <c r="CJ30" s="7"/>
      <c r="CK30" s="7"/>
      <c r="CL30" s="7"/>
      <c r="CM30" s="7">
        <f t="shared" si="30"/>
        <v>0</v>
      </c>
      <c r="CN30" s="7"/>
      <c r="CO30" s="45">
        <f t="shared" si="31"/>
        <v>0</v>
      </c>
      <c r="CP30" s="7"/>
      <c r="CQ30" s="7"/>
      <c r="CR30" s="7"/>
      <c r="CS30" s="7">
        <f t="shared" si="32"/>
        <v>0</v>
      </c>
      <c r="CT30" s="7"/>
      <c r="CU30" s="45">
        <f t="shared" si="33"/>
        <v>0</v>
      </c>
      <c r="CV30" s="7"/>
      <c r="CW30" s="7"/>
      <c r="CX30" s="7"/>
      <c r="CY30" s="7">
        <f t="shared" si="34"/>
        <v>0</v>
      </c>
      <c r="CZ30" s="7"/>
      <c r="DA30" s="45">
        <f t="shared" si="35"/>
        <v>0</v>
      </c>
      <c r="DB30" s="7"/>
      <c r="DC30" s="7"/>
      <c r="DD30" s="7"/>
      <c r="DE30" s="7">
        <f t="shared" si="36"/>
        <v>0</v>
      </c>
      <c r="DF30" s="7">
        <v>1.0</v>
      </c>
      <c r="DG30" s="45">
        <f t="shared" si="37"/>
        <v>0</v>
      </c>
      <c r="DH30" s="7"/>
      <c r="DI30" s="7"/>
      <c r="DJ30" s="7"/>
      <c r="DK30" s="7">
        <f t="shared" si="38"/>
        <v>0</v>
      </c>
      <c r="DL30" s="7">
        <v>1.0</v>
      </c>
      <c r="DM30" s="45">
        <f t="shared" si="39"/>
        <v>0</v>
      </c>
      <c r="DN30" s="7"/>
      <c r="DO30" s="7"/>
      <c r="DP30" s="7"/>
      <c r="DQ30" s="7">
        <f t="shared" si="40"/>
        <v>0</v>
      </c>
      <c r="DR30" s="7">
        <v>1.0</v>
      </c>
      <c r="DS30" s="45">
        <f t="shared" si="41"/>
        <v>0</v>
      </c>
      <c r="DT30" s="7"/>
      <c r="DU30" s="7"/>
      <c r="DV30" s="7"/>
      <c r="DW30" s="7">
        <f t="shared" si="42"/>
        <v>0</v>
      </c>
      <c r="DX30" s="7">
        <v>1.0</v>
      </c>
      <c r="DY30" s="45">
        <f t="shared" si="43"/>
        <v>0</v>
      </c>
      <c r="DZ30" s="7"/>
      <c r="EA30" s="7"/>
      <c r="EB30" s="7"/>
      <c r="EC30" s="7">
        <f t="shared" si="44"/>
        <v>0</v>
      </c>
      <c r="ED30" s="7">
        <v>1.0</v>
      </c>
      <c r="EE30" s="45">
        <f t="shared" si="45"/>
        <v>0</v>
      </c>
      <c r="EF30" s="7"/>
      <c r="EG30" s="7"/>
      <c r="EH30" s="7"/>
      <c r="EI30" s="7">
        <f t="shared" si="46"/>
        <v>0</v>
      </c>
      <c r="EJ30" s="7">
        <v>1.0</v>
      </c>
      <c r="EK30" s="45">
        <f t="shared" si="47"/>
        <v>0</v>
      </c>
      <c r="EL30" s="7"/>
      <c r="EM30" s="7"/>
      <c r="EN30" s="7"/>
      <c r="EO30" s="7">
        <f t="shared" si="48"/>
        <v>0</v>
      </c>
      <c r="EP30" s="7">
        <v>1.0</v>
      </c>
      <c r="EQ30" s="45">
        <f t="shared" si="49"/>
        <v>0</v>
      </c>
      <c r="ER30" s="7"/>
      <c r="ES30" s="7"/>
      <c r="ET30" s="7"/>
      <c r="EU30" s="7">
        <f t="shared" si="50"/>
        <v>0</v>
      </c>
      <c r="EV30" s="7">
        <v>1.0</v>
      </c>
      <c r="EW30" s="45">
        <f t="shared" si="51"/>
        <v>0</v>
      </c>
      <c r="EX30" s="7"/>
      <c r="EY30" s="7"/>
      <c r="EZ30" s="7"/>
      <c r="FA30" s="7">
        <f t="shared" si="52"/>
        <v>0</v>
      </c>
      <c r="FB30" s="7">
        <v>1.0</v>
      </c>
      <c r="FC30" s="45">
        <f t="shared" si="53"/>
        <v>0</v>
      </c>
      <c r="FD30" s="41"/>
      <c r="FE30" s="41"/>
      <c r="FF30" s="41"/>
      <c r="FG30" s="41">
        <f t="shared" si="54"/>
        <v>0</v>
      </c>
      <c r="FH30" s="41">
        <v>1.0</v>
      </c>
      <c r="FI30" s="42">
        <f t="shared" si="55"/>
        <v>0</v>
      </c>
      <c r="FJ30" s="41"/>
      <c r="FK30" s="41"/>
      <c r="FL30" s="41"/>
      <c r="FM30" s="41">
        <f t="shared" si="56"/>
        <v>0</v>
      </c>
      <c r="FN30" s="41">
        <v>1.0</v>
      </c>
      <c r="FO30" s="42">
        <f t="shared" si="57"/>
        <v>0</v>
      </c>
      <c r="FP30" s="7"/>
      <c r="FQ30" s="7"/>
      <c r="FR30" s="7"/>
      <c r="FS30" s="7">
        <f t="shared" si="58"/>
        <v>0</v>
      </c>
      <c r="FT30" s="7">
        <v>1.0</v>
      </c>
      <c r="FU30" s="45">
        <f t="shared" si="59"/>
        <v>0</v>
      </c>
      <c r="FV30" s="7"/>
      <c r="FW30" s="7"/>
      <c r="FX30" s="7"/>
      <c r="FY30" s="7">
        <f t="shared" si="60"/>
        <v>0</v>
      </c>
      <c r="FZ30" s="7">
        <v>1.0</v>
      </c>
      <c r="GA30" s="45">
        <f t="shared" si="61"/>
        <v>0</v>
      </c>
      <c r="GB30" s="7"/>
      <c r="GC30" s="7"/>
      <c r="GD30" s="7"/>
      <c r="GE30" s="7">
        <f t="shared" si="62"/>
        <v>0</v>
      </c>
      <c r="GF30" s="7">
        <v>1.0</v>
      </c>
      <c r="GG30" s="45">
        <f t="shared" si="63"/>
        <v>0</v>
      </c>
      <c r="GH30" s="7"/>
      <c r="GI30" s="7"/>
      <c r="GJ30" s="7"/>
      <c r="GK30" s="7">
        <f t="shared" si="64"/>
        <v>0</v>
      </c>
      <c r="GL30" s="7">
        <v>1.0</v>
      </c>
      <c r="GM30" s="45">
        <f t="shared" si="65"/>
        <v>0</v>
      </c>
      <c r="GN30" s="41"/>
      <c r="GO30" s="41"/>
      <c r="GP30" s="41"/>
      <c r="GQ30" s="41">
        <f t="shared" si="66"/>
        <v>0</v>
      </c>
      <c r="GR30" s="41">
        <v>1.0</v>
      </c>
      <c r="GS30" s="42">
        <f t="shared" si="67"/>
        <v>0</v>
      </c>
      <c r="GT30" s="7"/>
      <c r="GU30" s="7"/>
      <c r="GV30" s="7"/>
      <c r="GW30" s="7">
        <f t="shared" si="68"/>
        <v>0</v>
      </c>
      <c r="GX30" s="7">
        <v>1.0</v>
      </c>
      <c r="GY30" s="45">
        <f t="shared" si="69"/>
        <v>0</v>
      </c>
      <c r="GZ30" s="7"/>
      <c r="HA30" s="7"/>
      <c r="HB30" s="7"/>
      <c r="HC30" s="7">
        <f t="shared" si="70"/>
        <v>0</v>
      </c>
      <c r="HD30" s="7">
        <v>1.0</v>
      </c>
      <c r="HE30" s="45">
        <f t="shared" si="71"/>
        <v>0</v>
      </c>
      <c r="HF30" s="7"/>
      <c r="HG30" s="7"/>
      <c r="HH30" s="7"/>
      <c r="HI30" s="7">
        <f t="shared" si="72"/>
        <v>0</v>
      </c>
      <c r="HJ30" s="7">
        <v>1.0</v>
      </c>
      <c r="HK30" s="45">
        <f t="shared" si="73"/>
        <v>0</v>
      </c>
      <c r="HL30" s="7"/>
      <c r="HM30" s="7"/>
      <c r="HN30" s="7"/>
      <c r="HO30" s="7">
        <f t="shared" si="74"/>
        <v>0</v>
      </c>
      <c r="HP30" s="7">
        <v>1.0</v>
      </c>
      <c r="HQ30" s="45">
        <f t="shared" si="75"/>
        <v>0</v>
      </c>
      <c r="HR30" s="7"/>
      <c r="HS30" s="7"/>
      <c r="HT30" s="7"/>
      <c r="HU30" s="7">
        <f t="shared" si="76"/>
        <v>0</v>
      </c>
      <c r="HV30" s="7">
        <v>1.0</v>
      </c>
      <c r="HW30" s="45">
        <f t="shared" si="77"/>
        <v>0</v>
      </c>
      <c r="HX30" s="7"/>
      <c r="HY30" s="7"/>
      <c r="HZ30" s="7"/>
      <c r="IA30" s="7">
        <f t="shared" si="78"/>
        <v>0</v>
      </c>
      <c r="IB30" s="7">
        <v>1.0</v>
      </c>
      <c r="IC30" s="45">
        <f t="shared" si="79"/>
        <v>0</v>
      </c>
      <c r="ID30" s="7"/>
      <c r="IE30" s="7"/>
      <c r="IF30" s="7"/>
      <c r="IG30" s="7">
        <f t="shared" si="80"/>
        <v>0</v>
      </c>
      <c r="IH30" s="7">
        <v>1.0</v>
      </c>
      <c r="II30" s="45">
        <f t="shared" si="81"/>
        <v>0</v>
      </c>
      <c r="IJ30" s="7"/>
      <c r="IK30" s="7"/>
      <c r="IL30" s="7"/>
      <c r="IM30" s="7">
        <f t="shared" si="82"/>
        <v>0</v>
      </c>
      <c r="IN30" s="7">
        <v>1.0</v>
      </c>
      <c r="IO30" s="45">
        <f t="shared" si="83"/>
        <v>0</v>
      </c>
    </row>
    <row r="31">
      <c r="A31" s="36" t="s">
        <v>52</v>
      </c>
      <c r="B31" s="21" t="s">
        <v>53</v>
      </c>
      <c r="C31" s="1">
        <f t="shared" si="1"/>
        <v>26</v>
      </c>
      <c r="D31" s="15">
        <f>VLOOKUP(A31,TDP!A:C,3,FALSE)</f>
        <v>0.35</v>
      </c>
      <c r="E31" s="38">
        <f t="shared" si="2"/>
        <v>13.5</v>
      </c>
      <c r="F31" s="7"/>
      <c r="G31" s="39">
        <f t="shared" si="3"/>
        <v>0</v>
      </c>
      <c r="H31" s="7"/>
      <c r="I31" s="7"/>
      <c r="J31" s="7"/>
      <c r="K31" s="7">
        <f t="shared" si="4"/>
        <v>0</v>
      </c>
      <c r="L31" s="7"/>
      <c r="M31" s="45">
        <f t="shared" si="5"/>
        <v>0</v>
      </c>
      <c r="N31" s="41"/>
      <c r="O31" s="41"/>
      <c r="P31" s="41"/>
      <c r="Q31" s="42">
        <f t="shared" si="6"/>
        <v>0</v>
      </c>
      <c r="R31" s="41"/>
      <c r="S31" s="41"/>
      <c r="T31" s="41"/>
      <c r="U31" s="42">
        <f t="shared" si="7"/>
        <v>0</v>
      </c>
      <c r="V31" s="7"/>
      <c r="W31" s="7"/>
      <c r="X31" s="7"/>
      <c r="Y31" s="7">
        <f t="shared" si="8"/>
        <v>0</v>
      </c>
      <c r="Z31" s="7"/>
      <c r="AA31" s="45">
        <f t="shared" si="9"/>
        <v>0</v>
      </c>
      <c r="AB31" s="7"/>
      <c r="AC31" s="7"/>
      <c r="AD31" s="7"/>
      <c r="AE31" s="7">
        <f t="shared" si="10"/>
        <v>0</v>
      </c>
      <c r="AF31" s="7"/>
      <c r="AG31" s="45">
        <f t="shared" si="11"/>
        <v>0</v>
      </c>
      <c r="AH31" s="7"/>
      <c r="AI31" s="7"/>
      <c r="AJ31" s="7"/>
      <c r="AK31" s="7">
        <f t="shared" si="12"/>
        <v>0</v>
      </c>
      <c r="AL31" s="7"/>
      <c r="AM31" s="45">
        <f t="shared" si="13"/>
        <v>0</v>
      </c>
      <c r="AN31" s="7"/>
      <c r="AO31" s="7"/>
      <c r="AP31" s="7"/>
      <c r="AQ31" s="7">
        <f t="shared" si="14"/>
        <v>0</v>
      </c>
      <c r="AR31" s="7"/>
      <c r="AS31" s="45">
        <f t="shared" si="15"/>
        <v>0</v>
      </c>
      <c r="AT31" s="7"/>
      <c r="AU31" s="7"/>
      <c r="AV31" s="7"/>
      <c r="AW31" s="7">
        <f t="shared" si="16"/>
        <v>0</v>
      </c>
      <c r="AX31" s="7"/>
      <c r="AY31" s="45">
        <f t="shared" si="17"/>
        <v>0</v>
      </c>
      <c r="AZ31" s="7"/>
      <c r="BA31" s="7"/>
      <c r="BB31" s="7"/>
      <c r="BC31" s="7">
        <f t="shared" si="18"/>
        <v>0</v>
      </c>
      <c r="BD31" s="7"/>
      <c r="BE31" s="45">
        <f t="shared" si="19"/>
        <v>0</v>
      </c>
      <c r="BF31" s="7"/>
      <c r="BG31" s="7"/>
      <c r="BH31" s="7"/>
      <c r="BI31" s="7">
        <f t="shared" si="20"/>
        <v>0</v>
      </c>
      <c r="BJ31" s="7"/>
      <c r="BK31" s="45">
        <f t="shared" si="21"/>
        <v>0</v>
      </c>
      <c r="BL31" s="7"/>
      <c r="BM31" s="7"/>
      <c r="BN31" s="7"/>
      <c r="BO31" s="7">
        <f t="shared" si="22"/>
        <v>0</v>
      </c>
      <c r="BP31" s="7"/>
      <c r="BQ31" s="45">
        <f t="shared" si="23"/>
        <v>0</v>
      </c>
      <c r="BR31" s="7">
        <v>1.0</v>
      </c>
      <c r="BS31" s="7">
        <v>1.0</v>
      </c>
      <c r="BT31" s="7">
        <v>1.0</v>
      </c>
      <c r="BU31" s="7">
        <f t="shared" si="24"/>
        <v>5</v>
      </c>
      <c r="BV31" s="7">
        <v>1.0</v>
      </c>
      <c r="BW31" s="45">
        <f t="shared" si="25"/>
        <v>5</v>
      </c>
      <c r="BX31" s="7"/>
      <c r="BY31" s="7"/>
      <c r="BZ31" s="7"/>
      <c r="CA31" s="7">
        <f t="shared" si="26"/>
        <v>0</v>
      </c>
      <c r="CB31" s="7"/>
      <c r="CC31" s="45">
        <f t="shared" si="27"/>
        <v>0</v>
      </c>
      <c r="CD31" s="7"/>
      <c r="CE31" s="7"/>
      <c r="CF31" s="7"/>
      <c r="CG31" s="7">
        <f t="shared" si="28"/>
        <v>0</v>
      </c>
      <c r="CH31" s="7"/>
      <c r="CI31" s="45">
        <f t="shared" si="29"/>
        <v>0</v>
      </c>
      <c r="CJ31" s="7"/>
      <c r="CK31" s="7"/>
      <c r="CL31" s="7"/>
      <c r="CM31" s="7">
        <f t="shared" si="30"/>
        <v>0</v>
      </c>
      <c r="CN31" s="7"/>
      <c r="CO31" s="45">
        <f t="shared" si="31"/>
        <v>0</v>
      </c>
      <c r="CP31" s="7"/>
      <c r="CQ31" s="7"/>
      <c r="CR31" s="7"/>
      <c r="CS31" s="7">
        <f t="shared" si="32"/>
        <v>0</v>
      </c>
      <c r="CT31" s="7"/>
      <c r="CU31" s="45">
        <f t="shared" si="33"/>
        <v>0</v>
      </c>
      <c r="CV31" s="7"/>
      <c r="CW31" s="7"/>
      <c r="CX31" s="7"/>
      <c r="CY31" s="7">
        <f t="shared" si="34"/>
        <v>0</v>
      </c>
      <c r="CZ31" s="7"/>
      <c r="DA31" s="45">
        <f t="shared" si="35"/>
        <v>0</v>
      </c>
      <c r="DB31" s="7"/>
      <c r="DC31" s="7"/>
      <c r="DD31" s="7"/>
      <c r="DE31" s="7">
        <f t="shared" si="36"/>
        <v>0</v>
      </c>
      <c r="DF31" s="7">
        <v>1.0</v>
      </c>
      <c r="DG31" s="45">
        <f t="shared" si="37"/>
        <v>0</v>
      </c>
      <c r="DH31" s="7"/>
      <c r="DI31" s="7"/>
      <c r="DJ31" s="7"/>
      <c r="DK31" s="7">
        <f t="shared" si="38"/>
        <v>0</v>
      </c>
      <c r="DL31" s="7">
        <v>1.0</v>
      </c>
      <c r="DM31" s="45">
        <f t="shared" si="39"/>
        <v>0</v>
      </c>
      <c r="DN31" s="7"/>
      <c r="DO31" s="7"/>
      <c r="DP31" s="7"/>
      <c r="DQ31" s="7">
        <f t="shared" si="40"/>
        <v>0</v>
      </c>
      <c r="DR31" s="7">
        <v>1.0</v>
      </c>
      <c r="DS31" s="45">
        <f t="shared" si="41"/>
        <v>0</v>
      </c>
      <c r="DT31" s="7"/>
      <c r="DU31" s="7"/>
      <c r="DV31" s="7"/>
      <c r="DW31" s="7">
        <f t="shared" si="42"/>
        <v>0</v>
      </c>
      <c r="DX31" s="7">
        <v>1.0</v>
      </c>
      <c r="DY31" s="45">
        <f t="shared" si="43"/>
        <v>0</v>
      </c>
      <c r="DZ31" s="7"/>
      <c r="EA31" s="7"/>
      <c r="EB31" s="7"/>
      <c r="EC31" s="7">
        <f t="shared" si="44"/>
        <v>0</v>
      </c>
      <c r="ED31" s="7">
        <v>1.0</v>
      </c>
      <c r="EE31" s="45">
        <f t="shared" si="45"/>
        <v>0</v>
      </c>
      <c r="EF31" s="7"/>
      <c r="EG31" s="7"/>
      <c r="EH31" s="7"/>
      <c r="EI31" s="7">
        <f t="shared" si="46"/>
        <v>0</v>
      </c>
      <c r="EJ31" s="7">
        <v>1.0</v>
      </c>
      <c r="EK31" s="45">
        <f t="shared" si="47"/>
        <v>0</v>
      </c>
      <c r="EL31" s="7"/>
      <c r="EM31" s="7"/>
      <c r="EN31" s="7"/>
      <c r="EO31" s="7">
        <f t="shared" si="48"/>
        <v>0</v>
      </c>
      <c r="EP31" s="7">
        <v>1.0</v>
      </c>
      <c r="EQ31" s="45">
        <f t="shared" si="49"/>
        <v>0</v>
      </c>
      <c r="ER31" s="7"/>
      <c r="ES31" s="7"/>
      <c r="ET31" s="7"/>
      <c r="EU31" s="7">
        <f t="shared" si="50"/>
        <v>0</v>
      </c>
      <c r="EV31" s="7">
        <v>1.0</v>
      </c>
      <c r="EW31" s="45">
        <f t="shared" si="51"/>
        <v>0</v>
      </c>
      <c r="EX31" s="7"/>
      <c r="EY31" s="7"/>
      <c r="EZ31" s="7"/>
      <c r="FA31" s="7">
        <f t="shared" si="52"/>
        <v>0</v>
      </c>
      <c r="FB31" s="7">
        <v>1.0</v>
      </c>
      <c r="FC31" s="45">
        <f t="shared" si="53"/>
        <v>0</v>
      </c>
      <c r="FD31" s="41"/>
      <c r="FE31" s="41"/>
      <c r="FF31" s="41"/>
      <c r="FG31" s="41">
        <f t="shared" si="54"/>
        <v>0</v>
      </c>
      <c r="FH31" s="41">
        <v>1.0</v>
      </c>
      <c r="FI31" s="42">
        <f t="shared" si="55"/>
        <v>0</v>
      </c>
      <c r="FJ31" s="41"/>
      <c r="FK31" s="41"/>
      <c r="FL31" s="41"/>
      <c r="FM31" s="41">
        <f t="shared" si="56"/>
        <v>0</v>
      </c>
      <c r="FN31" s="41">
        <v>1.0</v>
      </c>
      <c r="FO31" s="42">
        <f t="shared" si="57"/>
        <v>0</v>
      </c>
      <c r="FP31" s="7"/>
      <c r="FQ31" s="7"/>
      <c r="FR31" s="7"/>
      <c r="FS31" s="7">
        <f t="shared" si="58"/>
        <v>0</v>
      </c>
      <c r="FT31" s="7">
        <v>1.0</v>
      </c>
      <c r="FU31" s="45">
        <f t="shared" si="59"/>
        <v>0</v>
      </c>
      <c r="FV31" s="7"/>
      <c r="FW31" s="7"/>
      <c r="FX31" s="7"/>
      <c r="FY31" s="7">
        <f t="shared" si="60"/>
        <v>0</v>
      </c>
      <c r="FZ31" s="7">
        <v>1.0</v>
      </c>
      <c r="GA31" s="45">
        <f t="shared" si="61"/>
        <v>0</v>
      </c>
      <c r="GB31" s="7"/>
      <c r="GC31" s="7"/>
      <c r="GD31" s="7"/>
      <c r="GE31" s="7">
        <f t="shared" si="62"/>
        <v>0</v>
      </c>
      <c r="GF31" s="7">
        <v>1.0</v>
      </c>
      <c r="GG31" s="45">
        <f t="shared" si="63"/>
        <v>0</v>
      </c>
      <c r="GH31" s="7"/>
      <c r="GI31" s="7"/>
      <c r="GJ31" s="7"/>
      <c r="GK31" s="7">
        <f t="shared" si="64"/>
        <v>0</v>
      </c>
      <c r="GL31" s="7">
        <v>1.0</v>
      </c>
      <c r="GM31" s="45">
        <f t="shared" si="65"/>
        <v>0</v>
      </c>
      <c r="GN31" s="41"/>
      <c r="GO31" s="41"/>
      <c r="GP31" s="41"/>
      <c r="GQ31" s="41">
        <f t="shared" si="66"/>
        <v>0</v>
      </c>
      <c r="GR31" s="41">
        <v>1.0</v>
      </c>
      <c r="GS31" s="42">
        <f t="shared" si="67"/>
        <v>0</v>
      </c>
      <c r="GT31" s="7"/>
      <c r="GU31" s="7"/>
      <c r="GV31" s="7"/>
      <c r="GW31" s="7">
        <f t="shared" si="68"/>
        <v>0</v>
      </c>
      <c r="GX31" s="7">
        <v>1.0</v>
      </c>
      <c r="GY31" s="45">
        <f t="shared" si="69"/>
        <v>0</v>
      </c>
      <c r="GZ31" s="7"/>
      <c r="HA31" s="7"/>
      <c r="HB31" s="7"/>
      <c r="HC31" s="7">
        <f t="shared" si="70"/>
        <v>0</v>
      </c>
      <c r="HD31" s="7">
        <v>1.0</v>
      </c>
      <c r="HE31" s="45">
        <f t="shared" si="71"/>
        <v>0</v>
      </c>
      <c r="HF31" s="7">
        <v>1.0</v>
      </c>
      <c r="HG31" s="7">
        <v>1.0</v>
      </c>
      <c r="HH31" s="7">
        <v>1.0</v>
      </c>
      <c r="HI31" s="7">
        <f t="shared" si="72"/>
        <v>5</v>
      </c>
      <c r="HJ31" s="7">
        <v>1.0</v>
      </c>
      <c r="HK31" s="45">
        <f t="shared" si="73"/>
        <v>5</v>
      </c>
      <c r="HL31" s="7"/>
      <c r="HM31" s="7"/>
      <c r="HN31" s="7"/>
      <c r="HO31" s="7">
        <f t="shared" si="74"/>
        <v>0</v>
      </c>
      <c r="HP31" s="7">
        <v>1.0</v>
      </c>
      <c r="HQ31" s="45">
        <f t="shared" si="75"/>
        <v>0</v>
      </c>
      <c r="HR31" s="7"/>
      <c r="HS31" s="7"/>
      <c r="HT31" s="7"/>
      <c r="HU31" s="7">
        <f t="shared" si="76"/>
        <v>0</v>
      </c>
      <c r="HV31" s="7">
        <v>1.0</v>
      </c>
      <c r="HW31" s="45">
        <f t="shared" si="77"/>
        <v>0</v>
      </c>
      <c r="HX31" s="7"/>
      <c r="HY31" s="7"/>
      <c r="HZ31" s="7"/>
      <c r="IA31" s="7">
        <f t="shared" si="78"/>
        <v>0</v>
      </c>
      <c r="IB31" s="7">
        <v>1.0</v>
      </c>
      <c r="IC31" s="45">
        <f t="shared" si="79"/>
        <v>0</v>
      </c>
      <c r="ID31" s="7"/>
      <c r="IE31" s="7"/>
      <c r="IF31" s="7"/>
      <c r="IG31" s="7">
        <f t="shared" si="80"/>
        <v>0</v>
      </c>
      <c r="IH31" s="7">
        <v>1.0</v>
      </c>
      <c r="II31" s="45">
        <f t="shared" si="81"/>
        <v>0</v>
      </c>
      <c r="IJ31" s="7"/>
      <c r="IK31" s="7"/>
      <c r="IL31" s="7"/>
      <c r="IM31" s="7">
        <f t="shared" si="82"/>
        <v>0</v>
      </c>
      <c r="IN31" s="7">
        <v>1.0</v>
      </c>
      <c r="IO31" s="45">
        <f t="shared" si="83"/>
        <v>0</v>
      </c>
    </row>
    <row r="32">
      <c r="A32" s="36" t="s">
        <v>169</v>
      </c>
      <c r="B32" s="21"/>
      <c r="C32" s="1">
        <f t="shared" si="1"/>
        <v>27</v>
      </c>
      <c r="D32" s="15">
        <f>VLOOKUP(A32,TDP!A:C,3,FALSE)</f>
        <v>0.25</v>
      </c>
      <c r="E32" s="38">
        <f t="shared" si="2"/>
        <v>10</v>
      </c>
      <c r="F32" s="7"/>
      <c r="G32" s="39">
        <f t="shared" si="3"/>
        <v>0</v>
      </c>
      <c r="H32" s="7">
        <v>1.0</v>
      </c>
      <c r="I32" s="7">
        <v>1.0</v>
      </c>
      <c r="J32" s="7">
        <v>1.0</v>
      </c>
      <c r="K32" s="7">
        <f t="shared" si="4"/>
        <v>5</v>
      </c>
      <c r="L32" s="7">
        <v>1.0</v>
      </c>
      <c r="M32" s="45">
        <f t="shared" si="5"/>
        <v>5</v>
      </c>
      <c r="N32" s="41"/>
      <c r="O32" s="41"/>
      <c r="P32" s="41"/>
      <c r="Q32" s="42">
        <f t="shared" si="6"/>
        <v>0</v>
      </c>
      <c r="R32" s="41"/>
      <c r="S32" s="41"/>
      <c r="T32" s="41"/>
      <c r="U32" s="42">
        <f t="shared" si="7"/>
        <v>0</v>
      </c>
      <c r="V32" s="7"/>
      <c r="W32" s="7"/>
      <c r="X32" s="7"/>
      <c r="Y32" s="7">
        <f t="shared" si="8"/>
        <v>0</v>
      </c>
      <c r="Z32" s="7"/>
      <c r="AA32" s="45">
        <f t="shared" si="9"/>
        <v>0</v>
      </c>
      <c r="AB32" s="7"/>
      <c r="AC32" s="7"/>
      <c r="AD32" s="7"/>
      <c r="AE32" s="7">
        <f t="shared" si="10"/>
        <v>0</v>
      </c>
      <c r="AF32" s="7"/>
      <c r="AG32" s="45">
        <f t="shared" si="11"/>
        <v>0</v>
      </c>
      <c r="AH32" s="7"/>
      <c r="AI32" s="7"/>
      <c r="AJ32" s="7"/>
      <c r="AK32" s="7">
        <f t="shared" si="12"/>
        <v>0</v>
      </c>
      <c r="AL32" s="7"/>
      <c r="AM32" s="45">
        <f t="shared" si="13"/>
        <v>0</v>
      </c>
      <c r="AN32" s="7"/>
      <c r="AO32" s="7"/>
      <c r="AP32" s="7"/>
      <c r="AQ32" s="7">
        <f t="shared" si="14"/>
        <v>0</v>
      </c>
      <c r="AR32" s="7"/>
      <c r="AS32" s="45">
        <f t="shared" si="15"/>
        <v>0</v>
      </c>
      <c r="AT32" s="7"/>
      <c r="AU32" s="7"/>
      <c r="AV32" s="7"/>
      <c r="AW32" s="7">
        <f t="shared" si="16"/>
        <v>0</v>
      </c>
      <c r="AX32" s="7"/>
      <c r="AY32" s="45">
        <f t="shared" si="17"/>
        <v>0</v>
      </c>
      <c r="AZ32" s="7"/>
      <c r="BA32" s="7"/>
      <c r="BB32" s="7"/>
      <c r="BC32" s="7">
        <f t="shared" si="18"/>
        <v>0</v>
      </c>
      <c r="BD32" s="7"/>
      <c r="BE32" s="45">
        <f t="shared" si="19"/>
        <v>0</v>
      </c>
      <c r="BF32" s="7"/>
      <c r="BG32" s="7"/>
      <c r="BH32" s="7"/>
      <c r="BI32" s="7">
        <f t="shared" si="20"/>
        <v>0</v>
      </c>
      <c r="BJ32" s="7"/>
      <c r="BK32" s="45">
        <f t="shared" si="21"/>
        <v>0</v>
      </c>
      <c r="BL32" s="7"/>
      <c r="BM32" s="7"/>
      <c r="BN32" s="7"/>
      <c r="BO32" s="7">
        <f t="shared" si="22"/>
        <v>0</v>
      </c>
      <c r="BP32" s="7"/>
      <c r="BQ32" s="45">
        <f t="shared" si="23"/>
        <v>0</v>
      </c>
      <c r="BR32" s="7"/>
      <c r="BS32" s="7"/>
      <c r="BT32" s="7"/>
      <c r="BU32" s="7">
        <f t="shared" si="24"/>
        <v>0</v>
      </c>
      <c r="BV32" s="7"/>
      <c r="BW32" s="45">
        <f t="shared" si="25"/>
        <v>0</v>
      </c>
      <c r="BX32" s="7"/>
      <c r="BY32" s="7"/>
      <c r="BZ32" s="7"/>
      <c r="CA32" s="7">
        <f t="shared" si="26"/>
        <v>0</v>
      </c>
      <c r="CB32" s="7"/>
      <c r="CC32" s="45">
        <f t="shared" si="27"/>
        <v>0</v>
      </c>
      <c r="CD32" s="7"/>
      <c r="CE32" s="7"/>
      <c r="CF32" s="7"/>
      <c r="CG32" s="7">
        <f t="shared" si="28"/>
        <v>0</v>
      </c>
      <c r="CH32" s="7"/>
      <c r="CI32" s="45">
        <f t="shared" si="29"/>
        <v>0</v>
      </c>
      <c r="CJ32" s="7"/>
      <c r="CK32" s="7"/>
      <c r="CL32" s="7"/>
      <c r="CM32" s="7">
        <f t="shared" si="30"/>
        <v>0</v>
      </c>
      <c r="CN32" s="7"/>
      <c r="CO32" s="45">
        <f t="shared" si="31"/>
        <v>0</v>
      </c>
      <c r="CP32" s="7"/>
      <c r="CQ32" s="7"/>
      <c r="CR32" s="7"/>
      <c r="CS32" s="7">
        <f t="shared" si="32"/>
        <v>0</v>
      </c>
      <c r="CT32" s="7"/>
      <c r="CU32" s="45">
        <f t="shared" si="33"/>
        <v>0</v>
      </c>
      <c r="CV32" s="7"/>
      <c r="CW32" s="7"/>
      <c r="CX32" s="7"/>
      <c r="CY32" s="7">
        <f t="shared" si="34"/>
        <v>0</v>
      </c>
      <c r="CZ32" s="7"/>
      <c r="DA32" s="45">
        <f t="shared" si="35"/>
        <v>0</v>
      </c>
      <c r="DB32" s="7"/>
      <c r="DC32" s="7"/>
      <c r="DD32" s="7"/>
      <c r="DE32" s="7">
        <f t="shared" si="36"/>
        <v>0</v>
      </c>
      <c r="DF32" s="7">
        <v>1.0</v>
      </c>
      <c r="DG32" s="45">
        <f t="shared" si="37"/>
        <v>0</v>
      </c>
      <c r="DH32" s="7"/>
      <c r="DI32" s="7"/>
      <c r="DJ32" s="7"/>
      <c r="DK32" s="7">
        <f t="shared" si="38"/>
        <v>0</v>
      </c>
      <c r="DL32" s="7">
        <v>1.0</v>
      </c>
      <c r="DM32" s="45">
        <f t="shared" si="39"/>
        <v>0</v>
      </c>
      <c r="DN32" s="7"/>
      <c r="DO32" s="7"/>
      <c r="DP32" s="7"/>
      <c r="DQ32" s="7">
        <f t="shared" si="40"/>
        <v>0</v>
      </c>
      <c r="DR32" s="7">
        <v>1.0</v>
      </c>
      <c r="DS32" s="45">
        <f t="shared" si="41"/>
        <v>0</v>
      </c>
      <c r="DT32" s="7"/>
      <c r="DU32" s="7"/>
      <c r="DV32" s="7"/>
      <c r="DW32" s="7">
        <f t="shared" si="42"/>
        <v>0</v>
      </c>
      <c r="DX32" s="7">
        <v>1.0</v>
      </c>
      <c r="DY32" s="45">
        <f t="shared" si="43"/>
        <v>0</v>
      </c>
      <c r="DZ32" s="7"/>
      <c r="EA32" s="7"/>
      <c r="EB32" s="7"/>
      <c r="EC32" s="7">
        <f t="shared" si="44"/>
        <v>0</v>
      </c>
      <c r="ED32" s="7">
        <v>1.0</v>
      </c>
      <c r="EE32" s="45">
        <f t="shared" si="45"/>
        <v>0</v>
      </c>
      <c r="EF32" s="7"/>
      <c r="EG32" s="7"/>
      <c r="EH32" s="7"/>
      <c r="EI32" s="7">
        <f t="shared" si="46"/>
        <v>0</v>
      </c>
      <c r="EJ32" s="7">
        <v>1.0</v>
      </c>
      <c r="EK32" s="45">
        <f t="shared" si="47"/>
        <v>0</v>
      </c>
      <c r="EL32" s="7"/>
      <c r="EM32" s="7"/>
      <c r="EN32" s="7"/>
      <c r="EO32" s="7">
        <f t="shared" si="48"/>
        <v>0</v>
      </c>
      <c r="EP32" s="7">
        <v>1.0</v>
      </c>
      <c r="EQ32" s="45">
        <f t="shared" si="49"/>
        <v>0</v>
      </c>
      <c r="ER32" s="7"/>
      <c r="ES32" s="7"/>
      <c r="ET32" s="7"/>
      <c r="EU32" s="7">
        <f t="shared" si="50"/>
        <v>0</v>
      </c>
      <c r="EV32" s="7">
        <v>1.0</v>
      </c>
      <c r="EW32" s="45">
        <f t="shared" si="51"/>
        <v>0</v>
      </c>
      <c r="EX32" s="7"/>
      <c r="EY32" s="7"/>
      <c r="EZ32" s="7"/>
      <c r="FA32" s="7">
        <f t="shared" si="52"/>
        <v>0</v>
      </c>
      <c r="FB32" s="7">
        <v>1.0</v>
      </c>
      <c r="FC32" s="45">
        <f t="shared" si="53"/>
        <v>0</v>
      </c>
      <c r="FD32" s="41"/>
      <c r="FE32" s="41"/>
      <c r="FF32" s="41"/>
      <c r="FG32" s="41">
        <f t="shared" si="54"/>
        <v>0</v>
      </c>
      <c r="FH32" s="41">
        <v>1.0</v>
      </c>
      <c r="FI32" s="42">
        <f t="shared" si="55"/>
        <v>0</v>
      </c>
      <c r="FJ32" s="41"/>
      <c r="FK32" s="41"/>
      <c r="FL32" s="41"/>
      <c r="FM32" s="41">
        <f t="shared" si="56"/>
        <v>0</v>
      </c>
      <c r="FN32" s="41">
        <v>1.0</v>
      </c>
      <c r="FO32" s="42">
        <f t="shared" si="57"/>
        <v>0</v>
      </c>
      <c r="FP32" s="7"/>
      <c r="FQ32" s="7"/>
      <c r="FR32" s="7"/>
      <c r="FS32" s="7">
        <f t="shared" si="58"/>
        <v>0</v>
      </c>
      <c r="FT32" s="7">
        <v>1.0</v>
      </c>
      <c r="FU32" s="45">
        <f t="shared" si="59"/>
        <v>0</v>
      </c>
      <c r="FV32" s="7"/>
      <c r="FW32" s="7"/>
      <c r="FX32" s="7"/>
      <c r="FY32" s="7">
        <f t="shared" si="60"/>
        <v>0</v>
      </c>
      <c r="FZ32" s="7">
        <v>1.0</v>
      </c>
      <c r="GA32" s="45">
        <f t="shared" si="61"/>
        <v>0</v>
      </c>
      <c r="GB32" s="7"/>
      <c r="GC32" s="7"/>
      <c r="GD32" s="7"/>
      <c r="GE32" s="7">
        <f t="shared" si="62"/>
        <v>0</v>
      </c>
      <c r="GF32" s="7">
        <v>1.0</v>
      </c>
      <c r="GG32" s="45">
        <f t="shared" si="63"/>
        <v>0</v>
      </c>
      <c r="GH32" s="7"/>
      <c r="GI32" s="7"/>
      <c r="GJ32" s="7"/>
      <c r="GK32" s="7">
        <f t="shared" si="64"/>
        <v>0</v>
      </c>
      <c r="GL32" s="7">
        <v>1.0</v>
      </c>
      <c r="GM32" s="45">
        <f t="shared" si="65"/>
        <v>0</v>
      </c>
      <c r="GN32" s="41"/>
      <c r="GO32" s="41"/>
      <c r="GP32" s="41"/>
      <c r="GQ32" s="41">
        <f t="shared" si="66"/>
        <v>0</v>
      </c>
      <c r="GR32" s="41">
        <v>1.0</v>
      </c>
      <c r="GS32" s="42">
        <f t="shared" si="67"/>
        <v>0</v>
      </c>
      <c r="GT32" s="7"/>
      <c r="GU32" s="7"/>
      <c r="GV32" s="7"/>
      <c r="GW32" s="7">
        <f t="shared" si="68"/>
        <v>0</v>
      </c>
      <c r="GX32" s="7">
        <v>1.0</v>
      </c>
      <c r="GY32" s="45">
        <f t="shared" si="69"/>
        <v>0</v>
      </c>
      <c r="GZ32" s="7"/>
      <c r="HA32" s="7"/>
      <c r="HB32" s="7"/>
      <c r="HC32" s="7">
        <f t="shared" si="70"/>
        <v>0</v>
      </c>
      <c r="HD32" s="7">
        <v>1.0</v>
      </c>
      <c r="HE32" s="45">
        <f t="shared" si="71"/>
        <v>0</v>
      </c>
      <c r="HF32" s="7">
        <v>1.0</v>
      </c>
      <c r="HG32" s="7">
        <v>1.0</v>
      </c>
      <c r="HH32" s="7"/>
      <c r="HI32" s="7">
        <f t="shared" si="72"/>
        <v>3</v>
      </c>
      <c r="HJ32" s="7">
        <v>1.0</v>
      </c>
      <c r="HK32" s="45">
        <f t="shared" si="73"/>
        <v>3</v>
      </c>
      <c r="HL32" s="7"/>
      <c r="HM32" s="7"/>
      <c r="HN32" s="7"/>
      <c r="HO32" s="7">
        <f t="shared" si="74"/>
        <v>0</v>
      </c>
      <c r="HP32" s="7">
        <v>1.0</v>
      </c>
      <c r="HQ32" s="45">
        <f t="shared" si="75"/>
        <v>0</v>
      </c>
      <c r="HR32" s="7"/>
      <c r="HS32" s="7"/>
      <c r="HT32" s="7"/>
      <c r="HU32" s="7">
        <f t="shared" si="76"/>
        <v>0</v>
      </c>
      <c r="HV32" s="7">
        <v>1.0</v>
      </c>
      <c r="HW32" s="45">
        <f t="shared" si="77"/>
        <v>0</v>
      </c>
      <c r="HX32" s="7"/>
      <c r="HY32" s="7"/>
      <c r="HZ32" s="7"/>
      <c r="IA32" s="7">
        <f t="shared" si="78"/>
        <v>0</v>
      </c>
      <c r="IB32" s="7">
        <v>1.0</v>
      </c>
      <c r="IC32" s="45">
        <f t="shared" si="79"/>
        <v>0</v>
      </c>
      <c r="ID32" s="7"/>
      <c r="IE32" s="7"/>
      <c r="IF32" s="7"/>
      <c r="IG32" s="7">
        <f t="shared" si="80"/>
        <v>0</v>
      </c>
      <c r="IH32" s="7">
        <v>1.0</v>
      </c>
      <c r="II32" s="45">
        <f t="shared" si="81"/>
        <v>0</v>
      </c>
      <c r="IJ32" s="7"/>
      <c r="IK32" s="7"/>
      <c r="IL32" s="7"/>
      <c r="IM32" s="7">
        <f t="shared" si="82"/>
        <v>0</v>
      </c>
      <c r="IN32" s="7">
        <v>1.0</v>
      </c>
      <c r="IO32" s="45">
        <f t="shared" si="83"/>
        <v>0</v>
      </c>
    </row>
    <row r="33">
      <c r="A33" s="36" t="s">
        <v>80</v>
      </c>
      <c r="B33" s="21" t="s">
        <v>81</v>
      </c>
      <c r="C33" s="1">
        <f t="shared" si="1"/>
        <v>28</v>
      </c>
      <c r="D33" s="15">
        <f>VLOOKUP(A33,TDP!A:C,3,FALSE)</f>
        <v>0.22</v>
      </c>
      <c r="E33" s="38">
        <f t="shared" si="2"/>
        <v>8.54</v>
      </c>
      <c r="F33" s="7"/>
      <c r="G33" s="39">
        <f t="shared" si="3"/>
        <v>0</v>
      </c>
      <c r="H33" s="7"/>
      <c r="I33" s="7"/>
      <c r="J33" s="7">
        <v>1.0</v>
      </c>
      <c r="K33" s="7">
        <f t="shared" si="4"/>
        <v>7</v>
      </c>
      <c r="L33" s="7"/>
      <c r="M33" s="45">
        <f t="shared" si="5"/>
        <v>7</v>
      </c>
      <c r="N33" s="41"/>
      <c r="O33" s="41"/>
      <c r="P33" s="41"/>
      <c r="Q33" s="42">
        <f t="shared" si="6"/>
        <v>0</v>
      </c>
      <c r="R33" s="41"/>
      <c r="S33" s="41"/>
      <c r="T33" s="41"/>
      <c r="U33" s="42">
        <f t="shared" si="7"/>
        <v>0</v>
      </c>
      <c r="V33" s="7"/>
      <c r="W33" s="7"/>
      <c r="X33" s="7"/>
      <c r="Y33" s="7">
        <f t="shared" si="8"/>
        <v>0</v>
      </c>
      <c r="Z33" s="7"/>
      <c r="AA33" s="45">
        <f t="shared" si="9"/>
        <v>0</v>
      </c>
      <c r="AB33" s="7"/>
      <c r="AC33" s="7"/>
      <c r="AD33" s="7"/>
      <c r="AE33" s="7">
        <f t="shared" si="10"/>
        <v>0</v>
      </c>
      <c r="AF33" s="7"/>
      <c r="AG33" s="45">
        <f t="shared" si="11"/>
        <v>0</v>
      </c>
      <c r="AH33" s="7"/>
      <c r="AI33" s="7"/>
      <c r="AJ33" s="7"/>
      <c r="AK33" s="7">
        <f t="shared" si="12"/>
        <v>0</v>
      </c>
      <c r="AL33" s="7"/>
      <c r="AM33" s="45">
        <f t="shared" si="13"/>
        <v>0</v>
      </c>
      <c r="AN33" s="7"/>
      <c r="AO33" s="7"/>
      <c r="AP33" s="7"/>
      <c r="AQ33" s="7">
        <f t="shared" si="14"/>
        <v>0</v>
      </c>
      <c r="AR33" s="7"/>
      <c r="AS33" s="45">
        <f t="shared" si="15"/>
        <v>0</v>
      </c>
      <c r="AT33" s="7"/>
      <c r="AU33" s="7"/>
      <c r="AV33" s="7"/>
      <c r="AW33" s="7">
        <f t="shared" si="16"/>
        <v>0</v>
      </c>
      <c r="AX33" s="7"/>
      <c r="AY33" s="45">
        <f t="shared" si="17"/>
        <v>0</v>
      </c>
      <c r="AZ33" s="7"/>
      <c r="BA33" s="7"/>
      <c r="BB33" s="7"/>
      <c r="BC33" s="7">
        <f t="shared" si="18"/>
        <v>0</v>
      </c>
      <c r="BD33" s="7"/>
      <c r="BE33" s="45">
        <f t="shared" si="19"/>
        <v>0</v>
      </c>
      <c r="BF33" s="7"/>
      <c r="BG33" s="7"/>
      <c r="BH33" s="7"/>
      <c r="BI33" s="7">
        <f t="shared" si="20"/>
        <v>0</v>
      </c>
      <c r="BJ33" s="7"/>
      <c r="BK33" s="45">
        <f t="shared" si="21"/>
        <v>0</v>
      </c>
      <c r="BL33" s="7"/>
      <c r="BM33" s="7"/>
      <c r="BN33" s="7"/>
      <c r="BO33" s="7">
        <f t="shared" si="22"/>
        <v>0</v>
      </c>
      <c r="BP33" s="7"/>
      <c r="BQ33" s="45">
        <f t="shared" si="23"/>
        <v>0</v>
      </c>
      <c r="BR33" s="7"/>
      <c r="BS33" s="7"/>
      <c r="BT33" s="7"/>
      <c r="BU33" s="7">
        <f t="shared" si="24"/>
        <v>0</v>
      </c>
      <c r="BV33" s="7"/>
      <c r="BW33" s="45">
        <f t="shared" si="25"/>
        <v>0</v>
      </c>
      <c r="BX33" s="7"/>
      <c r="BY33" s="7"/>
      <c r="BZ33" s="7"/>
      <c r="CA33" s="7">
        <f t="shared" si="26"/>
        <v>0</v>
      </c>
      <c r="CB33" s="7"/>
      <c r="CC33" s="45">
        <f t="shared" si="27"/>
        <v>0</v>
      </c>
      <c r="CD33" s="7"/>
      <c r="CE33" s="7"/>
      <c r="CF33" s="7"/>
      <c r="CG33" s="7">
        <f t="shared" si="28"/>
        <v>0</v>
      </c>
      <c r="CH33" s="7"/>
      <c r="CI33" s="45">
        <f t="shared" si="29"/>
        <v>0</v>
      </c>
      <c r="CJ33" s="7"/>
      <c r="CK33" s="7"/>
      <c r="CL33" s="7"/>
      <c r="CM33" s="7">
        <f t="shared" si="30"/>
        <v>0</v>
      </c>
      <c r="CN33" s="7"/>
      <c r="CO33" s="45">
        <f t="shared" si="31"/>
        <v>0</v>
      </c>
      <c r="CP33" s="7"/>
      <c r="CQ33" s="7"/>
      <c r="CR33" s="7"/>
      <c r="CS33" s="7">
        <f t="shared" si="32"/>
        <v>0</v>
      </c>
      <c r="CT33" s="7"/>
      <c r="CU33" s="45">
        <f t="shared" si="33"/>
        <v>0</v>
      </c>
      <c r="CV33" s="7"/>
      <c r="CW33" s="7"/>
      <c r="CX33" s="7"/>
      <c r="CY33" s="7">
        <f t="shared" si="34"/>
        <v>0</v>
      </c>
      <c r="CZ33" s="7"/>
      <c r="DA33" s="45">
        <f t="shared" si="35"/>
        <v>0</v>
      </c>
      <c r="DB33" s="7"/>
      <c r="DC33" s="7"/>
      <c r="DD33" s="7"/>
      <c r="DE33" s="7">
        <f t="shared" si="36"/>
        <v>0</v>
      </c>
      <c r="DF33" s="7">
        <v>1.0</v>
      </c>
      <c r="DG33" s="45">
        <f t="shared" si="37"/>
        <v>0</v>
      </c>
      <c r="DH33" s="7"/>
      <c r="DI33" s="7"/>
      <c r="DJ33" s="7"/>
      <c r="DK33" s="7">
        <f t="shared" si="38"/>
        <v>0</v>
      </c>
      <c r="DL33" s="7">
        <v>1.0</v>
      </c>
      <c r="DM33" s="45">
        <f t="shared" si="39"/>
        <v>0</v>
      </c>
      <c r="DN33" s="7"/>
      <c r="DO33" s="7"/>
      <c r="DP33" s="7"/>
      <c r="DQ33" s="7">
        <f t="shared" si="40"/>
        <v>0</v>
      </c>
      <c r="DR33" s="7">
        <v>1.0</v>
      </c>
      <c r="DS33" s="45">
        <f t="shared" si="41"/>
        <v>0</v>
      </c>
      <c r="DT33" s="7"/>
      <c r="DU33" s="7"/>
      <c r="DV33" s="7"/>
      <c r="DW33" s="7">
        <f t="shared" si="42"/>
        <v>0</v>
      </c>
      <c r="DX33" s="7">
        <v>1.0</v>
      </c>
      <c r="DY33" s="45">
        <f t="shared" si="43"/>
        <v>0</v>
      </c>
      <c r="DZ33" s="7"/>
      <c r="EA33" s="7"/>
      <c r="EB33" s="7"/>
      <c r="EC33" s="7">
        <f t="shared" si="44"/>
        <v>0</v>
      </c>
      <c r="ED33" s="7">
        <v>1.0</v>
      </c>
      <c r="EE33" s="45">
        <f t="shared" si="45"/>
        <v>0</v>
      </c>
      <c r="EF33" s="7"/>
      <c r="EG33" s="7"/>
      <c r="EH33" s="7"/>
      <c r="EI33" s="7">
        <f t="shared" si="46"/>
        <v>0</v>
      </c>
      <c r="EJ33" s="7">
        <v>1.0</v>
      </c>
      <c r="EK33" s="45">
        <f t="shared" si="47"/>
        <v>0</v>
      </c>
      <c r="EL33" s="7"/>
      <c r="EM33" s="7"/>
      <c r="EN33" s="7"/>
      <c r="EO33" s="7">
        <f t="shared" si="48"/>
        <v>0</v>
      </c>
      <c r="EP33" s="7">
        <v>1.0</v>
      </c>
      <c r="EQ33" s="45">
        <f t="shared" si="49"/>
        <v>0</v>
      </c>
      <c r="ER33" s="7"/>
      <c r="ES33" s="7"/>
      <c r="ET33" s="7"/>
      <c r="EU33" s="7">
        <f t="shared" si="50"/>
        <v>0</v>
      </c>
      <c r="EV33" s="7">
        <v>1.0</v>
      </c>
      <c r="EW33" s="45">
        <f t="shared" si="51"/>
        <v>0</v>
      </c>
      <c r="EX33" s="7"/>
      <c r="EY33" s="7"/>
      <c r="EZ33" s="7"/>
      <c r="FA33" s="7">
        <f t="shared" si="52"/>
        <v>0</v>
      </c>
      <c r="FB33" s="7">
        <v>1.0</v>
      </c>
      <c r="FC33" s="45">
        <f t="shared" si="53"/>
        <v>0</v>
      </c>
      <c r="FD33" s="41"/>
      <c r="FE33" s="41"/>
      <c r="FF33" s="41"/>
      <c r="FG33" s="41">
        <f t="shared" si="54"/>
        <v>0</v>
      </c>
      <c r="FH33" s="41">
        <v>1.0</v>
      </c>
      <c r="FI33" s="42">
        <f t="shared" si="55"/>
        <v>0</v>
      </c>
      <c r="FJ33" s="41"/>
      <c r="FK33" s="41"/>
      <c r="FL33" s="41"/>
      <c r="FM33" s="41">
        <f t="shared" si="56"/>
        <v>0</v>
      </c>
      <c r="FN33" s="41">
        <v>1.0</v>
      </c>
      <c r="FO33" s="42">
        <f t="shared" si="57"/>
        <v>0</v>
      </c>
      <c r="FP33" s="7"/>
      <c r="FQ33" s="7"/>
      <c r="FR33" s="7"/>
      <c r="FS33" s="7">
        <f t="shared" si="58"/>
        <v>0</v>
      </c>
      <c r="FT33" s="7">
        <v>1.0</v>
      </c>
      <c r="FU33" s="45">
        <f t="shared" si="59"/>
        <v>0</v>
      </c>
      <c r="FV33" s="7"/>
      <c r="FW33" s="7"/>
      <c r="FX33" s="7"/>
      <c r="FY33" s="7">
        <f t="shared" si="60"/>
        <v>0</v>
      </c>
      <c r="FZ33" s="7">
        <v>1.0</v>
      </c>
      <c r="GA33" s="45">
        <f t="shared" si="61"/>
        <v>0</v>
      </c>
      <c r="GB33" s="7"/>
      <c r="GC33" s="7"/>
      <c r="GD33" s="7"/>
      <c r="GE33" s="7">
        <f t="shared" si="62"/>
        <v>0</v>
      </c>
      <c r="GF33" s="7">
        <v>1.0</v>
      </c>
      <c r="GG33" s="45">
        <f t="shared" si="63"/>
        <v>0</v>
      </c>
      <c r="GH33" s="7"/>
      <c r="GI33" s="7"/>
      <c r="GJ33" s="7"/>
      <c r="GK33" s="7">
        <f t="shared" si="64"/>
        <v>0</v>
      </c>
      <c r="GL33" s="7">
        <v>1.0</v>
      </c>
      <c r="GM33" s="45">
        <f t="shared" si="65"/>
        <v>0</v>
      </c>
      <c r="GN33" s="41"/>
      <c r="GO33" s="41"/>
      <c r="GP33" s="41"/>
      <c r="GQ33" s="41">
        <f t="shared" si="66"/>
        <v>0</v>
      </c>
      <c r="GR33" s="41">
        <v>1.0</v>
      </c>
      <c r="GS33" s="42">
        <f t="shared" si="67"/>
        <v>0</v>
      </c>
      <c r="GT33" s="7"/>
      <c r="GU33" s="7"/>
      <c r="GV33" s="7"/>
      <c r="GW33" s="7">
        <f t="shared" si="68"/>
        <v>0</v>
      </c>
      <c r="GX33" s="7">
        <v>1.0</v>
      </c>
      <c r="GY33" s="45">
        <f t="shared" si="69"/>
        <v>0</v>
      </c>
      <c r="GZ33" s="7"/>
      <c r="HA33" s="7"/>
      <c r="HB33" s="7"/>
      <c r="HC33" s="7">
        <f t="shared" si="70"/>
        <v>0</v>
      </c>
      <c r="HD33" s="7">
        <v>1.0</v>
      </c>
      <c r="HE33" s="45">
        <f t="shared" si="71"/>
        <v>0</v>
      </c>
      <c r="HF33" s="7"/>
      <c r="HG33" s="7"/>
      <c r="HH33" s="7"/>
      <c r="HI33" s="7">
        <f t="shared" si="72"/>
        <v>0</v>
      </c>
      <c r="HJ33" s="7">
        <v>1.0</v>
      </c>
      <c r="HK33" s="45">
        <f t="shared" si="73"/>
        <v>0</v>
      </c>
      <c r="HL33" s="7"/>
      <c r="HM33" s="7"/>
      <c r="HN33" s="7"/>
      <c r="HO33" s="7">
        <f t="shared" si="74"/>
        <v>0</v>
      </c>
      <c r="HP33" s="7">
        <v>1.0</v>
      </c>
      <c r="HQ33" s="45">
        <f t="shared" si="75"/>
        <v>0</v>
      </c>
      <c r="HR33" s="7"/>
      <c r="HS33" s="7"/>
      <c r="HT33" s="7"/>
      <c r="HU33" s="7">
        <f t="shared" si="76"/>
        <v>0</v>
      </c>
      <c r="HV33" s="7">
        <v>1.0</v>
      </c>
      <c r="HW33" s="45">
        <f t="shared" si="77"/>
        <v>0</v>
      </c>
      <c r="HX33" s="7"/>
      <c r="HY33" s="7"/>
      <c r="HZ33" s="7"/>
      <c r="IA33" s="7">
        <f t="shared" si="78"/>
        <v>0</v>
      </c>
      <c r="IB33" s="7">
        <v>1.0</v>
      </c>
      <c r="IC33" s="45">
        <f t="shared" si="79"/>
        <v>0</v>
      </c>
      <c r="ID33" s="7"/>
      <c r="IE33" s="7"/>
      <c r="IF33" s="7"/>
      <c r="IG33" s="7">
        <f t="shared" si="80"/>
        <v>0</v>
      </c>
      <c r="IH33" s="7">
        <v>1.0</v>
      </c>
      <c r="II33" s="45">
        <f t="shared" si="81"/>
        <v>0</v>
      </c>
      <c r="IJ33" s="7"/>
      <c r="IK33" s="7"/>
      <c r="IL33" s="7"/>
      <c r="IM33" s="7">
        <f t="shared" si="82"/>
        <v>0</v>
      </c>
      <c r="IN33" s="7">
        <v>1.0</v>
      </c>
      <c r="IO33" s="45">
        <f t="shared" si="83"/>
        <v>0</v>
      </c>
    </row>
    <row r="34">
      <c r="A34" s="36" t="s">
        <v>82</v>
      </c>
      <c r="B34" s="21" t="s">
        <v>83</v>
      </c>
      <c r="C34" s="1">
        <f t="shared" si="1"/>
        <v>29</v>
      </c>
      <c r="D34" s="15">
        <f>VLOOKUP(A34,TDP!A:C,3,FALSE)</f>
        <v>0.25</v>
      </c>
      <c r="E34" s="38">
        <f t="shared" si="2"/>
        <v>6.25</v>
      </c>
      <c r="F34" s="7"/>
      <c r="G34" s="39">
        <f t="shared" si="3"/>
        <v>0</v>
      </c>
      <c r="H34" s="7">
        <v>1.0</v>
      </c>
      <c r="I34" s="7">
        <v>1.0</v>
      </c>
      <c r="J34" s="7">
        <v>1.0</v>
      </c>
      <c r="K34" s="7">
        <f t="shared" si="4"/>
        <v>5</v>
      </c>
      <c r="L34" s="7">
        <v>1.0</v>
      </c>
      <c r="M34" s="45">
        <f t="shared" si="5"/>
        <v>5</v>
      </c>
      <c r="N34" s="41"/>
      <c r="O34" s="41"/>
      <c r="P34" s="41"/>
      <c r="Q34" s="42">
        <f t="shared" si="6"/>
        <v>0</v>
      </c>
      <c r="R34" s="41"/>
      <c r="S34" s="41"/>
      <c r="T34" s="41"/>
      <c r="U34" s="42">
        <f t="shared" si="7"/>
        <v>0</v>
      </c>
      <c r="V34" s="7"/>
      <c r="W34" s="7"/>
      <c r="X34" s="7"/>
      <c r="Y34" s="7">
        <f t="shared" si="8"/>
        <v>0</v>
      </c>
      <c r="Z34" s="7"/>
      <c r="AA34" s="45">
        <f t="shared" si="9"/>
        <v>0</v>
      </c>
      <c r="AB34" s="7"/>
      <c r="AC34" s="7"/>
      <c r="AD34" s="7"/>
      <c r="AE34" s="7">
        <f t="shared" si="10"/>
        <v>0</v>
      </c>
      <c r="AF34" s="7"/>
      <c r="AG34" s="45">
        <f t="shared" si="11"/>
        <v>0</v>
      </c>
      <c r="AH34" s="7"/>
      <c r="AI34" s="7"/>
      <c r="AJ34" s="7"/>
      <c r="AK34" s="7">
        <f t="shared" si="12"/>
        <v>0</v>
      </c>
      <c r="AL34" s="7"/>
      <c r="AM34" s="45">
        <f t="shared" si="13"/>
        <v>0</v>
      </c>
      <c r="AN34" s="7"/>
      <c r="AO34" s="7"/>
      <c r="AP34" s="7"/>
      <c r="AQ34" s="7">
        <f t="shared" si="14"/>
        <v>0</v>
      </c>
      <c r="AR34" s="7"/>
      <c r="AS34" s="45">
        <f t="shared" si="15"/>
        <v>0</v>
      </c>
      <c r="AT34" s="7"/>
      <c r="AU34" s="7"/>
      <c r="AV34" s="7"/>
      <c r="AW34" s="7">
        <f t="shared" si="16"/>
        <v>0</v>
      </c>
      <c r="AX34" s="7"/>
      <c r="AY34" s="45">
        <f t="shared" si="17"/>
        <v>0</v>
      </c>
      <c r="AZ34" s="7"/>
      <c r="BA34" s="7"/>
      <c r="BB34" s="7"/>
      <c r="BC34" s="7">
        <f t="shared" si="18"/>
        <v>0</v>
      </c>
      <c r="BD34" s="7"/>
      <c r="BE34" s="45">
        <f t="shared" si="19"/>
        <v>0</v>
      </c>
      <c r="BF34" s="7"/>
      <c r="BG34" s="7"/>
      <c r="BH34" s="7"/>
      <c r="BI34" s="7">
        <f t="shared" si="20"/>
        <v>0</v>
      </c>
      <c r="BJ34" s="7"/>
      <c r="BK34" s="45">
        <f t="shared" si="21"/>
        <v>0</v>
      </c>
      <c r="BL34" s="7"/>
      <c r="BM34" s="7"/>
      <c r="BN34" s="7"/>
      <c r="BO34" s="7">
        <f t="shared" si="22"/>
        <v>0</v>
      </c>
      <c r="BP34" s="7"/>
      <c r="BQ34" s="45">
        <f t="shared" si="23"/>
        <v>0</v>
      </c>
      <c r="BR34" s="7"/>
      <c r="BS34" s="7"/>
      <c r="BT34" s="7"/>
      <c r="BU34" s="7">
        <f t="shared" si="24"/>
        <v>0</v>
      </c>
      <c r="BV34" s="7"/>
      <c r="BW34" s="45">
        <f t="shared" si="25"/>
        <v>0</v>
      </c>
      <c r="BX34" s="7"/>
      <c r="BY34" s="7"/>
      <c r="BZ34" s="7"/>
      <c r="CA34" s="7">
        <f t="shared" si="26"/>
        <v>0</v>
      </c>
      <c r="CB34" s="7"/>
      <c r="CC34" s="45">
        <f t="shared" si="27"/>
        <v>0</v>
      </c>
      <c r="CD34" s="7"/>
      <c r="CE34" s="7"/>
      <c r="CF34" s="7"/>
      <c r="CG34" s="7">
        <f t="shared" si="28"/>
        <v>0</v>
      </c>
      <c r="CH34" s="7"/>
      <c r="CI34" s="45">
        <f t="shared" si="29"/>
        <v>0</v>
      </c>
      <c r="CJ34" s="7"/>
      <c r="CK34" s="7"/>
      <c r="CL34" s="7"/>
      <c r="CM34" s="7">
        <f t="shared" si="30"/>
        <v>0</v>
      </c>
      <c r="CN34" s="7"/>
      <c r="CO34" s="45">
        <f t="shared" si="31"/>
        <v>0</v>
      </c>
      <c r="CP34" s="7"/>
      <c r="CQ34" s="7"/>
      <c r="CR34" s="7"/>
      <c r="CS34" s="7">
        <f t="shared" si="32"/>
        <v>0</v>
      </c>
      <c r="CT34" s="7"/>
      <c r="CU34" s="45">
        <f t="shared" si="33"/>
        <v>0</v>
      </c>
      <c r="CV34" s="7"/>
      <c r="CW34" s="7"/>
      <c r="CX34" s="7"/>
      <c r="CY34" s="7">
        <f t="shared" si="34"/>
        <v>0</v>
      </c>
      <c r="CZ34" s="7"/>
      <c r="DA34" s="45">
        <f t="shared" si="35"/>
        <v>0</v>
      </c>
      <c r="DB34" s="7"/>
      <c r="DC34" s="7"/>
      <c r="DD34" s="7"/>
      <c r="DE34" s="7">
        <f t="shared" si="36"/>
        <v>0</v>
      </c>
      <c r="DF34" s="7">
        <v>1.0</v>
      </c>
      <c r="DG34" s="45">
        <f t="shared" si="37"/>
        <v>0</v>
      </c>
      <c r="DH34" s="7"/>
      <c r="DI34" s="7"/>
      <c r="DJ34" s="7"/>
      <c r="DK34" s="7">
        <f t="shared" si="38"/>
        <v>0</v>
      </c>
      <c r="DL34" s="7">
        <v>1.0</v>
      </c>
      <c r="DM34" s="45">
        <f t="shared" si="39"/>
        <v>0</v>
      </c>
      <c r="DN34" s="7"/>
      <c r="DO34" s="7"/>
      <c r="DP34" s="7"/>
      <c r="DQ34" s="7">
        <f t="shared" si="40"/>
        <v>0</v>
      </c>
      <c r="DR34" s="7">
        <v>1.0</v>
      </c>
      <c r="DS34" s="45">
        <f t="shared" si="41"/>
        <v>0</v>
      </c>
      <c r="DT34" s="7"/>
      <c r="DU34" s="7"/>
      <c r="DV34" s="7"/>
      <c r="DW34" s="7">
        <f t="shared" si="42"/>
        <v>0</v>
      </c>
      <c r="DX34" s="7">
        <v>1.0</v>
      </c>
      <c r="DY34" s="45">
        <f t="shared" si="43"/>
        <v>0</v>
      </c>
      <c r="DZ34" s="7"/>
      <c r="EA34" s="7"/>
      <c r="EB34" s="7"/>
      <c r="EC34" s="7">
        <f t="shared" si="44"/>
        <v>0</v>
      </c>
      <c r="ED34" s="7">
        <v>1.0</v>
      </c>
      <c r="EE34" s="45">
        <f t="shared" si="45"/>
        <v>0</v>
      </c>
      <c r="EF34" s="7"/>
      <c r="EG34" s="7"/>
      <c r="EH34" s="7"/>
      <c r="EI34" s="7">
        <f t="shared" si="46"/>
        <v>0</v>
      </c>
      <c r="EJ34" s="7">
        <v>1.0</v>
      </c>
      <c r="EK34" s="45">
        <f t="shared" si="47"/>
        <v>0</v>
      </c>
      <c r="EL34" s="7"/>
      <c r="EM34" s="7"/>
      <c r="EN34" s="7"/>
      <c r="EO34" s="7">
        <f t="shared" si="48"/>
        <v>0</v>
      </c>
      <c r="EP34" s="7">
        <v>1.0</v>
      </c>
      <c r="EQ34" s="45">
        <f t="shared" si="49"/>
        <v>0</v>
      </c>
      <c r="ER34" s="7"/>
      <c r="ES34" s="7"/>
      <c r="ET34" s="7"/>
      <c r="EU34" s="7">
        <f t="shared" si="50"/>
        <v>0</v>
      </c>
      <c r="EV34" s="7">
        <v>1.0</v>
      </c>
      <c r="EW34" s="45">
        <f t="shared" si="51"/>
        <v>0</v>
      </c>
      <c r="EX34" s="7"/>
      <c r="EY34" s="7"/>
      <c r="EZ34" s="7"/>
      <c r="FA34" s="7">
        <f t="shared" si="52"/>
        <v>0</v>
      </c>
      <c r="FB34" s="7">
        <v>1.0</v>
      </c>
      <c r="FC34" s="45">
        <f t="shared" si="53"/>
        <v>0</v>
      </c>
      <c r="FD34" s="41"/>
      <c r="FE34" s="41"/>
      <c r="FF34" s="41"/>
      <c r="FG34" s="41">
        <f t="shared" si="54"/>
        <v>0</v>
      </c>
      <c r="FH34" s="41">
        <v>1.0</v>
      </c>
      <c r="FI34" s="42">
        <f t="shared" si="55"/>
        <v>0</v>
      </c>
      <c r="FJ34" s="41"/>
      <c r="FK34" s="41"/>
      <c r="FL34" s="41"/>
      <c r="FM34" s="41">
        <f t="shared" si="56"/>
        <v>0</v>
      </c>
      <c r="FN34" s="41">
        <v>1.0</v>
      </c>
      <c r="FO34" s="42">
        <f t="shared" si="57"/>
        <v>0</v>
      </c>
      <c r="FP34" s="7"/>
      <c r="FQ34" s="7"/>
      <c r="FR34" s="7"/>
      <c r="FS34" s="7">
        <f t="shared" si="58"/>
        <v>0</v>
      </c>
      <c r="FT34" s="7">
        <v>1.0</v>
      </c>
      <c r="FU34" s="45">
        <f t="shared" si="59"/>
        <v>0</v>
      </c>
      <c r="FV34" s="7"/>
      <c r="FW34" s="7"/>
      <c r="FX34" s="7"/>
      <c r="FY34" s="7">
        <f t="shared" si="60"/>
        <v>0</v>
      </c>
      <c r="FZ34" s="7">
        <v>1.0</v>
      </c>
      <c r="GA34" s="45">
        <f t="shared" si="61"/>
        <v>0</v>
      </c>
      <c r="GB34" s="7"/>
      <c r="GC34" s="7"/>
      <c r="GD34" s="7"/>
      <c r="GE34" s="7">
        <f t="shared" si="62"/>
        <v>0</v>
      </c>
      <c r="GF34" s="7">
        <v>1.0</v>
      </c>
      <c r="GG34" s="45">
        <f t="shared" si="63"/>
        <v>0</v>
      </c>
      <c r="GH34" s="7"/>
      <c r="GI34" s="7"/>
      <c r="GJ34" s="7"/>
      <c r="GK34" s="7">
        <f t="shared" si="64"/>
        <v>0</v>
      </c>
      <c r="GL34" s="7">
        <v>1.0</v>
      </c>
      <c r="GM34" s="45">
        <f t="shared" si="65"/>
        <v>0</v>
      </c>
      <c r="GN34" s="41"/>
      <c r="GO34" s="41"/>
      <c r="GP34" s="41"/>
      <c r="GQ34" s="41">
        <f t="shared" si="66"/>
        <v>0</v>
      </c>
      <c r="GR34" s="41">
        <v>1.0</v>
      </c>
      <c r="GS34" s="42">
        <f t="shared" si="67"/>
        <v>0</v>
      </c>
      <c r="GT34" s="7"/>
      <c r="GU34" s="7"/>
      <c r="GV34" s="7"/>
      <c r="GW34" s="7">
        <f t="shared" si="68"/>
        <v>0</v>
      </c>
      <c r="GX34" s="7">
        <v>1.0</v>
      </c>
      <c r="GY34" s="45">
        <f t="shared" si="69"/>
        <v>0</v>
      </c>
      <c r="GZ34" s="7"/>
      <c r="HA34" s="7"/>
      <c r="HB34" s="7"/>
      <c r="HC34" s="7">
        <f t="shared" si="70"/>
        <v>0</v>
      </c>
      <c r="HD34" s="7">
        <v>1.0</v>
      </c>
      <c r="HE34" s="45">
        <f t="shared" si="71"/>
        <v>0</v>
      </c>
      <c r="HF34" s="7"/>
      <c r="HG34" s="7"/>
      <c r="HH34" s="7"/>
      <c r="HI34" s="7">
        <f t="shared" si="72"/>
        <v>0</v>
      </c>
      <c r="HJ34" s="7">
        <v>1.0</v>
      </c>
      <c r="HK34" s="45">
        <f t="shared" si="73"/>
        <v>0</v>
      </c>
      <c r="HL34" s="7"/>
      <c r="HM34" s="7"/>
      <c r="HN34" s="7"/>
      <c r="HO34" s="7">
        <f t="shared" si="74"/>
        <v>0</v>
      </c>
      <c r="HP34" s="7">
        <v>1.0</v>
      </c>
      <c r="HQ34" s="45">
        <f t="shared" si="75"/>
        <v>0</v>
      </c>
      <c r="HR34" s="7"/>
      <c r="HS34" s="7"/>
      <c r="HT34" s="7"/>
      <c r="HU34" s="7">
        <f t="shared" si="76"/>
        <v>0</v>
      </c>
      <c r="HV34" s="7">
        <v>1.0</v>
      </c>
      <c r="HW34" s="45">
        <f t="shared" si="77"/>
        <v>0</v>
      </c>
      <c r="HX34" s="7"/>
      <c r="HY34" s="7"/>
      <c r="HZ34" s="7"/>
      <c r="IA34" s="7">
        <f t="shared" si="78"/>
        <v>0</v>
      </c>
      <c r="IB34" s="7">
        <v>1.0</v>
      </c>
      <c r="IC34" s="45">
        <f t="shared" si="79"/>
        <v>0</v>
      </c>
      <c r="ID34" s="7"/>
      <c r="IE34" s="7"/>
      <c r="IF34" s="7"/>
      <c r="IG34" s="7">
        <f t="shared" si="80"/>
        <v>0</v>
      </c>
      <c r="IH34" s="7">
        <v>1.0</v>
      </c>
      <c r="II34" s="45">
        <f t="shared" si="81"/>
        <v>0</v>
      </c>
      <c r="IJ34" s="7"/>
      <c r="IK34" s="7"/>
      <c r="IL34" s="7"/>
      <c r="IM34" s="7">
        <f t="shared" si="82"/>
        <v>0</v>
      </c>
      <c r="IN34" s="7">
        <v>1.0</v>
      </c>
      <c r="IO34" s="45">
        <f t="shared" si="83"/>
        <v>0</v>
      </c>
    </row>
    <row r="35">
      <c r="A35" s="36" t="s">
        <v>121</v>
      </c>
      <c r="B35" s="21"/>
      <c r="C35" s="1">
        <f t="shared" si="1"/>
        <v>30</v>
      </c>
      <c r="D35" s="15">
        <f>VLOOKUP(A35,TDP!A:C,3,FALSE)</f>
        <v>0.12</v>
      </c>
      <c r="E35" s="38">
        <f t="shared" si="2"/>
        <v>5.6</v>
      </c>
      <c r="F35" s="7"/>
      <c r="G35" s="39">
        <f t="shared" si="3"/>
        <v>0</v>
      </c>
      <c r="H35" s="7"/>
      <c r="I35" s="7"/>
      <c r="J35" s="7"/>
      <c r="K35" s="7">
        <f t="shared" si="4"/>
        <v>0</v>
      </c>
      <c r="L35" s="7"/>
      <c r="M35" s="45">
        <f t="shared" si="5"/>
        <v>0</v>
      </c>
      <c r="N35" s="41"/>
      <c r="O35" s="41"/>
      <c r="P35" s="41"/>
      <c r="Q35" s="42">
        <f t="shared" si="6"/>
        <v>0</v>
      </c>
      <c r="R35" s="41"/>
      <c r="S35" s="41"/>
      <c r="T35" s="41"/>
      <c r="U35" s="42">
        <f t="shared" si="7"/>
        <v>0</v>
      </c>
      <c r="V35" s="7"/>
      <c r="W35" s="7"/>
      <c r="X35" s="7"/>
      <c r="Y35" s="7">
        <f t="shared" si="8"/>
        <v>0</v>
      </c>
      <c r="Z35" s="7"/>
      <c r="AA35" s="45">
        <f t="shared" si="9"/>
        <v>0</v>
      </c>
      <c r="AB35" s="7"/>
      <c r="AC35" s="7"/>
      <c r="AD35" s="7"/>
      <c r="AE35" s="7">
        <f t="shared" si="10"/>
        <v>0</v>
      </c>
      <c r="AF35" s="7"/>
      <c r="AG35" s="45">
        <f t="shared" si="11"/>
        <v>0</v>
      </c>
      <c r="AH35" s="7"/>
      <c r="AI35" s="7"/>
      <c r="AJ35" s="7"/>
      <c r="AK35" s="7">
        <f t="shared" si="12"/>
        <v>0</v>
      </c>
      <c r="AL35" s="7"/>
      <c r="AM35" s="45">
        <f t="shared" si="13"/>
        <v>0</v>
      </c>
      <c r="AN35" s="7"/>
      <c r="AO35" s="7"/>
      <c r="AP35" s="7"/>
      <c r="AQ35" s="7">
        <f t="shared" si="14"/>
        <v>0</v>
      </c>
      <c r="AR35" s="7"/>
      <c r="AS35" s="45">
        <f t="shared" si="15"/>
        <v>0</v>
      </c>
      <c r="AT35" s="7"/>
      <c r="AU35" s="7"/>
      <c r="AV35" s="7"/>
      <c r="AW35" s="7">
        <f t="shared" si="16"/>
        <v>0</v>
      </c>
      <c r="AX35" s="7"/>
      <c r="AY35" s="45">
        <f t="shared" si="17"/>
        <v>0</v>
      </c>
      <c r="AZ35" s="7"/>
      <c r="BA35" s="7"/>
      <c r="BB35" s="7"/>
      <c r="BC35" s="7">
        <f t="shared" si="18"/>
        <v>0</v>
      </c>
      <c r="BD35" s="7"/>
      <c r="BE35" s="45">
        <f t="shared" si="19"/>
        <v>0</v>
      </c>
      <c r="BF35" s="7"/>
      <c r="BG35" s="7"/>
      <c r="BH35" s="7"/>
      <c r="BI35" s="7">
        <f t="shared" si="20"/>
        <v>0</v>
      </c>
      <c r="BJ35" s="7"/>
      <c r="BK35" s="45">
        <f t="shared" si="21"/>
        <v>0</v>
      </c>
      <c r="BL35" s="7"/>
      <c r="BM35" s="7"/>
      <c r="BN35" s="7"/>
      <c r="BO35" s="7">
        <f t="shared" si="22"/>
        <v>0</v>
      </c>
      <c r="BP35" s="7"/>
      <c r="BQ35" s="45">
        <f t="shared" si="23"/>
        <v>0</v>
      </c>
      <c r="BR35" s="7"/>
      <c r="BS35" s="7"/>
      <c r="BT35" s="7"/>
      <c r="BU35" s="7">
        <f t="shared" si="24"/>
        <v>0</v>
      </c>
      <c r="BV35" s="7"/>
      <c r="BW35" s="45">
        <f t="shared" si="25"/>
        <v>0</v>
      </c>
      <c r="BX35" s="7"/>
      <c r="BY35" s="7"/>
      <c r="BZ35" s="7"/>
      <c r="CA35" s="7">
        <f t="shared" si="26"/>
        <v>0</v>
      </c>
      <c r="CB35" s="7"/>
      <c r="CC35" s="45">
        <f t="shared" si="27"/>
        <v>0</v>
      </c>
      <c r="CD35" s="7"/>
      <c r="CE35" s="7"/>
      <c r="CF35" s="7"/>
      <c r="CG35" s="7">
        <f t="shared" si="28"/>
        <v>0</v>
      </c>
      <c r="CH35" s="7"/>
      <c r="CI35" s="45">
        <f t="shared" si="29"/>
        <v>0</v>
      </c>
      <c r="CJ35" s="7"/>
      <c r="CK35" s="7"/>
      <c r="CL35" s="7"/>
      <c r="CM35" s="7">
        <f t="shared" si="30"/>
        <v>0</v>
      </c>
      <c r="CN35" s="7"/>
      <c r="CO35" s="45">
        <f t="shared" si="31"/>
        <v>0</v>
      </c>
      <c r="CP35" s="7"/>
      <c r="CQ35" s="7"/>
      <c r="CR35" s="7"/>
      <c r="CS35" s="7">
        <f t="shared" si="32"/>
        <v>0</v>
      </c>
      <c r="CT35" s="7"/>
      <c r="CU35" s="45">
        <f t="shared" si="33"/>
        <v>0</v>
      </c>
      <c r="CV35" s="7"/>
      <c r="CW35" s="7"/>
      <c r="CX35" s="7"/>
      <c r="CY35" s="7">
        <f t="shared" si="34"/>
        <v>0</v>
      </c>
      <c r="CZ35" s="7"/>
      <c r="DA35" s="45">
        <f t="shared" si="35"/>
        <v>0</v>
      </c>
      <c r="DB35" s="7"/>
      <c r="DC35" s="7"/>
      <c r="DD35" s="7"/>
      <c r="DE35" s="7">
        <f t="shared" si="36"/>
        <v>0</v>
      </c>
      <c r="DF35" s="7">
        <v>1.0</v>
      </c>
      <c r="DG35" s="45">
        <f t="shared" si="37"/>
        <v>0</v>
      </c>
      <c r="DH35" s="7"/>
      <c r="DI35" s="7"/>
      <c r="DJ35" s="7"/>
      <c r="DK35" s="7">
        <f t="shared" si="38"/>
        <v>0</v>
      </c>
      <c r="DL35" s="7">
        <v>1.0</v>
      </c>
      <c r="DM35" s="45">
        <f t="shared" si="39"/>
        <v>0</v>
      </c>
      <c r="DN35" s="7"/>
      <c r="DO35" s="7"/>
      <c r="DP35" s="7"/>
      <c r="DQ35" s="7">
        <f t="shared" si="40"/>
        <v>0</v>
      </c>
      <c r="DR35" s="7">
        <v>1.0</v>
      </c>
      <c r="DS35" s="45">
        <f t="shared" si="41"/>
        <v>0</v>
      </c>
      <c r="DT35" s="7"/>
      <c r="DU35" s="7"/>
      <c r="DV35" s="7"/>
      <c r="DW35" s="7">
        <f t="shared" si="42"/>
        <v>0</v>
      </c>
      <c r="DX35" s="7">
        <v>1.0</v>
      </c>
      <c r="DY35" s="45">
        <f t="shared" si="43"/>
        <v>0</v>
      </c>
      <c r="DZ35" s="7"/>
      <c r="EA35" s="7"/>
      <c r="EB35" s="7"/>
      <c r="EC35" s="7">
        <f t="shared" si="44"/>
        <v>0</v>
      </c>
      <c r="ED35" s="7">
        <v>1.0</v>
      </c>
      <c r="EE35" s="45">
        <f t="shared" si="45"/>
        <v>0</v>
      </c>
      <c r="EF35" s="7"/>
      <c r="EG35" s="7"/>
      <c r="EH35" s="7"/>
      <c r="EI35" s="7">
        <f t="shared" si="46"/>
        <v>0</v>
      </c>
      <c r="EJ35" s="7">
        <v>1.0</v>
      </c>
      <c r="EK35" s="45">
        <f t="shared" si="47"/>
        <v>0</v>
      </c>
      <c r="EL35" s="7">
        <v>1.0</v>
      </c>
      <c r="EM35" s="7">
        <v>1.0</v>
      </c>
      <c r="EN35" s="7">
        <v>1.0</v>
      </c>
      <c r="EO35" s="7">
        <f t="shared" si="48"/>
        <v>5</v>
      </c>
      <c r="EP35" s="7">
        <v>1.0</v>
      </c>
      <c r="EQ35" s="45">
        <f t="shared" si="49"/>
        <v>5</v>
      </c>
      <c r="ER35" s="7"/>
      <c r="ES35" s="7"/>
      <c r="ET35" s="7"/>
      <c r="EU35" s="7">
        <f t="shared" si="50"/>
        <v>0</v>
      </c>
      <c r="EV35" s="7">
        <v>1.0</v>
      </c>
      <c r="EW35" s="45">
        <f t="shared" si="51"/>
        <v>0</v>
      </c>
      <c r="EX35" s="7"/>
      <c r="EY35" s="7"/>
      <c r="EZ35" s="7"/>
      <c r="FA35" s="7">
        <f t="shared" si="52"/>
        <v>0</v>
      </c>
      <c r="FB35" s="7">
        <v>1.0</v>
      </c>
      <c r="FC35" s="45">
        <f t="shared" si="53"/>
        <v>0</v>
      </c>
      <c r="FD35" s="41"/>
      <c r="FE35" s="41"/>
      <c r="FF35" s="41"/>
      <c r="FG35" s="41">
        <f t="shared" si="54"/>
        <v>0</v>
      </c>
      <c r="FH35" s="41">
        <v>1.0</v>
      </c>
      <c r="FI35" s="42">
        <f t="shared" si="55"/>
        <v>0</v>
      </c>
      <c r="FJ35" s="41"/>
      <c r="FK35" s="41"/>
      <c r="FL35" s="41"/>
      <c r="FM35" s="41">
        <f t="shared" si="56"/>
        <v>0</v>
      </c>
      <c r="FN35" s="41">
        <v>1.0</v>
      </c>
      <c r="FO35" s="42">
        <f t="shared" si="57"/>
        <v>0</v>
      </c>
      <c r="FP35" s="7"/>
      <c r="FQ35" s="7"/>
      <c r="FR35" s="7"/>
      <c r="FS35" s="7">
        <f t="shared" si="58"/>
        <v>0</v>
      </c>
      <c r="FT35" s="7">
        <v>1.0</v>
      </c>
      <c r="FU35" s="45">
        <f t="shared" si="59"/>
        <v>0</v>
      </c>
      <c r="FV35" s="7"/>
      <c r="FW35" s="7"/>
      <c r="FX35" s="7"/>
      <c r="FY35" s="7">
        <f t="shared" si="60"/>
        <v>0</v>
      </c>
      <c r="FZ35" s="7">
        <v>1.0</v>
      </c>
      <c r="GA35" s="45">
        <f t="shared" si="61"/>
        <v>0</v>
      </c>
      <c r="GB35" s="7"/>
      <c r="GC35" s="7"/>
      <c r="GD35" s="7"/>
      <c r="GE35" s="7">
        <f t="shared" si="62"/>
        <v>0</v>
      </c>
      <c r="GF35" s="7">
        <v>1.0</v>
      </c>
      <c r="GG35" s="45">
        <f t="shared" si="63"/>
        <v>0</v>
      </c>
      <c r="GH35" s="7"/>
      <c r="GI35" s="7"/>
      <c r="GJ35" s="7"/>
      <c r="GK35" s="7">
        <f t="shared" si="64"/>
        <v>0</v>
      </c>
      <c r="GL35" s="7">
        <v>1.0</v>
      </c>
      <c r="GM35" s="45">
        <f t="shared" si="65"/>
        <v>0</v>
      </c>
      <c r="GN35" s="41"/>
      <c r="GO35" s="41"/>
      <c r="GP35" s="41"/>
      <c r="GQ35" s="41">
        <f t="shared" si="66"/>
        <v>0</v>
      </c>
      <c r="GR35" s="41">
        <v>1.0</v>
      </c>
      <c r="GS35" s="42">
        <f t="shared" si="67"/>
        <v>0</v>
      </c>
      <c r="GT35" s="7"/>
      <c r="GU35" s="7"/>
      <c r="GV35" s="7"/>
      <c r="GW35" s="7">
        <f t="shared" si="68"/>
        <v>0</v>
      </c>
      <c r="GX35" s="7">
        <v>1.0</v>
      </c>
      <c r="GY35" s="45">
        <f t="shared" si="69"/>
        <v>0</v>
      </c>
      <c r="GZ35" s="7"/>
      <c r="HA35" s="7"/>
      <c r="HB35" s="7"/>
      <c r="HC35" s="7">
        <f t="shared" si="70"/>
        <v>0</v>
      </c>
      <c r="HD35" s="7">
        <v>1.0</v>
      </c>
      <c r="HE35" s="45">
        <f t="shared" si="71"/>
        <v>0</v>
      </c>
      <c r="HF35" s="7"/>
      <c r="HG35" s="7"/>
      <c r="HH35" s="7"/>
      <c r="HI35" s="7">
        <f t="shared" si="72"/>
        <v>0</v>
      </c>
      <c r="HJ35" s="7">
        <v>1.0</v>
      </c>
      <c r="HK35" s="45">
        <f t="shared" si="73"/>
        <v>0</v>
      </c>
      <c r="HL35" s="7"/>
      <c r="HM35" s="7"/>
      <c r="HN35" s="7"/>
      <c r="HO35" s="7">
        <f t="shared" si="74"/>
        <v>0</v>
      </c>
      <c r="HP35" s="7">
        <v>1.0</v>
      </c>
      <c r="HQ35" s="45">
        <f t="shared" si="75"/>
        <v>0</v>
      </c>
      <c r="HR35" s="7"/>
      <c r="HS35" s="7"/>
      <c r="HT35" s="7"/>
      <c r="HU35" s="7">
        <f t="shared" si="76"/>
        <v>0</v>
      </c>
      <c r="HV35" s="7">
        <v>1.0</v>
      </c>
      <c r="HW35" s="45">
        <f t="shared" si="77"/>
        <v>0</v>
      </c>
      <c r="HX35" s="7"/>
      <c r="HY35" s="7"/>
      <c r="HZ35" s="7"/>
      <c r="IA35" s="7">
        <f t="shared" si="78"/>
        <v>0</v>
      </c>
      <c r="IB35" s="7">
        <v>1.0</v>
      </c>
      <c r="IC35" s="45">
        <f t="shared" si="79"/>
        <v>0</v>
      </c>
      <c r="ID35" s="7"/>
      <c r="IE35" s="7"/>
      <c r="IF35" s="7"/>
      <c r="IG35" s="7">
        <f t="shared" si="80"/>
        <v>0</v>
      </c>
      <c r="IH35" s="7">
        <v>1.0</v>
      </c>
      <c r="II35" s="45">
        <f t="shared" si="81"/>
        <v>0</v>
      </c>
      <c r="IJ35" s="7"/>
      <c r="IK35" s="7"/>
      <c r="IL35" s="7"/>
      <c r="IM35" s="7">
        <f t="shared" si="82"/>
        <v>0</v>
      </c>
      <c r="IN35" s="7">
        <v>1.0</v>
      </c>
      <c r="IO35" s="45">
        <f t="shared" si="83"/>
        <v>0</v>
      </c>
    </row>
    <row r="36">
      <c r="A36" s="36" t="s">
        <v>175</v>
      </c>
      <c r="B36" s="21" t="s">
        <v>176</v>
      </c>
      <c r="C36" s="1">
        <f t="shared" si="1"/>
        <v>31</v>
      </c>
      <c r="D36" s="15">
        <f>VLOOKUP(A36,TDP!A:C,3,FALSE)</f>
        <v>0.02</v>
      </c>
      <c r="E36" s="38">
        <f t="shared" si="2"/>
        <v>5.1</v>
      </c>
      <c r="F36" s="7"/>
      <c r="G36" s="39">
        <f t="shared" si="3"/>
        <v>0</v>
      </c>
      <c r="H36" s="7"/>
      <c r="I36" s="7"/>
      <c r="J36" s="7"/>
      <c r="K36" s="7">
        <f t="shared" si="4"/>
        <v>0</v>
      </c>
      <c r="L36" s="7"/>
      <c r="M36" s="45">
        <f t="shared" si="5"/>
        <v>0</v>
      </c>
      <c r="N36" s="41"/>
      <c r="O36" s="41"/>
      <c r="P36" s="41"/>
      <c r="Q36" s="42">
        <f t="shared" si="6"/>
        <v>0</v>
      </c>
      <c r="R36" s="41"/>
      <c r="S36" s="41"/>
      <c r="T36" s="41"/>
      <c r="U36" s="42">
        <f t="shared" si="7"/>
        <v>0</v>
      </c>
      <c r="V36" s="7"/>
      <c r="W36" s="7"/>
      <c r="X36" s="7"/>
      <c r="Y36" s="7">
        <f t="shared" si="8"/>
        <v>0</v>
      </c>
      <c r="Z36" s="7"/>
      <c r="AA36" s="45">
        <f t="shared" si="9"/>
        <v>0</v>
      </c>
      <c r="AB36" s="7"/>
      <c r="AC36" s="7"/>
      <c r="AD36" s="7"/>
      <c r="AE36" s="7">
        <f t="shared" si="10"/>
        <v>0</v>
      </c>
      <c r="AF36" s="7"/>
      <c r="AG36" s="45">
        <f t="shared" si="11"/>
        <v>0</v>
      </c>
      <c r="AH36" s="7"/>
      <c r="AI36" s="7"/>
      <c r="AJ36" s="7"/>
      <c r="AK36" s="7">
        <f t="shared" si="12"/>
        <v>0</v>
      </c>
      <c r="AL36" s="7"/>
      <c r="AM36" s="45">
        <f t="shared" si="13"/>
        <v>0</v>
      </c>
      <c r="AN36" s="7"/>
      <c r="AO36" s="7"/>
      <c r="AP36" s="7"/>
      <c r="AQ36" s="7">
        <f t="shared" si="14"/>
        <v>0</v>
      </c>
      <c r="AR36" s="7"/>
      <c r="AS36" s="45">
        <f t="shared" si="15"/>
        <v>0</v>
      </c>
      <c r="AT36" s="7"/>
      <c r="AU36" s="7"/>
      <c r="AV36" s="7"/>
      <c r="AW36" s="7">
        <f t="shared" si="16"/>
        <v>0</v>
      </c>
      <c r="AX36" s="7"/>
      <c r="AY36" s="45">
        <f t="shared" si="17"/>
        <v>0</v>
      </c>
      <c r="AZ36" s="7"/>
      <c r="BA36" s="7"/>
      <c r="BB36" s="7"/>
      <c r="BC36" s="7">
        <f t="shared" si="18"/>
        <v>0</v>
      </c>
      <c r="BD36" s="7"/>
      <c r="BE36" s="45">
        <f t="shared" si="19"/>
        <v>0</v>
      </c>
      <c r="BF36" s="7"/>
      <c r="BG36" s="7"/>
      <c r="BH36" s="7"/>
      <c r="BI36" s="7">
        <f t="shared" si="20"/>
        <v>0</v>
      </c>
      <c r="BJ36" s="7"/>
      <c r="BK36" s="45">
        <f t="shared" si="21"/>
        <v>0</v>
      </c>
      <c r="BL36" s="7"/>
      <c r="BM36" s="7"/>
      <c r="BN36" s="7"/>
      <c r="BO36" s="7">
        <f t="shared" si="22"/>
        <v>0</v>
      </c>
      <c r="BP36" s="7"/>
      <c r="BQ36" s="45">
        <f t="shared" si="23"/>
        <v>0</v>
      </c>
      <c r="BR36" s="7"/>
      <c r="BS36" s="7"/>
      <c r="BT36" s="7"/>
      <c r="BU36" s="7">
        <f t="shared" si="24"/>
        <v>0</v>
      </c>
      <c r="BV36" s="7"/>
      <c r="BW36" s="45">
        <f t="shared" si="25"/>
        <v>0</v>
      </c>
      <c r="BX36" s="7"/>
      <c r="BY36" s="7"/>
      <c r="BZ36" s="7"/>
      <c r="CA36" s="7">
        <f t="shared" si="26"/>
        <v>0</v>
      </c>
      <c r="CB36" s="7"/>
      <c r="CC36" s="45">
        <f t="shared" si="27"/>
        <v>0</v>
      </c>
      <c r="CD36" s="7"/>
      <c r="CE36" s="7"/>
      <c r="CF36" s="7"/>
      <c r="CG36" s="7">
        <f t="shared" si="28"/>
        <v>0</v>
      </c>
      <c r="CH36" s="7"/>
      <c r="CI36" s="45">
        <f t="shared" si="29"/>
        <v>0</v>
      </c>
      <c r="CJ36" s="7"/>
      <c r="CK36" s="7"/>
      <c r="CL36" s="7"/>
      <c r="CM36" s="7">
        <f t="shared" si="30"/>
        <v>0</v>
      </c>
      <c r="CN36" s="7"/>
      <c r="CO36" s="45">
        <f t="shared" si="31"/>
        <v>0</v>
      </c>
      <c r="CP36" s="7"/>
      <c r="CQ36" s="7"/>
      <c r="CR36" s="7"/>
      <c r="CS36" s="7">
        <f t="shared" si="32"/>
        <v>0</v>
      </c>
      <c r="CT36" s="7"/>
      <c r="CU36" s="45">
        <f t="shared" si="33"/>
        <v>0</v>
      </c>
      <c r="CV36" s="7"/>
      <c r="CW36" s="7"/>
      <c r="CX36" s="7"/>
      <c r="CY36" s="7">
        <f t="shared" si="34"/>
        <v>0</v>
      </c>
      <c r="CZ36" s="7"/>
      <c r="DA36" s="45">
        <f t="shared" si="35"/>
        <v>0</v>
      </c>
      <c r="DB36" s="7">
        <v>1.0</v>
      </c>
      <c r="DC36" s="7">
        <v>1.0</v>
      </c>
      <c r="DD36" s="7">
        <v>1.0</v>
      </c>
      <c r="DE36" s="7">
        <f t="shared" si="36"/>
        <v>5</v>
      </c>
      <c r="DF36" s="7">
        <v>1.0</v>
      </c>
      <c r="DG36" s="45">
        <f t="shared" si="37"/>
        <v>5</v>
      </c>
      <c r="DH36" s="7"/>
      <c r="DI36" s="7"/>
      <c r="DJ36" s="7"/>
      <c r="DK36" s="7">
        <f t="shared" si="38"/>
        <v>0</v>
      </c>
      <c r="DL36" s="7">
        <v>1.0</v>
      </c>
      <c r="DM36" s="45">
        <f t="shared" si="39"/>
        <v>0</v>
      </c>
      <c r="DN36" s="7"/>
      <c r="DO36" s="7"/>
      <c r="DP36" s="7"/>
      <c r="DQ36" s="7">
        <f t="shared" si="40"/>
        <v>0</v>
      </c>
      <c r="DR36" s="7">
        <v>1.0</v>
      </c>
      <c r="DS36" s="45">
        <f t="shared" si="41"/>
        <v>0</v>
      </c>
      <c r="DT36" s="7"/>
      <c r="DU36" s="7"/>
      <c r="DV36" s="7"/>
      <c r="DW36" s="7">
        <f t="shared" si="42"/>
        <v>0</v>
      </c>
      <c r="DX36" s="7">
        <v>1.0</v>
      </c>
      <c r="DY36" s="45">
        <f t="shared" si="43"/>
        <v>0</v>
      </c>
      <c r="DZ36" s="7"/>
      <c r="EA36" s="7"/>
      <c r="EB36" s="7"/>
      <c r="EC36" s="7">
        <f t="shared" si="44"/>
        <v>0</v>
      </c>
      <c r="ED36" s="7">
        <v>1.0</v>
      </c>
      <c r="EE36" s="45">
        <f t="shared" si="45"/>
        <v>0</v>
      </c>
      <c r="EF36" s="7"/>
      <c r="EG36" s="7"/>
      <c r="EH36" s="7"/>
      <c r="EI36" s="7">
        <f t="shared" si="46"/>
        <v>0</v>
      </c>
      <c r="EJ36" s="7">
        <v>1.0</v>
      </c>
      <c r="EK36" s="45">
        <f t="shared" si="47"/>
        <v>0</v>
      </c>
      <c r="EL36" s="7"/>
      <c r="EM36" s="7"/>
      <c r="EN36" s="7"/>
      <c r="EO36" s="7">
        <f t="shared" si="48"/>
        <v>0</v>
      </c>
      <c r="EP36" s="7">
        <v>1.0</v>
      </c>
      <c r="EQ36" s="45">
        <f t="shared" si="49"/>
        <v>0</v>
      </c>
      <c r="ER36" s="7"/>
      <c r="ES36" s="7"/>
      <c r="ET36" s="7"/>
      <c r="EU36" s="7">
        <f t="shared" si="50"/>
        <v>0</v>
      </c>
      <c r="EV36" s="7">
        <v>1.0</v>
      </c>
      <c r="EW36" s="45">
        <f t="shared" si="51"/>
        <v>0</v>
      </c>
      <c r="EX36" s="7"/>
      <c r="EY36" s="7"/>
      <c r="EZ36" s="7"/>
      <c r="FA36" s="7">
        <f t="shared" si="52"/>
        <v>0</v>
      </c>
      <c r="FB36" s="7">
        <v>1.0</v>
      </c>
      <c r="FC36" s="45">
        <f t="shared" si="53"/>
        <v>0</v>
      </c>
      <c r="FD36" s="41"/>
      <c r="FE36" s="41"/>
      <c r="FF36" s="41"/>
      <c r="FG36" s="41">
        <f t="shared" si="54"/>
        <v>0</v>
      </c>
      <c r="FH36" s="41">
        <v>1.0</v>
      </c>
      <c r="FI36" s="42">
        <f t="shared" si="55"/>
        <v>0</v>
      </c>
      <c r="FJ36" s="41"/>
      <c r="FK36" s="41"/>
      <c r="FL36" s="41"/>
      <c r="FM36" s="41">
        <f t="shared" si="56"/>
        <v>0</v>
      </c>
      <c r="FN36" s="41">
        <v>1.0</v>
      </c>
      <c r="FO36" s="42">
        <f t="shared" si="57"/>
        <v>0</v>
      </c>
      <c r="FP36" s="7"/>
      <c r="FQ36" s="7"/>
      <c r="FR36" s="7"/>
      <c r="FS36" s="7">
        <f t="shared" si="58"/>
        <v>0</v>
      </c>
      <c r="FT36" s="7">
        <v>1.0</v>
      </c>
      <c r="FU36" s="45">
        <f t="shared" si="59"/>
        <v>0</v>
      </c>
      <c r="FV36" s="7"/>
      <c r="FW36" s="7"/>
      <c r="FX36" s="7"/>
      <c r="FY36" s="7">
        <f t="shared" si="60"/>
        <v>0</v>
      </c>
      <c r="FZ36" s="7">
        <v>1.0</v>
      </c>
      <c r="GA36" s="45">
        <f t="shared" si="61"/>
        <v>0</v>
      </c>
      <c r="GB36" s="7"/>
      <c r="GC36" s="7"/>
      <c r="GD36" s="7"/>
      <c r="GE36" s="7">
        <f t="shared" si="62"/>
        <v>0</v>
      </c>
      <c r="GF36" s="7">
        <v>1.0</v>
      </c>
      <c r="GG36" s="45">
        <f t="shared" si="63"/>
        <v>0</v>
      </c>
      <c r="GH36" s="7"/>
      <c r="GI36" s="7"/>
      <c r="GJ36" s="7"/>
      <c r="GK36" s="7">
        <f t="shared" si="64"/>
        <v>0</v>
      </c>
      <c r="GL36" s="7">
        <v>1.0</v>
      </c>
      <c r="GM36" s="45">
        <f t="shared" si="65"/>
        <v>0</v>
      </c>
      <c r="GN36" s="41"/>
      <c r="GO36" s="41"/>
      <c r="GP36" s="41"/>
      <c r="GQ36" s="41">
        <f t="shared" si="66"/>
        <v>0</v>
      </c>
      <c r="GR36" s="41">
        <v>1.0</v>
      </c>
      <c r="GS36" s="42">
        <f t="shared" si="67"/>
        <v>0</v>
      </c>
      <c r="GT36" s="7"/>
      <c r="GU36" s="7"/>
      <c r="GV36" s="7"/>
      <c r="GW36" s="7">
        <f t="shared" si="68"/>
        <v>0</v>
      </c>
      <c r="GX36" s="7">
        <v>1.0</v>
      </c>
      <c r="GY36" s="45">
        <f t="shared" si="69"/>
        <v>0</v>
      </c>
      <c r="GZ36" s="7"/>
      <c r="HA36" s="7"/>
      <c r="HB36" s="7"/>
      <c r="HC36" s="7">
        <f t="shared" si="70"/>
        <v>0</v>
      </c>
      <c r="HD36" s="7">
        <v>1.0</v>
      </c>
      <c r="HE36" s="45">
        <f t="shared" si="71"/>
        <v>0</v>
      </c>
      <c r="HF36" s="7"/>
      <c r="HG36" s="7"/>
      <c r="HH36" s="7"/>
      <c r="HI36" s="7">
        <f t="shared" si="72"/>
        <v>0</v>
      </c>
      <c r="HJ36" s="7">
        <v>1.0</v>
      </c>
      <c r="HK36" s="45">
        <f t="shared" si="73"/>
        <v>0</v>
      </c>
      <c r="HL36" s="7"/>
      <c r="HM36" s="7"/>
      <c r="HN36" s="7"/>
      <c r="HO36" s="7">
        <f t="shared" si="74"/>
        <v>0</v>
      </c>
      <c r="HP36" s="7">
        <v>1.0</v>
      </c>
      <c r="HQ36" s="45">
        <f t="shared" si="75"/>
        <v>0</v>
      </c>
      <c r="HR36" s="7"/>
      <c r="HS36" s="7"/>
      <c r="HT36" s="7"/>
      <c r="HU36" s="7">
        <f t="shared" si="76"/>
        <v>0</v>
      </c>
      <c r="HV36" s="7">
        <v>1.0</v>
      </c>
      <c r="HW36" s="45">
        <f t="shared" si="77"/>
        <v>0</v>
      </c>
      <c r="HX36" s="7"/>
      <c r="HY36" s="7"/>
      <c r="HZ36" s="7"/>
      <c r="IA36" s="7">
        <f t="shared" si="78"/>
        <v>0</v>
      </c>
      <c r="IB36" s="7">
        <v>1.0</v>
      </c>
      <c r="IC36" s="45">
        <f t="shared" si="79"/>
        <v>0</v>
      </c>
      <c r="ID36" s="7"/>
      <c r="IE36" s="7"/>
      <c r="IF36" s="7"/>
      <c r="IG36" s="7">
        <f t="shared" si="80"/>
        <v>0</v>
      </c>
      <c r="IH36" s="7">
        <v>1.0</v>
      </c>
      <c r="II36" s="45">
        <f t="shared" si="81"/>
        <v>0</v>
      </c>
      <c r="IJ36" s="7"/>
      <c r="IK36" s="7"/>
      <c r="IL36" s="7"/>
      <c r="IM36" s="7">
        <f t="shared" si="82"/>
        <v>0</v>
      </c>
      <c r="IN36" s="7">
        <v>1.0</v>
      </c>
      <c r="IO36" s="45">
        <f t="shared" si="83"/>
        <v>0</v>
      </c>
    </row>
    <row r="37">
      <c r="A37" s="36" t="s">
        <v>129</v>
      </c>
      <c r="B37" s="21"/>
      <c r="C37" s="1">
        <f t="shared" si="1"/>
        <v>32</v>
      </c>
      <c r="D37" s="15">
        <f>VLOOKUP(A37,TDP!A:C,3,FALSE)</f>
        <v>0.1</v>
      </c>
      <c r="E37" s="38">
        <f t="shared" si="2"/>
        <v>3.3</v>
      </c>
      <c r="F37" s="7"/>
      <c r="G37" s="39">
        <f>if($F37=1, 7, 0 )</f>
        <v>0</v>
      </c>
      <c r="H37" s="7"/>
      <c r="I37" s="7"/>
      <c r="J37" s="7"/>
      <c r="K37" s="7">
        <f t="shared" si="4"/>
        <v>0</v>
      </c>
      <c r="L37" s="7"/>
      <c r="M37" s="45">
        <f t="shared" si="5"/>
        <v>0</v>
      </c>
      <c r="N37" s="41"/>
      <c r="O37" s="41"/>
      <c r="P37" s="41"/>
      <c r="Q37" s="42">
        <f t="shared" si="6"/>
        <v>0</v>
      </c>
      <c r="R37" s="41"/>
      <c r="S37" s="41"/>
      <c r="T37" s="41"/>
      <c r="U37" s="42">
        <f t="shared" si="7"/>
        <v>0</v>
      </c>
      <c r="V37" s="7"/>
      <c r="W37" s="7"/>
      <c r="X37" s="7"/>
      <c r="Y37" s="7">
        <f t="shared" si="8"/>
        <v>0</v>
      </c>
      <c r="Z37" s="7"/>
      <c r="AA37" s="45">
        <f t="shared" si="9"/>
        <v>0</v>
      </c>
      <c r="AB37" s="7"/>
      <c r="AC37" s="7"/>
      <c r="AD37" s="7"/>
      <c r="AE37" s="7">
        <f t="shared" si="10"/>
        <v>0</v>
      </c>
      <c r="AF37" s="7"/>
      <c r="AG37" s="45">
        <f t="shared" si="11"/>
        <v>0</v>
      </c>
      <c r="AH37" s="7"/>
      <c r="AI37" s="7"/>
      <c r="AJ37" s="7"/>
      <c r="AK37" s="7">
        <f t="shared" si="12"/>
        <v>0</v>
      </c>
      <c r="AL37" s="7"/>
      <c r="AM37" s="45">
        <f t="shared" si="13"/>
        <v>0</v>
      </c>
      <c r="AN37" s="7"/>
      <c r="AO37" s="7"/>
      <c r="AP37" s="7"/>
      <c r="AQ37" s="7">
        <f t="shared" si="14"/>
        <v>0</v>
      </c>
      <c r="AR37" s="7"/>
      <c r="AS37" s="45">
        <f t="shared" si="15"/>
        <v>0</v>
      </c>
      <c r="AT37" s="7"/>
      <c r="AU37" s="7"/>
      <c r="AV37" s="7"/>
      <c r="AW37" s="7">
        <f t="shared" si="16"/>
        <v>0</v>
      </c>
      <c r="AX37" s="7"/>
      <c r="AY37" s="45">
        <f t="shared" si="17"/>
        <v>0</v>
      </c>
      <c r="AZ37" s="7"/>
      <c r="BA37" s="7"/>
      <c r="BB37" s="7"/>
      <c r="BC37" s="7">
        <f t="shared" si="18"/>
        <v>0</v>
      </c>
      <c r="BD37" s="7"/>
      <c r="BE37" s="45">
        <f t="shared" si="19"/>
        <v>0</v>
      </c>
      <c r="BF37" s="7"/>
      <c r="BG37" s="7"/>
      <c r="BH37" s="7"/>
      <c r="BI37" s="7">
        <f t="shared" si="20"/>
        <v>0</v>
      </c>
      <c r="BJ37" s="7"/>
      <c r="BK37" s="45">
        <f t="shared" si="21"/>
        <v>0</v>
      </c>
      <c r="BL37" s="7"/>
      <c r="BM37" s="7"/>
      <c r="BN37" s="7"/>
      <c r="BO37" s="7">
        <f t="shared" si="22"/>
        <v>0</v>
      </c>
      <c r="BP37" s="7"/>
      <c r="BQ37" s="45">
        <f t="shared" si="23"/>
        <v>0</v>
      </c>
      <c r="BR37" s="7"/>
      <c r="BS37" s="7"/>
      <c r="BT37" s="7"/>
      <c r="BU37" s="7">
        <f t="shared" si="24"/>
        <v>0</v>
      </c>
      <c r="BV37" s="7"/>
      <c r="BW37" s="45">
        <f t="shared" si="25"/>
        <v>0</v>
      </c>
      <c r="BX37" s="7">
        <v>1.0</v>
      </c>
      <c r="BY37" s="7">
        <v>1.0</v>
      </c>
      <c r="BZ37" s="7"/>
      <c r="CA37" s="7">
        <f t="shared" si="26"/>
        <v>3</v>
      </c>
      <c r="CB37" s="7">
        <v>1.0</v>
      </c>
      <c r="CC37" s="45">
        <f t="shared" si="27"/>
        <v>3</v>
      </c>
      <c r="CD37" s="7"/>
      <c r="CE37" s="7"/>
      <c r="CF37" s="7"/>
      <c r="CG37" s="7">
        <f t="shared" si="28"/>
        <v>0</v>
      </c>
      <c r="CH37" s="7"/>
      <c r="CI37" s="45">
        <f t="shared" si="29"/>
        <v>0</v>
      </c>
      <c r="CJ37" s="7"/>
      <c r="CK37" s="7"/>
      <c r="CL37" s="7"/>
      <c r="CM37" s="7">
        <f t="shared" si="30"/>
        <v>0</v>
      </c>
      <c r="CN37" s="7"/>
      <c r="CO37" s="45">
        <f t="shared" si="31"/>
        <v>0</v>
      </c>
      <c r="CP37" s="7"/>
      <c r="CQ37" s="7"/>
      <c r="CR37" s="7"/>
      <c r="CS37" s="7">
        <f t="shared" si="32"/>
        <v>0</v>
      </c>
      <c r="CT37" s="7"/>
      <c r="CU37" s="45">
        <f t="shared" si="33"/>
        <v>0</v>
      </c>
      <c r="CV37" s="7"/>
      <c r="CW37" s="7"/>
      <c r="CX37" s="7"/>
      <c r="CY37" s="7">
        <f t="shared" si="34"/>
        <v>0</v>
      </c>
      <c r="CZ37" s="7"/>
      <c r="DA37" s="45">
        <f t="shared" si="35"/>
        <v>0</v>
      </c>
      <c r="DB37" s="7"/>
      <c r="DC37" s="7"/>
      <c r="DD37" s="7"/>
      <c r="DE37" s="7">
        <f t="shared" si="36"/>
        <v>0</v>
      </c>
      <c r="DF37" s="7">
        <v>1.0</v>
      </c>
      <c r="DG37" s="45">
        <f t="shared" si="37"/>
        <v>0</v>
      </c>
      <c r="DH37" s="7"/>
      <c r="DI37" s="7"/>
      <c r="DJ37" s="7"/>
      <c r="DK37" s="7">
        <f t="shared" si="38"/>
        <v>0</v>
      </c>
      <c r="DL37" s="7">
        <v>1.0</v>
      </c>
      <c r="DM37" s="45">
        <f t="shared" si="39"/>
        <v>0</v>
      </c>
      <c r="DN37" s="7"/>
      <c r="DO37" s="7"/>
      <c r="DP37" s="7"/>
      <c r="DQ37" s="7">
        <f t="shared" si="40"/>
        <v>0</v>
      </c>
      <c r="DR37" s="7">
        <v>1.0</v>
      </c>
      <c r="DS37" s="45">
        <f t="shared" si="41"/>
        <v>0</v>
      </c>
      <c r="DT37" s="7"/>
      <c r="DU37" s="7"/>
      <c r="DV37" s="7"/>
      <c r="DW37" s="7">
        <f t="shared" si="42"/>
        <v>0</v>
      </c>
      <c r="DX37" s="7">
        <v>1.0</v>
      </c>
      <c r="DY37" s="45">
        <f t="shared" si="43"/>
        <v>0</v>
      </c>
      <c r="DZ37" s="7"/>
      <c r="EA37" s="7"/>
      <c r="EB37" s="7"/>
      <c r="EC37" s="7">
        <f t="shared" si="44"/>
        <v>0</v>
      </c>
      <c r="ED37" s="7">
        <v>1.0</v>
      </c>
      <c r="EE37" s="45">
        <f t="shared" si="45"/>
        <v>0</v>
      </c>
      <c r="EF37" s="7"/>
      <c r="EG37" s="7"/>
      <c r="EH37" s="7"/>
      <c r="EI37" s="7">
        <f t="shared" si="46"/>
        <v>0</v>
      </c>
      <c r="EJ37" s="7">
        <v>1.0</v>
      </c>
      <c r="EK37" s="45">
        <f t="shared" si="47"/>
        <v>0</v>
      </c>
      <c r="EL37" s="7"/>
      <c r="EM37" s="7"/>
      <c r="EN37" s="7"/>
      <c r="EO37" s="7">
        <f t="shared" si="48"/>
        <v>0</v>
      </c>
      <c r="EP37" s="7">
        <v>1.0</v>
      </c>
      <c r="EQ37" s="45">
        <f t="shared" si="49"/>
        <v>0</v>
      </c>
      <c r="ER37" s="7"/>
      <c r="ES37" s="7"/>
      <c r="ET37" s="7"/>
      <c r="EU37" s="7">
        <f t="shared" si="50"/>
        <v>0</v>
      </c>
      <c r="EV37" s="7">
        <v>1.0</v>
      </c>
      <c r="EW37" s="45">
        <f t="shared" si="51"/>
        <v>0</v>
      </c>
      <c r="EX37" s="7"/>
      <c r="EY37" s="7"/>
      <c r="EZ37" s="7"/>
      <c r="FA37" s="7">
        <f t="shared" si="52"/>
        <v>0</v>
      </c>
      <c r="FB37" s="7">
        <v>1.0</v>
      </c>
      <c r="FC37" s="45">
        <f t="shared" si="53"/>
        <v>0</v>
      </c>
      <c r="FD37" s="41"/>
      <c r="FE37" s="41"/>
      <c r="FF37" s="41"/>
      <c r="FG37" s="41">
        <f t="shared" si="54"/>
        <v>0</v>
      </c>
      <c r="FH37" s="41">
        <v>1.0</v>
      </c>
      <c r="FI37" s="42">
        <f t="shared" si="55"/>
        <v>0</v>
      </c>
      <c r="FJ37" s="41"/>
      <c r="FK37" s="41"/>
      <c r="FL37" s="41"/>
      <c r="FM37" s="41">
        <f t="shared" si="56"/>
        <v>0</v>
      </c>
      <c r="FN37" s="41">
        <v>1.0</v>
      </c>
      <c r="FO37" s="42">
        <f t="shared" si="57"/>
        <v>0</v>
      </c>
      <c r="FP37" s="7"/>
      <c r="FQ37" s="7"/>
      <c r="FR37" s="7"/>
      <c r="FS37" s="7">
        <f t="shared" si="58"/>
        <v>0</v>
      </c>
      <c r="FT37" s="7">
        <v>1.0</v>
      </c>
      <c r="FU37" s="45">
        <f t="shared" si="59"/>
        <v>0</v>
      </c>
      <c r="FV37" s="7"/>
      <c r="FW37" s="7"/>
      <c r="FX37" s="7"/>
      <c r="FY37" s="7">
        <f t="shared" si="60"/>
        <v>0</v>
      </c>
      <c r="FZ37" s="7">
        <v>1.0</v>
      </c>
      <c r="GA37" s="45">
        <f t="shared" si="61"/>
        <v>0</v>
      </c>
      <c r="GB37" s="7"/>
      <c r="GC37" s="7"/>
      <c r="GD37" s="7"/>
      <c r="GE37" s="7">
        <f t="shared" si="62"/>
        <v>0</v>
      </c>
      <c r="GF37" s="7">
        <v>1.0</v>
      </c>
      <c r="GG37" s="45">
        <f t="shared" si="63"/>
        <v>0</v>
      </c>
      <c r="GH37" s="7"/>
      <c r="GI37" s="7"/>
      <c r="GJ37" s="7"/>
      <c r="GK37" s="7">
        <f t="shared" si="64"/>
        <v>0</v>
      </c>
      <c r="GL37" s="7">
        <v>1.0</v>
      </c>
      <c r="GM37" s="45">
        <f t="shared" si="65"/>
        <v>0</v>
      </c>
      <c r="GN37" s="41"/>
      <c r="GO37" s="41"/>
      <c r="GP37" s="41"/>
      <c r="GQ37" s="41">
        <f t="shared" si="66"/>
        <v>0</v>
      </c>
      <c r="GR37" s="41">
        <v>1.0</v>
      </c>
      <c r="GS37" s="42">
        <f t="shared" si="67"/>
        <v>0</v>
      </c>
      <c r="GT37" s="7"/>
      <c r="GU37" s="7"/>
      <c r="GV37" s="7"/>
      <c r="GW37" s="7">
        <f t="shared" si="68"/>
        <v>0</v>
      </c>
      <c r="GX37" s="7">
        <v>1.0</v>
      </c>
      <c r="GY37" s="45">
        <f t="shared" si="69"/>
        <v>0</v>
      </c>
      <c r="GZ37" s="7"/>
      <c r="HA37" s="7"/>
      <c r="HB37" s="7"/>
      <c r="HC37" s="7">
        <f t="shared" si="70"/>
        <v>0</v>
      </c>
      <c r="HD37" s="7">
        <v>1.0</v>
      </c>
      <c r="HE37" s="45">
        <f t="shared" si="71"/>
        <v>0</v>
      </c>
      <c r="HF37" s="7"/>
      <c r="HG37" s="7"/>
      <c r="HH37" s="7"/>
      <c r="HI37" s="7">
        <f t="shared" si="72"/>
        <v>0</v>
      </c>
      <c r="HJ37" s="7">
        <v>1.0</v>
      </c>
      <c r="HK37" s="45">
        <f t="shared" si="73"/>
        <v>0</v>
      </c>
      <c r="HL37" s="7"/>
      <c r="HM37" s="7"/>
      <c r="HN37" s="7"/>
      <c r="HO37" s="7">
        <f t="shared" si="74"/>
        <v>0</v>
      </c>
      <c r="HP37" s="7">
        <v>1.0</v>
      </c>
      <c r="HQ37" s="45">
        <f t="shared" si="75"/>
        <v>0</v>
      </c>
      <c r="HR37" s="7"/>
      <c r="HS37" s="7"/>
      <c r="HT37" s="7"/>
      <c r="HU37" s="7">
        <f t="shared" si="76"/>
        <v>0</v>
      </c>
      <c r="HV37" s="7">
        <v>1.0</v>
      </c>
      <c r="HW37" s="45">
        <f t="shared" si="77"/>
        <v>0</v>
      </c>
      <c r="HX37" s="7"/>
      <c r="HY37" s="7"/>
      <c r="HZ37" s="7"/>
      <c r="IA37" s="7">
        <f t="shared" si="78"/>
        <v>0</v>
      </c>
      <c r="IB37" s="7">
        <v>1.0</v>
      </c>
      <c r="IC37" s="45">
        <f t="shared" si="79"/>
        <v>0</v>
      </c>
      <c r="ID37" s="7"/>
      <c r="IE37" s="7"/>
      <c r="IF37" s="7"/>
      <c r="IG37" s="7">
        <f t="shared" si="80"/>
        <v>0</v>
      </c>
      <c r="IH37" s="7">
        <v>1.0</v>
      </c>
      <c r="II37" s="45">
        <f t="shared" si="81"/>
        <v>0</v>
      </c>
      <c r="IJ37" s="7"/>
      <c r="IK37" s="7"/>
      <c r="IL37" s="7"/>
      <c r="IM37" s="7">
        <f t="shared" si="82"/>
        <v>0</v>
      </c>
      <c r="IN37" s="7">
        <v>1.0</v>
      </c>
      <c r="IO37" s="45">
        <f t="shared" si="83"/>
        <v>0</v>
      </c>
    </row>
    <row r="38">
      <c r="A38" s="36" t="s">
        <v>36</v>
      </c>
      <c r="B38" s="21" t="s">
        <v>37</v>
      </c>
      <c r="C38" s="1">
        <f t="shared" si="1"/>
        <v>33</v>
      </c>
      <c r="D38" s="15">
        <f>VLOOKUP(A38,TDP!A:C,3,FALSE)</f>
        <v>0.37</v>
      </c>
      <c r="E38" s="38">
        <f t="shared" si="2"/>
        <v>0</v>
      </c>
      <c r="F38" s="7"/>
      <c r="G38" s="39">
        <f t="shared" ref="G38:G46" si="84">if(F38=1, 7, 0 )</f>
        <v>0</v>
      </c>
      <c r="H38" s="7"/>
      <c r="I38" s="7"/>
      <c r="J38" s="7"/>
      <c r="K38" s="7">
        <f t="shared" si="4"/>
        <v>0</v>
      </c>
      <c r="L38" s="7"/>
      <c r="M38" s="45">
        <f t="shared" si="5"/>
        <v>0</v>
      </c>
      <c r="N38" s="41"/>
      <c r="O38" s="41"/>
      <c r="P38" s="41"/>
      <c r="Q38" s="42">
        <f t="shared" si="6"/>
        <v>0</v>
      </c>
      <c r="R38" s="41"/>
      <c r="S38" s="41"/>
      <c r="T38" s="41"/>
      <c r="U38" s="42">
        <f t="shared" si="7"/>
        <v>0</v>
      </c>
      <c r="V38" s="7"/>
      <c r="W38" s="7"/>
      <c r="X38" s="7"/>
      <c r="Y38" s="7">
        <f t="shared" si="8"/>
        <v>0</v>
      </c>
      <c r="Z38" s="7"/>
      <c r="AA38" s="45">
        <f t="shared" si="9"/>
        <v>0</v>
      </c>
      <c r="AB38" s="7"/>
      <c r="AC38" s="7"/>
      <c r="AD38" s="7"/>
      <c r="AE38" s="7">
        <f t="shared" si="10"/>
        <v>0</v>
      </c>
      <c r="AF38" s="7"/>
      <c r="AG38" s="45">
        <f t="shared" si="11"/>
        <v>0</v>
      </c>
      <c r="AH38" s="7"/>
      <c r="AI38" s="7"/>
      <c r="AJ38" s="7"/>
      <c r="AK38" s="7">
        <f t="shared" si="12"/>
        <v>0</v>
      </c>
      <c r="AL38" s="7"/>
      <c r="AM38" s="45">
        <f t="shared" si="13"/>
        <v>0</v>
      </c>
      <c r="AN38" s="7"/>
      <c r="AO38" s="7"/>
      <c r="AP38" s="7"/>
      <c r="AQ38" s="7">
        <f t="shared" si="14"/>
        <v>0</v>
      </c>
      <c r="AR38" s="7"/>
      <c r="AS38" s="45">
        <f t="shared" si="15"/>
        <v>0</v>
      </c>
      <c r="AT38" s="7"/>
      <c r="AU38" s="7"/>
      <c r="AV38" s="7"/>
      <c r="AW38" s="7">
        <f t="shared" si="16"/>
        <v>0</v>
      </c>
      <c r="AX38" s="7"/>
      <c r="AY38" s="45">
        <f t="shared" si="17"/>
        <v>0</v>
      </c>
      <c r="AZ38" s="7"/>
      <c r="BA38" s="7"/>
      <c r="BB38" s="7"/>
      <c r="BC38" s="7">
        <f t="shared" si="18"/>
        <v>0</v>
      </c>
      <c r="BD38" s="7"/>
      <c r="BE38" s="45">
        <f t="shared" si="19"/>
        <v>0</v>
      </c>
      <c r="BF38" s="7"/>
      <c r="BG38" s="7"/>
      <c r="BH38" s="7"/>
      <c r="BI38" s="7">
        <f t="shared" si="20"/>
        <v>0</v>
      </c>
      <c r="BJ38" s="7"/>
      <c r="BK38" s="45">
        <f t="shared" si="21"/>
        <v>0</v>
      </c>
      <c r="BL38" s="7"/>
      <c r="BM38" s="7"/>
      <c r="BN38" s="7"/>
      <c r="BO38" s="7">
        <f t="shared" si="22"/>
        <v>0</v>
      </c>
      <c r="BP38" s="7"/>
      <c r="BQ38" s="45">
        <f t="shared" si="23"/>
        <v>0</v>
      </c>
      <c r="BR38" s="7"/>
      <c r="BS38" s="7"/>
      <c r="BT38" s="7"/>
      <c r="BU38" s="7">
        <f t="shared" si="24"/>
        <v>0</v>
      </c>
      <c r="BV38" s="7"/>
      <c r="BW38" s="45">
        <f t="shared" si="25"/>
        <v>0</v>
      </c>
      <c r="BX38" s="7"/>
      <c r="BY38" s="7"/>
      <c r="BZ38" s="7"/>
      <c r="CA38" s="7">
        <f t="shared" si="26"/>
        <v>0</v>
      </c>
      <c r="CB38" s="7"/>
      <c r="CC38" s="45">
        <f t="shared" si="27"/>
        <v>0</v>
      </c>
      <c r="CD38" s="7"/>
      <c r="CE38" s="7"/>
      <c r="CF38" s="7"/>
      <c r="CG38" s="7">
        <f t="shared" si="28"/>
        <v>0</v>
      </c>
      <c r="CH38" s="7"/>
      <c r="CI38" s="45">
        <f t="shared" si="29"/>
        <v>0</v>
      </c>
      <c r="CJ38" s="7"/>
      <c r="CK38" s="7"/>
      <c r="CL38" s="7"/>
      <c r="CM38" s="7">
        <f t="shared" si="30"/>
        <v>0</v>
      </c>
      <c r="CN38" s="7"/>
      <c r="CO38" s="45">
        <f t="shared" si="31"/>
        <v>0</v>
      </c>
      <c r="CP38" s="7"/>
      <c r="CQ38" s="7"/>
      <c r="CR38" s="7"/>
      <c r="CS38" s="7">
        <f t="shared" si="32"/>
        <v>0</v>
      </c>
      <c r="CT38" s="7"/>
      <c r="CU38" s="45">
        <f t="shared" si="33"/>
        <v>0</v>
      </c>
      <c r="CV38" s="7"/>
      <c r="CW38" s="7"/>
      <c r="CX38" s="7"/>
      <c r="CY38" s="7">
        <f t="shared" si="34"/>
        <v>0</v>
      </c>
      <c r="CZ38" s="7"/>
      <c r="DA38" s="45">
        <f t="shared" si="35"/>
        <v>0</v>
      </c>
      <c r="DB38" s="7"/>
      <c r="DC38" s="7"/>
      <c r="DD38" s="7"/>
      <c r="DE38" s="7">
        <f t="shared" si="36"/>
        <v>0</v>
      </c>
      <c r="DF38" s="7">
        <v>1.0</v>
      </c>
      <c r="DG38" s="45">
        <f t="shared" si="37"/>
        <v>0</v>
      </c>
      <c r="DH38" s="7"/>
      <c r="DI38" s="7"/>
      <c r="DJ38" s="7"/>
      <c r="DK38" s="7">
        <f t="shared" si="38"/>
        <v>0</v>
      </c>
      <c r="DL38" s="7">
        <v>1.0</v>
      </c>
      <c r="DM38" s="45">
        <f t="shared" si="39"/>
        <v>0</v>
      </c>
      <c r="DN38" s="7"/>
      <c r="DO38" s="7"/>
      <c r="DP38" s="7"/>
      <c r="DQ38" s="7">
        <f t="shared" si="40"/>
        <v>0</v>
      </c>
      <c r="DR38" s="7">
        <v>1.0</v>
      </c>
      <c r="DS38" s="45">
        <f t="shared" si="41"/>
        <v>0</v>
      </c>
      <c r="DT38" s="7"/>
      <c r="DU38" s="7"/>
      <c r="DV38" s="7"/>
      <c r="DW38" s="7">
        <f t="shared" si="42"/>
        <v>0</v>
      </c>
      <c r="DX38" s="7">
        <v>1.0</v>
      </c>
      <c r="DY38" s="45">
        <f t="shared" si="43"/>
        <v>0</v>
      </c>
      <c r="DZ38" s="7"/>
      <c r="EA38" s="7"/>
      <c r="EB38" s="7"/>
      <c r="EC38" s="7">
        <f t="shared" si="44"/>
        <v>0</v>
      </c>
      <c r="ED38" s="7">
        <v>1.0</v>
      </c>
      <c r="EE38" s="45">
        <f t="shared" si="45"/>
        <v>0</v>
      </c>
      <c r="EF38" s="7"/>
      <c r="EG38" s="7"/>
      <c r="EH38" s="7"/>
      <c r="EI38" s="7">
        <f t="shared" si="46"/>
        <v>0</v>
      </c>
      <c r="EJ38" s="7">
        <v>1.0</v>
      </c>
      <c r="EK38" s="45">
        <f t="shared" si="47"/>
        <v>0</v>
      </c>
      <c r="EL38" s="7"/>
      <c r="EM38" s="7"/>
      <c r="EN38" s="7"/>
      <c r="EO38" s="7">
        <f t="shared" si="48"/>
        <v>0</v>
      </c>
      <c r="EP38" s="7">
        <v>1.0</v>
      </c>
      <c r="EQ38" s="45">
        <f t="shared" si="49"/>
        <v>0</v>
      </c>
      <c r="ER38" s="7"/>
      <c r="ES38" s="7"/>
      <c r="ET38" s="7"/>
      <c r="EU38" s="7">
        <f t="shared" si="50"/>
        <v>0</v>
      </c>
      <c r="EV38" s="7">
        <v>1.0</v>
      </c>
      <c r="EW38" s="45">
        <f t="shared" si="51"/>
        <v>0</v>
      </c>
      <c r="EX38" s="7"/>
      <c r="EY38" s="7"/>
      <c r="EZ38" s="7"/>
      <c r="FA38" s="7">
        <f t="shared" si="52"/>
        <v>0</v>
      </c>
      <c r="FB38" s="7">
        <v>1.0</v>
      </c>
      <c r="FC38" s="45">
        <f t="shared" si="53"/>
        <v>0</v>
      </c>
      <c r="FD38" s="41"/>
      <c r="FE38" s="41"/>
      <c r="FF38" s="41"/>
      <c r="FG38" s="41">
        <f t="shared" si="54"/>
        <v>0</v>
      </c>
      <c r="FH38" s="41">
        <v>1.0</v>
      </c>
      <c r="FI38" s="42">
        <f t="shared" si="55"/>
        <v>0</v>
      </c>
      <c r="FJ38" s="41"/>
      <c r="FK38" s="41"/>
      <c r="FL38" s="41"/>
      <c r="FM38" s="41">
        <f t="shared" si="56"/>
        <v>0</v>
      </c>
      <c r="FN38" s="41">
        <v>1.0</v>
      </c>
      <c r="FO38" s="42">
        <f t="shared" si="57"/>
        <v>0</v>
      </c>
      <c r="FP38" s="7"/>
      <c r="FQ38" s="7"/>
      <c r="FR38" s="7"/>
      <c r="FS38" s="7">
        <f t="shared" si="58"/>
        <v>0</v>
      </c>
      <c r="FT38" s="7">
        <v>1.0</v>
      </c>
      <c r="FU38" s="45">
        <f t="shared" si="59"/>
        <v>0</v>
      </c>
      <c r="FV38" s="7"/>
      <c r="FW38" s="7"/>
      <c r="FX38" s="7"/>
      <c r="FY38" s="7">
        <f t="shared" si="60"/>
        <v>0</v>
      </c>
      <c r="FZ38" s="7">
        <v>1.0</v>
      </c>
      <c r="GA38" s="45">
        <f t="shared" si="61"/>
        <v>0</v>
      </c>
      <c r="GB38" s="7"/>
      <c r="GC38" s="7"/>
      <c r="GD38" s="7"/>
      <c r="GE38" s="7">
        <f t="shared" si="62"/>
        <v>0</v>
      </c>
      <c r="GF38" s="7">
        <v>1.0</v>
      </c>
      <c r="GG38" s="45">
        <f t="shared" si="63"/>
        <v>0</v>
      </c>
      <c r="GH38" s="7"/>
      <c r="GI38" s="7"/>
      <c r="GJ38" s="7"/>
      <c r="GK38" s="7">
        <f t="shared" si="64"/>
        <v>0</v>
      </c>
      <c r="GL38" s="7">
        <v>1.0</v>
      </c>
      <c r="GM38" s="45">
        <f t="shared" si="65"/>
        <v>0</v>
      </c>
      <c r="GN38" s="41"/>
      <c r="GO38" s="41"/>
      <c r="GP38" s="41"/>
      <c r="GQ38" s="41">
        <f t="shared" si="66"/>
        <v>0</v>
      </c>
      <c r="GR38" s="41">
        <v>1.0</v>
      </c>
      <c r="GS38" s="42">
        <f t="shared" si="67"/>
        <v>0</v>
      </c>
      <c r="GT38" s="7"/>
      <c r="GU38" s="7"/>
      <c r="GV38" s="7"/>
      <c r="GW38" s="7">
        <f t="shared" si="68"/>
        <v>0</v>
      </c>
      <c r="GX38" s="7">
        <v>1.0</v>
      </c>
      <c r="GY38" s="45">
        <f t="shared" si="69"/>
        <v>0</v>
      </c>
      <c r="GZ38" s="7"/>
      <c r="HA38" s="7"/>
      <c r="HB38" s="7"/>
      <c r="HC38" s="7">
        <f t="shared" si="70"/>
        <v>0</v>
      </c>
      <c r="HD38" s="7">
        <v>1.0</v>
      </c>
      <c r="HE38" s="45">
        <f t="shared" si="71"/>
        <v>0</v>
      </c>
      <c r="HF38" s="7"/>
      <c r="HG38" s="7"/>
      <c r="HH38" s="7"/>
      <c r="HI38" s="7">
        <f t="shared" si="72"/>
        <v>0</v>
      </c>
      <c r="HJ38" s="7">
        <v>1.0</v>
      </c>
      <c r="HK38" s="45">
        <f t="shared" si="73"/>
        <v>0</v>
      </c>
      <c r="HL38" s="7"/>
      <c r="HM38" s="7"/>
      <c r="HN38" s="7"/>
      <c r="HO38" s="7">
        <f t="shared" si="74"/>
        <v>0</v>
      </c>
      <c r="HP38" s="7">
        <v>1.0</v>
      </c>
      <c r="HQ38" s="45">
        <f t="shared" si="75"/>
        <v>0</v>
      </c>
      <c r="HR38" s="7"/>
      <c r="HS38" s="7"/>
      <c r="HT38" s="7"/>
      <c r="HU38" s="7">
        <f t="shared" si="76"/>
        <v>0</v>
      </c>
      <c r="HV38" s="7">
        <v>1.0</v>
      </c>
      <c r="HW38" s="45">
        <f t="shared" si="77"/>
        <v>0</v>
      </c>
      <c r="HX38" s="7"/>
      <c r="HY38" s="7"/>
      <c r="HZ38" s="7"/>
      <c r="IA38" s="7">
        <f t="shared" si="78"/>
        <v>0</v>
      </c>
      <c r="IB38" s="7">
        <v>1.0</v>
      </c>
      <c r="IC38" s="45">
        <f t="shared" si="79"/>
        <v>0</v>
      </c>
      <c r="ID38" s="7"/>
      <c r="IE38" s="7"/>
      <c r="IF38" s="7"/>
      <c r="IG38" s="7">
        <f t="shared" si="80"/>
        <v>0</v>
      </c>
      <c r="IH38" s="7">
        <v>1.0</v>
      </c>
      <c r="II38" s="45">
        <f t="shared" si="81"/>
        <v>0</v>
      </c>
      <c r="IJ38" s="7"/>
      <c r="IK38" s="7"/>
      <c r="IL38" s="7"/>
      <c r="IM38" s="7">
        <f t="shared" si="82"/>
        <v>0</v>
      </c>
      <c r="IN38" s="7">
        <v>1.0</v>
      </c>
      <c r="IO38" s="45">
        <f t="shared" si="83"/>
        <v>0</v>
      </c>
    </row>
    <row r="39">
      <c r="A39" s="36" t="s">
        <v>56</v>
      </c>
      <c r="B39" s="21" t="s">
        <v>57</v>
      </c>
      <c r="C39" s="1">
        <f t="shared" si="1"/>
        <v>34</v>
      </c>
      <c r="D39" s="15">
        <f>VLOOKUP(A39,TDP!A:C,3,FALSE)</f>
        <v>0.3</v>
      </c>
      <c r="E39" s="38">
        <f t="shared" si="2"/>
        <v>0</v>
      </c>
      <c r="F39" s="7"/>
      <c r="G39" s="39">
        <f t="shared" si="84"/>
        <v>0</v>
      </c>
      <c r="H39" s="7"/>
      <c r="I39" s="7"/>
      <c r="J39" s="7"/>
      <c r="K39" s="7">
        <f t="shared" si="4"/>
        <v>0</v>
      </c>
      <c r="L39" s="7"/>
      <c r="M39" s="45">
        <f t="shared" si="5"/>
        <v>0</v>
      </c>
      <c r="N39" s="41"/>
      <c r="O39" s="41"/>
      <c r="P39" s="41"/>
      <c r="Q39" s="42">
        <f t="shared" si="6"/>
        <v>0</v>
      </c>
      <c r="R39" s="41"/>
      <c r="S39" s="41"/>
      <c r="T39" s="41"/>
      <c r="U39" s="42">
        <f t="shared" si="7"/>
        <v>0</v>
      </c>
      <c r="V39" s="7"/>
      <c r="W39" s="7"/>
      <c r="X39" s="7"/>
      <c r="Y39" s="7">
        <f t="shared" si="8"/>
        <v>0</v>
      </c>
      <c r="Z39" s="7"/>
      <c r="AA39" s="45">
        <f t="shared" si="9"/>
        <v>0</v>
      </c>
      <c r="AB39" s="7"/>
      <c r="AC39" s="7"/>
      <c r="AD39" s="7"/>
      <c r="AE39" s="7">
        <f t="shared" si="10"/>
        <v>0</v>
      </c>
      <c r="AF39" s="7"/>
      <c r="AG39" s="45">
        <f t="shared" si="11"/>
        <v>0</v>
      </c>
      <c r="AH39" s="7"/>
      <c r="AI39" s="7"/>
      <c r="AJ39" s="7"/>
      <c r="AK39" s="7">
        <f t="shared" si="12"/>
        <v>0</v>
      </c>
      <c r="AL39" s="7"/>
      <c r="AM39" s="45">
        <f t="shared" si="13"/>
        <v>0</v>
      </c>
      <c r="AN39" s="7"/>
      <c r="AO39" s="7"/>
      <c r="AP39" s="7"/>
      <c r="AQ39" s="7">
        <f t="shared" si="14"/>
        <v>0</v>
      </c>
      <c r="AR39" s="7"/>
      <c r="AS39" s="45">
        <f t="shared" si="15"/>
        <v>0</v>
      </c>
      <c r="AT39" s="7"/>
      <c r="AU39" s="7"/>
      <c r="AV39" s="7"/>
      <c r="AW39" s="7">
        <f t="shared" si="16"/>
        <v>0</v>
      </c>
      <c r="AX39" s="7"/>
      <c r="AY39" s="45">
        <f t="shared" si="17"/>
        <v>0</v>
      </c>
      <c r="AZ39" s="7"/>
      <c r="BA39" s="7"/>
      <c r="BB39" s="7"/>
      <c r="BC39" s="7">
        <f t="shared" si="18"/>
        <v>0</v>
      </c>
      <c r="BD39" s="7"/>
      <c r="BE39" s="45">
        <f t="shared" si="19"/>
        <v>0</v>
      </c>
      <c r="BF39" s="7"/>
      <c r="BG39" s="7"/>
      <c r="BH39" s="7"/>
      <c r="BI39" s="7">
        <f t="shared" si="20"/>
        <v>0</v>
      </c>
      <c r="BJ39" s="7"/>
      <c r="BK39" s="45">
        <f t="shared" si="21"/>
        <v>0</v>
      </c>
      <c r="BL39" s="7"/>
      <c r="BM39" s="7"/>
      <c r="BN39" s="7"/>
      <c r="BO39" s="7">
        <f t="shared" si="22"/>
        <v>0</v>
      </c>
      <c r="BP39" s="7"/>
      <c r="BQ39" s="45">
        <f t="shared" si="23"/>
        <v>0</v>
      </c>
      <c r="BR39" s="7"/>
      <c r="BS39" s="7"/>
      <c r="BT39" s="7"/>
      <c r="BU39" s="7">
        <f t="shared" si="24"/>
        <v>0</v>
      </c>
      <c r="BV39" s="7"/>
      <c r="BW39" s="45">
        <f t="shared" si="25"/>
        <v>0</v>
      </c>
      <c r="BX39" s="7"/>
      <c r="BY39" s="7"/>
      <c r="BZ39" s="7"/>
      <c r="CA39" s="7">
        <f t="shared" si="26"/>
        <v>0</v>
      </c>
      <c r="CB39" s="7"/>
      <c r="CC39" s="45">
        <f t="shared" si="27"/>
        <v>0</v>
      </c>
      <c r="CD39" s="7"/>
      <c r="CE39" s="7"/>
      <c r="CF39" s="7"/>
      <c r="CG39" s="7">
        <f t="shared" si="28"/>
        <v>0</v>
      </c>
      <c r="CH39" s="7"/>
      <c r="CI39" s="45">
        <f t="shared" si="29"/>
        <v>0</v>
      </c>
      <c r="CJ39" s="7"/>
      <c r="CK39" s="7"/>
      <c r="CL39" s="7"/>
      <c r="CM39" s="7">
        <f t="shared" si="30"/>
        <v>0</v>
      </c>
      <c r="CN39" s="7"/>
      <c r="CO39" s="45">
        <f t="shared" si="31"/>
        <v>0</v>
      </c>
      <c r="CP39" s="7"/>
      <c r="CQ39" s="7"/>
      <c r="CR39" s="7"/>
      <c r="CS39" s="7">
        <f t="shared" si="32"/>
        <v>0</v>
      </c>
      <c r="CT39" s="7"/>
      <c r="CU39" s="45">
        <f t="shared" si="33"/>
        <v>0</v>
      </c>
      <c r="CV39" s="7"/>
      <c r="CW39" s="7"/>
      <c r="CX39" s="7"/>
      <c r="CY39" s="7">
        <f t="shared" si="34"/>
        <v>0</v>
      </c>
      <c r="CZ39" s="7"/>
      <c r="DA39" s="45">
        <f t="shared" si="35"/>
        <v>0</v>
      </c>
      <c r="DB39" s="7"/>
      <c r="DC39" s="7"/>
      <c r="DD39" s="7"/>
      <c r="DE39" s="7">
        <f t="shared" si="36"/>
        <v>0</v>
      </c>
      <c r="DF39" s="7">
        <v>1.0</v>
      </c>
      <c r="DG39" s="45">
        <f t="shared" si="37"/>
        <v>0</v>
      </c>
      <c r="DH39" s="7"/>
      <c r="DI39" s="7"/>
      <c r="DJ39" s="7"/>
      <c r="DK39" s="7">
        <f t="shared" si="38"/>
        <v>0</v>
      </c>
      <c r="DL39" s="7">
        <v>1.0</v>
      </c>
      <c r="DM39" s="45">
        <f t="shared" si="39"/>
        <v>0</v>
      </c>
      <c r="DN39" s="7"/>
      <c r="DO39" s="7"/>
      <c r="DP39" s="7"/>
      <c r="DQ39" s="7">
        <f t="shared" si="40"/>
        <v>0</v>
      </c>
      <c r="DR39" s="7">
        <v>1.0</v>
      </c>
      <c r="DS39" s="45">
        <f t="shared" si="41"/>
        <v>0</v>
      </c>
      <c r="DT39" s="7"/>
      <c r="DU39" s="7"/>
      <c r="DV39" s="7"/>
      <c r="DW39" s="7">
        <f t="shared" si="42"/>
        <v>0</v>
      </c>
      <c r="DX39" s="7">
        <v>1.0</v>
      </c>
      <c r="DY39" s="45">
        <f t="shared" si="43"/>
        <v>0</v>
      </c>
      <c r="DZ39" s="7"/>
      <c r="EA39" s="7"/>
      <c r="EB39" s="7"/>
      <c r="EC39" s="7">
        <f t="shared" si="44"/>
        <v>0</v>
      </c>
      <c r="ED39" s="7">
        <v>1.0</v>
      </c>
      <c r="EE39" s="45">
        <f t="shared" si="45"/>
        <v>0</v>
      </c>
      <c r="EF39" s="7"/>
      <c r="EG39" s="7"/>
      <c r="EH39" s="7"/>
      <c r="EI39" s="7">
        <f t="shared" si="46"/>
        <v>0</v>
      </c>
      <c r="EJ39" s="7">
        <v>1.0</v>
      </c>
      <c r="EK39" s="45">
        <f t="shared" si="47"/>
        <v>0</v>
      </c>
      <c r="EL39" s="7"/>
      <c r="EM39" s="7"/>
      <c r="EN39" s="7"/>
      <c r="EO39" s="7">
        <f t="shared" si="48"/>
        <v>0</v>
      </c>
      <c r="EP39" s="7">
        <v>1.0</v>
      </c>
      <c r="EQ39" s="45">
        <f t="shared" si="49"/>
        <v>0</v>
      </c>
      <c r="ER39" s="7"/>
      <c r="ES39" s="7"/>
      <c r="ET39" s="7"/>
      <c r="EU39" s="7">
        <f t="shared" si="50"/>
        <v>0</v>
      </c>
      <c r="EV39" s="7">
        <v>1.0</v>
      </c>
      <c r="EW39" s="45">
        <f t="shared" si="51"/>
        <v>0</v>
      </c>
      <c r="EX39" s="7"/>
      <c r="EY39" s="7"/>
      <c r="EZ39" s="7"/>
      <c r="FA39" s="7">
        <f t="shared" si="52"/>
        <v>0</v>
      </c>
      <c r="FB39" s="7">
        <v>1.0</v>
      </c>
      <c r="FC39" s="45">
        <f t="shared" si="53"/>
        <v>0</v>
      </c>
      <c r="FD39" s="41"/>
      <c r="FE39" s="41"/>
      <c r="FF39" s="41"/>
      <c r="FG39" s="41">
        <f t="shared" si="54"/>
        <v>0</v>
      </c>
      <c r="FH39" s="41">
        <v>1.0</v>
      </c>
      <c r="FI39" s="42">
        <f t="shared" si="55"/>
        <v>0</v>
      </c>
      <c r="FJ39" s="41"/>
      <c r="FK39" s="41"/>
      <c r="FL39" s="41"/>
      <c r="FM39" s="41">
        <f t="shared" si="56"/>
        <v>0</v>
      </c>
      <c r="FN39" s="41">
        <v>1.0</v>
      </c>
      <c r="FO39" s="42">
        <f t="shared" si="57"/>
        <v>0</v>
      </c>
      <c r="FP39" s="7"/>
      <c r="FQ39" s="7"/>
      <c r="FR39" s="7"/>
      <c r="FS39" s="7">
        <f t="shared" si="58"/>
        <v>0</v>
      </c>
      <c r="FT39" s="7">
        <v>1.0</v>
      </c>
      <c r="FU39" s="45">
        <f t="shared" si="59"/>
        <v>0</v>
      </c>
      <c r="FV39" s="7"/>
      <c r="FW39" s="7"/>
      <c r="FX39" s="7"/>
      <c r="FY39" s="7">
        <f t="shared" si="60"/>
        <v>0</v>
      </c>
      <c r="FZ39" s="7">
        <v>1.0</v>
      </c>
      <c r="GA39" s="45">
        <f t="shared" si="61"/>
        <v>0</v>
      </c>
      <c r="GB39" s="7"/>
      <c r="GC39" s="7"/>
      <c r="GD39" s="7"/>
      <c r="GE39" s="7">
        <f t="shared" si="62"/>
        <v>0</v>
      </c>
      <c r="GF39" s="7">
        <v>1.0</v>
      </c>
      <c r="GG39" s="45">
        <f t="shared" si="63"/>
        <v>0</v>
      </c>
      <c r="GH39" s="7"/>
      <c r="GI39" s="7"/>
      <c r="GJ39" s="7"/>
      <c r="GK39" s="7">
        <f t="shared" si="64"/>
        <v>0</v>
      </c>
      <c r="GL39" s="7">
        <v>1.0</v>
      </c>
      <c r="GM39" s="45">
        <f t="shared" si="65"/>
        <v>0</v>
      </c>
      <c r="GN39" s="41"/>
      <c r="GO39" s="41"/>
      <c r="GP39" s="41"/>
      <c r="GQ39" s="41">
        <f t="shared" si="66"/>
        <v>0</v>
      </c>
      <c r="GR39" s="41">
        <v>1.0</v>
      </c>
      <c r="GS39" s="42">
        <f t="shared" si="67"/>
        <v>0</v>
      </c>
      <c r="GT39" s="7"/>
      <c r="GU39" s="7"/>
      <c r="GV39" s="7"/>
      <c r="GW39" s="7">
        <f t="shared" si="68"/>
        <v>0</v>
      </c>
      <c r="GX39" s="7">
        <v>1.0</v>
      </c>
      <c r="GY39" s="45">
        <f t="shared" si="69"/>
        <v>0</v>
      </c>
      <c r="GZ39" s="7"/>
      <c r="HA39" s="7"/>
      <c r="HB39" s="7"/>
      <c r="HC39" s="7">
        <f t="shared" si="70"/>
        <v>0</v>
      </c>
      <c r="HD39" s="7">
        <v>1.0</v>
      </c>
      <c r="HE39" s="45">
        <f t="shared" si="71"/>
        <v>0</v>
      </c>
      <c r="HF39" s="7"/>
      <c r="HG39" s="7"/>
      <c r="HH39" s="7"/>
      <c r="HI39" s="7">
        <f t="shared" si="72"/>
        <v>0</v>
      </c>
      <c r="HJ39" s="7">
        <v>1.0</v>
      </c>
      <c r="HK39" s="45">
        <f t="shared" si="73"/>
        <v>0</v>
      </c>
      <c r="HL39" s="7"/>
      <c r="HM39" s="7"/>
      <c r="HN39" s="7"/>
      <c r="HO39" s="7">
        <f t="shared" si="74"/>
        <v>0</v>
      </c>
      <c r="HP39" s="7">
        <v>1.0</v>
      </c>
      <c r="HQ39" s="45">
        <f t="shared" si="75"/>
        <v>0</v>
      </c>
      <c r="HR39" s="7"/>
      <c r="HS39" s="7"/>
      <c r="HT39" s="7"/>
      <c r="HU39" s="7">
        <f t="shared" si="76"/>
        <v>0</v>
      </c>
      <c r="HV39" s="7">
        <v>1.0</v>
      </c>
      <c r="HW39" s="45">
        <f t="shared" si="77"/>
        <v>0</v>
      </c>
      <c r="HX39" s="7"/>
      <c r="HY39" s="7"/>
      <c r="HZ39" s="7"/>
      <c r="IA39" s="7">
        <f t="shared" si="78"/>
        <v>0</v>
      </c>
      <c r="IB39" s="7">
        <v>1.0</v>
      </c>
      <c r="IC39" s="45">
        <f t="shared" si="79"/>
        <v>0</v>
      </c>
      <c r="ID39" s="7"/>
      <c r="IE39" s="7"/>
      <c r="IF39" s="7"/>
      <c r="IG39" s="7">
        <f t="shared" si="80"/>
        <v>0</v>
      </c>
      <c r="IH39" s="7">
        <v>1.0</v>
      </c>
      <c r="II39" s="45">
        <f t="shared" si="81"/>
        <v>0</v>
      </c>
      <c r="IJ39" s="7"/>
      <c r="IK39" s="7"/>
      <c r="IL39" s="7"/>
      <c r="IM39" s="7">
        <f t="shared" si="82"/>
        <v>0</v>
      </c>
      <c r="IN39" s="7">
        <v>1.0</v>
      </c>
      <c r="IO39" s="45">
        <f t="shared" si="83"/>
        <v>0</v>
      </c>
    </row>
    <row r="40">
      <c r="A40" s="62" t="s">
        <v>63</v>
      </c>
      <c r="B40" s="7" t="s">
        <v>155</v>
      </c>
      <c r="C40" s="1">
        <f t="shared" si="1"/>
        <v>35</v>
      </c>
      <c r="D40" s="15">
        <f>VLOOKUP(A40,TDP!A:C,3,FALSE)</f>
        <v>0.29</v>
      </c>
      <c r="E40" s="38">
        <f t="shared" si="2"/>
        <v>0</v>
      </c>
      <c r="F40" s="7"/>
      <c r="G40" s="39">
        <f t="shared" si="84"/>
        <v>0</v>
      </c>
      <c r="H40" s="7"/>
      <c r="I40" s="7"/>
      <c r="J40" s="7"/>
      <c r="K40" s="7">
        <f t="shared" si="4"/>
        <v>0</v>
      </c>
      <c r="L40" s="7"/>
      <c r="M40" s="45">
        <f t="shared" si="5"/>
        <v>0</v>
      </c>
      <c r="N40" s="41"/>
      <c r="O40" s="41"/>
      <c r="P40" s="41"/>
      <c r="Q40" s="42">
        <f t="shared" si="6"/>
        <v>0</v>
      </c>
      <c r="R40" s="41"/>
      <c r="S40" s="41"/>
      <c r="T40" s="41"/>
      <c r="U40" s="42">
        <f t="shared" si="7"/>
        <v>0</v>
      </c>
      <c r="V40" s="7"/>
      <c r="W40" s="7"/>
      <c r="X40" s="7"/>
      <c r="Y40" s="7">
        <f t="shared" si="8"/>
        <v>0</v>
      </c>
      <c r="Z40" s="7"/>
      <c r="AA40" s="45">
        <f t="shared" si="9"/>
        <v>0</v>
      </c>
      <c r="AB40" s="7"/>
      <c r="AC40" s="7"/>
      <c r="AD40" s="7"/>
      <c r="AE40" s="7">
        <f t="shared" si="10"/>
        <v>0</v>
      </c>
      <c r="AF40" s="7"/>
      <c r="AG40" s="45">
        <f t="shared" si="11"/>
        <v>0</v>
      </c>
      <c r="AH40" s="7"/>
      <c r="AI40" s="7"/>
      <c r="AJ40" s="7"/>
      <c r="AK40" s="7">
        <f t="shared" si="12"/>
        <v>0</v>
      </c>
      <c r="AL40" s="7"/>
      <c r="AM40" s="45">
        <f t="shared" si="13"/>
        <v>0</v>
      </c>
      <c r="AN40" s="7"/>
      <c r="AO40" s="7"/>
      <c r="AP40" s="7"/>
      <c r="AQ40" s="7">
        <f t="shared" si="14"/>
        <v>0</v>
      </c>
      <c r="AR40" s="7"/>
      <c r="AS40" s="45">
        <f t="shared" si="15"/>
        <v>0</v>
      </c>
      <c r="AT40" s="7"/>
      <c r="AU40" s="7"/>
      <c r="AV40" s="7"/>
      <c r="AW40" s="7">
        <f t="shared" si="16"/>
        <v>0</v>
      </c>
      <c r="AX40" s="7"/>
      <c r="AY40" s="45">
        <f t="shared" si="17"/>
        <v>0</v>
      </c>
      <c r="AZ40" s="7"/>
      <c r="BA40" s="7"/>
      <c r="BB40" s="7"/>
      <c r="BC40" s="7">
        <f t="shared" si="18"/>
        <v>0</v>
      </c>
      <c r="BD40" s="7"/>
      <c r="BE40" s="45">
        <f t="shared" si="19"/>
        <v>0</v>
      </c>
      <c r="BF40" s="7"/>
      <c r="BG40" s="7"/>
      <c r="BH40" s="7"/>
      <c r="BI40" s="7">
        <f t="shared" si="20"/>
        <v>0</v>
      </c>
      <c r="BJ40" s="7"/>
      <c r="BK40" s="45">
        <f t="shared" si="21"/>
        <v>0</v>
      </c>
      <c r="BL40" s="7"/>
      <c r="BM40" s="7"/>
      <c r="BN40" s="7"/>
      <c r="BO40" s="7">
        <f t="shared" si="22"/>
        <v>0</v>
      </c>
      <c r="BP40" s="7"/>
      <c r="BQ40" s="45">
        <f t="shared" si="23"/>
        <v>0</v>
      </c>
      <c r="BR40" s="7"/>
      <c r="BS40" s="7"/>
      <c r="BT40" s="7"/>
      <c r="BU40" s="7">
        <f t="shared" si="24"/>
        <v>0</v>
      </c>
      <c r="BV40" s="7"/>
      <c r="BW40" s="45">
        <f t="shared" si="25"/>
        <v>0</v>
      </c>
      <c r="BX40" s="7"/>
      <c r="BY40" s="7"/>
      <c r="BZ40" s="7"/>
      <c r="CA40" s="7">
        <f t="shared" si="26"/>
        <v>0</v>
      </c>
      <c r="CB40" s="7"/>
      <c r="CC40" s="45">
        <f t="shared" si="27"/>
        <v>0</v>
      </c>
      <c r="CD40" s="7"/>
      <c r="CE40" s="7"/>
      <c r="CF40" s="7"/>
      <c r="CG40" s="7">
        <f t="shared" si="28"/>
        <v>0</v>
      </c>
      <c r="CH40" s="7"/>
      <c r="CI40" s="45">
        <f t="shared" si="29"/>
        <v>0</v>
      </c>
      <c r="CJ40" s="7"/>
      <c r="CK40" s="7"/>
      <c r="CL40" s="7"/>
      <c r="CM40" s="7">
        <f t="shared" si="30"/>
        <v>0</v>
      </c>
      <c r="CN40" s="7"/>
      <c r="CO40" s="45">
        <f t="shared" si="31"/>
        <v>0</v>
      </c>
      <c r="CP40" s="7"/>
      <c r="CQ40" s="7"/>
      <c r="CR40" s="7"/>
      <c r="CS40" s="7">
        <f t="shared" si="32"/>
        <v>0</v>
      </c>
      <c r="CT40" s="7"/>
      <c r="CU40" s="45">
        <f t="shared" si="33"/>
        <v>0</v>
      </c>
      <c r="CV40" s="7"/>
      <c r="CW40" s="7"/>
      <c r="CX40" s="7"/>
      <c r="CY40" s="7">
        <f t="shared" si="34"/>
        <v>0</v>
      </c>
      <c r="CZ40" s="7"/>
      <c r="DA40" s="45">
        <f t="shared" si="35"/>
        <v>0</v>
      </c>
      <c r="DB40" s="7"/>
      <c r="DC40" s="7"/>
      <c r="DD40" s="7"/>
      <c r="DE40" s="7">
        <f t="shared" si="36"/>
        <v>0</v>
      </c>
      <c r="DF40" s="7">
        <v>1.0</v>
      </c>
      <c r="DG40" s="45">
        <f t="shared" si="37"/>
        <v>0</v>
      </c>
      <c r="DH40" s="7"/>
      <c r="DI40" s="7"/>
      <c r="DJ40" s="7"/>
      <c r="DK40" s="7">
        <f t="shared" si="38"/>
        <v>0</v>
      </c>
      <c r="DL40" s="7">
        <v>1.0</v>
      </c>
      <c r="DM40" s="45">
        <f t="shared" si="39"/>
        <v>0</v>
      </c>
      <c r="DN40" s="7"/>
      <c r="DO40" s="7"/>
      <c r="DP40" s="7"/>
      <c r="DQ40" s="7">
        <f t="shared" si="40"/>
        <v>0</v>
      </c>
      <c r="DR40" s="7">
        <v>1.0</v>
      </c>
      <c r="DS40" s="45">
        <f t="shared" si="41"/>
        <v>0</v>
      </c>
      <c r="DT40" s="7"/>
      <c r="DU40" s="7"/>
      <c r="DV40" s="7"/>
      <c r="DW40" s="7">
        <f t="shared" si="42"/>
        <v>0</v>
      </c>
      <c r="DX40" s="7">
        <v>1.0</v>
      </c>
      <c r="DY40" s="45">
        <f t="shared" si="43"/>
        <v>0</v>
      </c>
      <c r="DZ40" s="7"/>
      <c r="EA40" s="7"/>
      <c r="EB40" s="7"/>
      <c r="EC40" s="7">
        <f t="shared" si="44"/>
        <v>0</v>
      </c>
      <c r="ED40" s="7">
        <v>1.0</v>
      </c>
      <c r="EE40" s="45">
        <f t="shared" si="45"/>
        <v>0</v>
      </c>
      <c r="EF40" s="7"/>
      <c r="EG40" s="7"/>
      <c r="EH40" s="7"/>
      <c r="EI40" s="7">
        <f t="shared" si="46"/>
        <v>0</v>
      </c>
      <c r="EJ40" s="7">
        <v>1.0</v>
      </c>
      <c r="EK40" s="45">
        <f t="shared" si="47"/>
        <v>0</v>
      </c>
      <c r="EL40" s="7"/>
      <c r="EM40" s="7"/>
      <c r="EN40" s="7"/>
      <c r="EO40" s="7">
        <f t="shared" si="48"/>
        <v>0</v>
      </c>
      <c r="EP40" s="7">
        <v>1.0</v>
      </c>
      <c r="EQ40" s="45">
        <f t="shared" si="49"/>
        <v>0</v>
      </c>
      <c r="ER40" s="7"/>
      <c r="ES40" s="7"/>
      <c r="ET40" s="7"/>
      <c r="EU40" s="7">
        <f t="shared" si="50"/>
        <v>0</v>
      </c>
      <c r="EV40" s="7">
        <v>1.0</v>
      </c>
      <c r="EW40" s="45">
        <f t="shared" si="51"/>
        <v>0</v>
      </c>
      <c r="EX40" s="7"/>
      <c r="EY40" s="7"/>
      <c r="EZ40" s="7"/>
      <c r="FA40" s="7">
        <f t="shared" si="52"/>
        <v>0</v>
      </c>
      <c r="FB40" s="7">
        <v>1.0</v>
      </c>
      <c r="FC40" s="45">
        <f t="shared" si="53"/>
        <v>0</v>
      </c>
      <c r="FD40" s="41"/>
      <c r="FE40" s="41"/>
      <c r="FF40" s="41"/>
      <c r="FG40" s="41">
        <f t="shared" si="54"/>
        <v>0</v>
      </c>
      <c r="FH40" s="41">
        <v>1.0</v>
      </c>
      <c r="FI40" s="42">
        <f t="shared" si="55"/>
        <v>0</v>
      </c>
      <c r="FJ40" s="41"/>
      <c r="FK40" s="41"/>
      <c r="FL40" s="41"/>
      <c r="FM40" s="41">
        <f t="shared" si="56"/>
        <v>0</v>
      </c>
      <c r="FN40" s="41">
        <v>1.0</v>
      </c>
      <c r="FO40" s="42">
        <f t="shared" si="57"/>
        <v>0</v>
      </c>
      <c r="FP40" s="7"/>
      <c r="FQ40" s="7"/>
      <c r="FR40" s="7"/>
      <c r="FS40" s="7">
        <f t="shared" si="58"/>
        <v>0</v>
      </c>
      <c r="FT40" s="7">
        <v>1.0</v>
      </c>
      <c r="FU40" s="45">
        <f t="shared" si="59"/>
        <v>0</v>
      </c>
      <c r="FV40" s="7"/>
      <c r="FW40" s="7"/>
      <c r="FX40" s="7"/>
      <c r="FY40" s="7">
        <f t="shared" si="60"/>
        <v>0</v>
      </c>
      <c r="FZ40" s="7">
        <v>1.0</v>
      </c>
      <c r="GA40" s="45">
        <f t="shared" si="61"/>
        <v>0</v>
      </c>
      <c r="GB40" s="7"/>
      <c r="GC40" s="7"/>
      <c r="GD40" s="7"/>
      <c r="GE40" s="7">
        <f t="shared" si="62"/>
        <v>0</v>
      </c>
      <c r="GF40" s="7">
        <v>1.0</v>
      </c>
      <c r="GG40" s="45">
        <f t="shared" si="63"/>
        <v>0</v>
      </c>
      <c r="GH40" s="7"/>
      <c r="GI40" s="7"/>
      <c r="GJ40" s="7"/>
      <c r="GK40" s="7">
        <f t="shared" si="64"/>
        <v>0</v>
      </c>
      <c r="GL40" s="7">
        <v>1.0</v>
      </c>
      <c r="GM40" s="45">
        <f t="shared" si="65"/>
        <v>0</v>
      </c>
      <c r="GN40" s="41"/>
      <c r="GO40" s="41"/>
      <c r="GP40" s="41"/>
      <c r="GQ40" s="41">
        <f t="shared" si="66"/>
        <v>0</v>
      </c>
      <c r="GR40" s="41">
        <v>1.0</v>
      </c>
      <c r="GS40" s="42">
        <f t="shared" si="67"/>
        <v>0</v>
      </c>
      <c r="GT40" s="7"/>
      <c r="GU40" s="7"/>
      <c r="GV40" s="7"/>
      <c r="GW40" s="7">
        <f t="shared" si="68"/>
        <v>0</v>
      </c>
      <c r="GX40" s="7">
        <v>1.0</v>
      </c>
      <c r="GY40" s="45">
        <f t="shared" si="69"/>
        <v>0</v>
      </c>
      <c r="GZ40" s="7"/>
      <c r="HA40" s="7"/>
      <c r="HB40" s="7"/>
      <c r="HC40" s="7">
        <f t="shared" si="70"/>
        <v>0</v>
      </c>
      <c r="HD40" s="7">
        <v>1.0</v>
      </c>
      <c r="HE40" s="45">
        <f t="shared" si="71"/>
        <v>0</v>
      </c>
      <c r="HF40" s="7"/>
      <c r="HG40" s="7"/>
      <c r="HH40" s="7"/>
      <c r="HI40" s="7">
        <f t="shared" si="72"/>
        <v>0</v>
      </c>
      <c r="HJ40" s="7">
        <v>1.0</v>
      </c>
      <c r="HK40" s="45">
        <f t="shared" si="73"/>
        <v>0</v>
      </c>
      <c r="HL40" s="7"/>
      <c r="HM40" s="7"/>
      <c r="HN40" s="7"/>
      <c r="HO40" s="7">
        <f t="shared" si="74"/>
        <v>0</v>
      </c>
      <c r="HP40" s="7">
        <v>1.0</v>
      </c>
      <c r="HQ40" s="45">
        <f t="shared" si="75"/>
        <v>0</v>
      </c>
      <c r="HR40" s="7"/>
      <c r="HS40" s="7"/>
      <c r="HT40" s="7"/>
      <c r="HU40" s="7">
        <f t="shared" si="76"/>
        <v>0</v>
      </c>
      <c r="HV40" s="7">
        <v>1.0</v>
      </c>
      <c r="HW40" s="45">
        <f t="shared" si="77"/>
        <v>0</v>
      </c>
      <c r="HX40" s="7"/>
      <c r="HY40" s="7"/>
      <c r="HZ40" s="7"/>
      <c r="IA40" s="7">
        <f t="shared" si="78"/>
        <v>0</v>
      </c>
      <c r="IB40" s="7">
        <v>1.0</v>
      </c>
      <c r="IC40" s="45">
        <f t="shared" si="79"/>
        <v>0</v>
      </c>
      <c r="ID40" s="7"/>
      <c r="IE40" s="7"/>
      <c r="IF40" s="7"/>
      <c r="IG40" s="7">
        <f t="shared" si="80"/>
        <v>0</v>
      </c>
      <c r="IH40" s="7">
        <v>1.0</v>
      </c>
      <c r="II40" s="45">
        <f t="shared" si="81"/>
        <v>0</v>
      </c>
      <c r="IJ40" s="7"/>
      <c r="IK40" s="7"/>
      <c r="IL40" s="7"/>
      <c r="IM40" s="7">
        <f t="shared" si="82"/>
        <v>0</v>
      </c>
      <c r="IN40" s="7">
        <v>1.0</v>
      </c>
      <c r="IO40" s="45">
        <f t="shared" si="83"/>
        <v>0</v>
      </c>
    </row>
    <row r="41">
      <c r="A41" s="62" t="s">
        <v>59</v>
      </c>
      <c r="B41" s="7" t="s">
        <v>60</v>
      </c>
      <c r="C41" s="30">
        <f t="shared" si="1"/>
        <v>36</v>
      </c>
      <c r="D41" s="15">
        <f>VLOOKUP(A41,TDP!A:C,3,FALSE)</f>
        <v>0.27</v>
      </c>
      <c r="E41" s="38">
        <f t="shared" si="2"/>
        <v>0</v>
      </c>
      <c r="F41" s="7"/>
      <c r="G41" s="39">
        <f t="shared" si="84"/>
        <v>0</v>
      </c>
      <c r="H41" s="7"/>
      <c r="I41" s="7"/>
      <c r="J41" s="7"/>
      <c r="K41" s="7">
        <f t="shared" si="4"/>
        <v>0</v>
      </c>
      <c r="L41" s="7"/>
      <c r="M41" s="45">
        <f t="shared" si="5"/>
        <v>0</v>
      </c>
      <c r="N41" s="41"/>
      <c r="O41" s="41"/>
      <c r="P41" s="41"/>
      <c r="Q41" s="42">
        <f t="shared" si="6"/>
        <v>0</v>
      </c>
      <c r="R41" s="41"/>
      <c r="S41" s="41"/>
      <c r="T41" s="41"/>
      <c r="U41" s="42">
        <f t="shared" si="7"/>
        <v>0</v>
      </c>
      <c r="V41" s="7"/>
      <c r="W41" s="7"/>
      <c r="X41" s="7"/>
      <c r="Y41" s="7">
        <f t="shared" si="8"/>
        <v>0</v>
      </c>
      <c r="Z41" s="7"/>
      <c r="AA41" s="45">
        <f t="shared" si="9"/>
        <v>0</v>
      </c>
      <c r="AB41" s="7"/>
      <c r="AC41" s="7"/>
      <c r="AD41" s="7"/>
      <c r="AE41" s="7">
        <f t="shared" si="10"/>
        <v>0</v>
      </c>
      <c r="AF41" s="7"/>
      <c r="AG41" s="45">
        <f t="shared" si="11"/>
        <v>0</v>
      </c>
      <c r="AH41" s="7"/>
      <c r="AI41" s="7"/>
      <c r="AJ41" s="7"/>
      <c r="AK41" s="7">
        <f t="shared" si="12"/>
        <v>0</v>
      </c>
      <c r="AL41" s="7"/>
      <c r="AM41" s="45">
        <f t="shared" si="13"/>
        <v>0</v>
      </c>
      <c r="AN41" s="7"/>
      <c r="AO41" s="7"/>
      <c r="AP41" s="7"/>
      <c r="AQ41" s="7">
        <f t="shared" si="14"/>
        <v>0</v>
      </c>
      <c r="AR41" s="7"/>
      <c r="AS41" s="45">
        <f t="shared" si="15"/>
        <v>0</v>
      </c>
      <c r="AT41" s="7"/>
      <c r="AU41" s="7"/>
      <c r="AV41" s="7"/>
      <c r="AW41" s="7">
        <f t="shared" si="16"/>
        <v>0</v>
      </c>
      <c r="AX41" s="7"/>
      <c r="AY41" s="45">
        <f t="shared" si="17"/>
        <v>0</v>
      </c>
      <c r="AZ41" s="7"/>
      <c r="BA41" s="7"/>
      <c r="BB41" s="7"/>
      <c r="BC41" s="7">
        <f t="shared" si="18"/>
        <v>0</v>
      </c>
      <c r="BD41" s="7"/>
      <c r="BE41" s="45">
        <f t="shared" si="19"/>
        <v>0</v>
      </c>
      <c r="BF41" s="7"/>
      <c r="BG41" s="7"/>
      <c r="BH41" s="7"/>
      <c r="BI41" s="7">
        <f t="shared" si="20"/>
        <v>0</v>
      </c>
      <c r="BJ41" s="7"/>
      <c r="BK41" s="45">
        <f t="shared" si="21"/>
        <v>0</v>
      </c>
      <c r="BL41" s="7"/>
      <c r="BM41" s="7"/>
      <c r="BN41" s="7"/>
      <c r="BO41" s="7">
        <f t="shared" si="22"/>
        <v>0</v>
      </c>
      <c r="BP41" s="7"/>
      <c r="BQ41" s="45">
        <f t="shared" si="23"/>
        <v>0</v>
      </c>
      <c r="BR41" s="7"/>
      <c r="BS41" s="7"/>
      <c r="BT41" s="7"/>
      <c r="BU41" s="7">
        <f t="shared" si="24"/>
        <v>0</v>
      </c>
      <c r="BV41" s="7"/>
      <c r="BW41" s="45">
        <f t="shared" si="25"/>
        <v>0</v>
      </c>
      <c r="BX41" s="7"/>
      <c r="BY41" s="7"/>
      <c r="BZ41" s="7"/>
      <c r="CA41" s="7">
        <f t="shared" si="26"/>
        <v>0</v>
      </c>
      <c r="CB41" s="7"/>
      <c r="CC41" s="45">
        <f t="shared" si="27"/>
        <v>0</v>
      </c>
      <c r="CD41" s="7"/>
      <c r="CE41" s="7"/>
      <c r="CF41" s="7"/>
      <c r="CG41" s="7">
        <f t="shared" si="28"/>
        <v>0</v>
      </c>
      <c r="CH41" s="7"/>
      <c r="CI41" s="45">
        <f t="shared" si="29"/>
        <v>0</v>
      </c>
      <c r="CJ41" s="7"/>
      <c r="CK41" s="7"/>
      <c r="CL41" s="7"/>
      <c r="CM41" s="7">
        <f t="shared" si="30"/>
        <v>0</v>
      </c>
      <c r="CN41" s="7"/>
      <c r="CO41" s="45">
        <f t="shared" si="31"/>
        <v>0</v>
      </c>
      <c r="CP41" s="7"/>
      <c r="CQ41" s="7"/>
      <c r="CR41" s="7"/>
      <c r="CS41" s="7">
        <f t="shared" si="32"/>
        <v>0</v>
      </c>
      <c r="CT41" s="7"/>
      <c r="CU41" s="45">
        <f t="shared" si="33"/>
        <v>0</v>
      </c>
      <c r="CV41" s="7"/>
      <c r="CW41" s="7"/>
      <c r="CX41" s="7"/>
      <c r="CY41" s="7">
        <f t="shared" si="34"/>
        <v>0</v>
      </c>
      <c r="CZ41" s="7"/>
      <c r="DA41" s="45">
        <f t="shared" si="35"/>
        <v>0</v>
      </c>
      <c r="DB41" s="7"/>
      <c r="DC41" s="7"/>
      <c r="DD41" s="7"/>
      <c r="DE41" s="7">
        <f t="shared" si="36"/>
        <v>0</v>
      </c>
      <c r="DF41" s="7">
        <v>1.0</v>
      </c>
      <c r="DG41" s="45">
        <f t="shared" si="37"/>
        <v>0</v>
      </c>
      <c r="DH41" s="7"/>
      <c r="DI41" s="7"/>
      <c r="DJ41" s="7"/>
      <c r="DK41" s="7">
        <f t="shared" si="38"/>
        <v>0</v>
      </c>
      <c r="DL41" s="7">
        <v>1.0</v>
      </c>
      <c r="DM41" s="45">
        <f t="shared" si="39"/>
        <v>0</v>
      </c>
      <c r="DN41" s="7"/>
      <c r="DO41" s="7"/>
      <c r="DP41" s="7"/>
      <c r="DQ41" s="7">
        <f t="shared" si="40"/>
        <v>0</v>
      </c>
      <c r="DR41" s="7">
        <v>1.0</v>
      </c>
      <c r="DS41" s="45">
        <f t="shared" si="41"/>
        <v>0</v>
      </c>
      <c r="DT41" s="7"/>
      <c r="DU41" s="7"/>
      <c r="DV41" s="7"/>
      <c r="DW41" s="7">
        <f t="shared" si="42"/>
        <v>0</v>
      </c>
      <c r="DX41" s="7">
        <v>1.0</v>
      </c>
      <c r="DY41" s="45">
        <f t="shared" si="43"/>
        <v>0</v>
      </c>
      <c r="DZ41" s="7"/>
      <c r="EA41" s="7"/>
      <c r="EB41" s="7"/>
      <c r="EC41" s="7">
        <f t="shared" si="44"/>
        <v>0</v>
      </c>
      <c r="ED41" s="7">
        <v>1.0</v>
      </c>
      <c r="EE41" s="45">
        <f t="shared" si="45"/>
        <v>0</v>
      </c>
      <c r="EF41" s="7"/>
      <c r="EG41" s="7"/>
      <c r="EH41" s="7"/>
      <c r="EI41" s="7">
        <f t="shared" si="46"/>
        <v>0</v>
      </c>
      <c r="EJ41" s="7">
        <v>1.0</v>
      </c>
      <c r="EK41" s="45">
        <f t="shared" si="47"/>
        <v>0</v>
      </c>
      <c r="EL41" s="7"/>
      <c r="EM41" s="7"/>
      <c r="EN41" s="7"/>
      <c r="EO41" s="7">
        <f t="shared" si="48"/>
        <v>0</v>
      </c>
      <c r="EP41" s="7">
        <v>1.0</v>
      </c>
      <c r="EQ41" s="45">
        <f t="shared" si="49"/>
        <v>0</v>
      </c>
      <c r="ER41" s="7"/>
      <c r="ES41" s="7"/>
      <c r="ET41" s="7"/>
      <c r="EU41" s="7">
        <f t="shared" si="50"/>
        <v>0</v>
      </c>
      <c r="EV41" s="7">
        <v>1.0</v>
      </c>
      <c r="EW41" s="45">
        <f t="shared" si="51"/>
        <v>0</v>
      </c>
      <c r="EX41" s="7"/>
      <c r="EY41" s="7"/>
      <c r="EZ41" s="7"/>
      <c r="FA41" s="7">
        <f t="shared" si="52"/>
        <v>0</v>
      </c>
      <c r="FB41" s="7">
        <v>1.0</v>
      </c>
      <c r="FC41" s="45">
        <f t="shared" si="53"/>
        <v>0</v>
      </c>
      <c r="FD41" s="41"/>
      <c r="FE41" s="41"/>
      <c r="FF41" s="41"/>
      <c r="FG41" s="41">
        <f t="shared" si="54"/>
        <v>0</v>
      </c>
      <c r="FH41" s="41">
        <v>1.0</v>
      </c>
      <c r="FI41" s="42">
        <f t="shared" si="55"/>
        <v>0</v>
      </c>
      <c r="FJ41" s="41"/>
      <c r="FK41" s="41"/>
      <c r="FL41" s="41"/>
      <c r="FM41" s="41">
        <f t="shared" si="56"/>
        <v>0</v>
      </c>
      <c r="FN41" s="41">
        <v>1.0</v>
      </c>
      <c r="FO41" s="42">
        <f t="shared" si="57"/>
        <v>0</v>
      </c>
      <c r="FP41" s="7"/>
      <c r="FQ41" s="7"/>
      <c r="FR41" s="7"/>
      <c r="FS41" s="7">
        <f t="shared" si="58"/>
        <v>0</v>
      </c>
      <c r="FT41" s="7">
        <v>1.0</v>
      </c>
      <c r="FU41" s="45">
        <f t="shared" si="59"/>
        <v>0</v>
      </c>
      <c r="FV41" s="7"/>
      <c r="FW41" s="7"/>
      <c r="FX41" s="7"/>
      <c r="FY41" s="7">
        <f t="shared" si="60"/>
        <v>0</v>
      </c>
      <c r="FZ41" s="7">
        <v>1.0</v>
      </c>
      <c r="GA41" s="45">
        <f t="shared" si="61"/>
        <v>0</v>
      </c>
      <c r="GB41" s="7"/>
      <c r="GC41" s="7"/>
      <c r="GD41" s="7"/>
      <c r="GE41" s="7">
        <f t="shared" si="62"/>
        <v>0</v>
      </c>
      <c r="GF41" s="7">
        <v>1.0</v>
      </c>
      <c r="GG41" s="45">
        <f t="shared" si="63"/>
        <v>0</v>
      </c>
      <c r="GH41" s="7"/>
      <c r="GI41" s="7"/>
      <c r="GJ41" s="7"/>
      <c r="GK41" s="7">
        <f t="shared" si="64"/>
        <v>0</v>
      </c>
      <c r="GL41" s="7">
        <v>1.0</v>
      </c>
      <c r="GM41" s="45">
        <f t="shared" si="65"/>
        <v>0</v>
      </c>
      <c r="GN41" s="41"/>
      <c r="GO41" s="41"/>
      <c r="GP41" s="41"/>
      <c r="GQ41" s="41">
        <f t="shared" si="66"/>
        <v>0</v>
      </c>
      <c r="GR41" s="41">
        <v>1.0</v>
      </c>
      <c r="GS41" s="42">
        <f t="shared" si="67"/>
        <v>0</v>
      </c>
      <c r="GT41" s="7"/>
      <c r="GU41" s="7"/>
      <c r="GV41" s="7"/>
      <c r="GW41" s="7">
        <f t="shared" si="68"/>
        <v>0</v>
      </c>
      <c r="GX41" s="7">
        <v>1.0</v>
      </c>
      <c r="GY41" s="45">
        <f t="shared" si="69"/>
        <v>0</v>
      </c>
      <c r="GZ41" s="7"/>
      <c r="HA41" s="7"/>
      <c r="HB41" s="7"/>
      <c r="HC41" s="7">
        <f t="shared" si="70"/>
        <v>0</v>
      </c>
      <c r="HD41" s="7">
        <v>1.0</v>
      </c>
      <c r="HE41" s="45">
        <f t="shared" si="71"/>
        <v>0</v>
      </c>
      <c r="HF41" s="7"/>
      <c r="HG41" s="7"/>
      <c r="HH41" s="7"/>
      <c r="HI41" s="7">
        <f t="shared" si="72"/>
        <v>0</v>
      </c>
      <c r="HJ41" s="7">
        <v>1.0</v>
      </c>
      <c r="HK41" s="45">
        <f t="shared" si="73"/>
        <v>0</v>
      </c>
      <c r="HL41" s="7"/>
      <c r="HM41" s="7"/>
      <c r="HN41" s="7"/>
      <c r="HO41" s="7">
        <f t="shared" si="74"/>
        <v>0</v>
      </c>
      <c r="HP41" s="7">
        <v>1.0</v>
      </c>
      <c r="HQ41" s="45">
        <f t="shared" si="75"/>
        <v>0</v>
      </c>
      <c r="HR41" s="7"/>
      <c r="HS41" s="7"/>
      <c r="HT41" s="7"/>
      <c r="HU41" s="7">
        <f t="shared" si="76"/>
        <v>0</v>
      </c>
      <c r="HV41" s="7">
        <v>1.0</v>
      </c>
      <c r="HW41" s="45">
        <f t="shared" si="77"/>
        <v>0</v>
      </c>
      <c r="HX41" s="7"/>
      <c r="HY41" s="7"/>
      <c r="HZ41" s="7"/>
      <c r="IA41" s="7">
        <f t="shared" si="78"/>
        <v>0</v>
      </c>
      <c r="IB41" s="7">
        <v>1.0</v>
      </c>
      <c r="IC41" s="45">
        <f t="shared" si="79"/>
        <v>0</v>
      </c>
      <c r="ID41" s="7"/>
      <c r="IE41" s="7"/>
      <c r="IF41" s="7"/>
      <c r="IG41" s="7">
        <f t="shared" si="80"/>
        <v>0</v>
      </c>
      <c r="IH41" s="7">
        <v>1.0</v>
      </c>
      <c r="II41" s="45">
        <f t="shared" si="81"/>
        <v>0</v>
      </c>
      <c r="IJ41" s="7"/>
      <c r="IK41" s="7"/>
      <c r="IL41" s="7"/>
      <c r="IM41" s="7">
        <f t="shared" si="82"/>
        <v>0</v>
      </c>
      <c r="IN41" s="7">
        <v>1.0</v>
      </c>
      <c r="IO41" s="45">
        <f t="shared" si="83"/>
        <v>0</v>
      </c>
    </row>
    <row r="42">
      <c r="A42" s="36" t="s">
        <v>94</v>
      </c>
      <c r="B42" s="21"/>
      <c r="C42" s="1">
        <f t="shared" si="1"/>
        <v>37</v>
      </c>
      <c r="D42" s="15">
        <f>VLOOKUP(A42,TDP!A:C,3,FALSE)</f>
        <v>0.12</v>
      </c>
      <c r="E42" s="38">
        <f t="shared" si="2"/>
        <v>0</v>
      </c>
      <c r="F42" s="7"/>
      <c r="G42" s="39">
        <f t="shared" si="84"/>
        <v>0</v>
      </c>
      <c r="H42" s="7"/>
      <c r="I42" s="7"/>
      <c r="J42" s="7"/>
      <c r="K42" s="7">
        <f t="shared" si="4"/>
        <v>0</v>
      </c>
      <c r="L42" s="7"/>
      <c r="M42" s="45">
        <f t="shared" si="5"/>
        <v>0</v>
      </c>
      <c r="N42" s="41"/>
      <c r="O42" s="41"/>
      <c r="P42" s="41"/>
      <c r="Q42" s="42">
        <f t="shared" si="6"/>
        <v>0</v>
      </c>
      <c r="R42" s="41"/>
      <c r="S42" s="41"/>
      <c r="T42" s="41"/>
      <c r="U42" s="42">
        <f t="shared" si="7"/>
        <v>0</v>
      </c>
      <c r="V42" s="7"/>
      <c r="W42" s="7"/>
      <c r="X42" s="7"/>
      <c r="Y42" s="7">
        <f t="shared" si="8"/>
        <v>0</v>
      </c>
      <c r="Z42" s="7"/>
      <c r="AA42" s="45">
        <f t="shared" si="9"/>
        <v>0</v>
      </c>
      <c r="AB42" s="7"/>
      <c r="AC42" s="7"/>
      <c r="AD42" s="7"/>
      <c r="AE42" s="7">
        <f t="shared" si="10"/>
        <v>0</v>
      </c>
      <c r="AF42" s="7"/>
      <c r="AG42" s="45">
        <f t="shared" si="11"/>
        <v>0</v>
      </c>
      <c r="AH42" s="7"/>
      <c r="AI42" s="7"/>
      <c r="AJ42" s="7"/>
      <c r="AK42" s="7">
        <f t="shared" si="12"/>
        <v>0</v>
      </c>
      <c r="AL42" s="7"/>
      <c r="AM42" s="45">
        <f t="shared" si="13"/>
        <v>0</v>
      </c>
      <c r="AN42" s="7"/>
      <c r="AO42" s="7"/>
      <c r="AP42" s="7"/>
      <c r="AQ42" s="7">
        <f t="shared" si="14"/>
        <v>0</v>
      </c>
      <c r="AR42" s="7"/>
      <c r="AS42" s="45">
        <f t="shared" si="15"/>
        <v>0</v>
      </c>
      <c r="AT42" s="7"/>
      <c r="AU42" s="7"/>
      <c r="AV42" s="7"/>
      <c r="AW42" s="7">
        <f t="shared" si="16"/>
        <v>0</v>
      </c>
      <c r="AX42" s="7"/>
      <c r="AY42" s="45">
        <f t="shared" si="17"/>
        <v>0</v>
      </c>
      <c r="AZ42" s="7"/>
      <c r="BA42" s="7"/>
      <c r="BB42" s="7"/>
      <c r="BC42" s="7">
        <f t="shared" si="18"/>
        <v>0</v>
      </c>
      <c r="BD42" s="7"/>
      <c r="BE42" s="45">
        <f t="shared" si="19"/>
        <v>0</v>
      </c>
      <c r="BF42" s="7"/>
      <c r="BG42" s="7"/>
      <c r="BH42" s="7"/>
      <c r="BI42" s="7">
        <f t="shared" si="20"/>
        <v>0</v>
      </c>
      <c r="BJ42" s="7"/>
      <c r="BK42" s="45">
        <f t="shared" si="21"/>
        <v>0</v>
      </c>
      <c r="BL42" s="7"/>
      <c r="BM42" s="7"/>
      <c r="BN42" s="7"/>
      <c r="BO42" s="7">
        <f t="shared" si="22"/>
        <v>0</v>
      </c>
      <c r="BP42" s="7"/>
      <c r="BQ42" s="45">
        <f t="shared" si="23"/>
        <v>0</v>
      </c>
      <c r="BR42" s="7"/>
      <c r="BS42" s="7"/>
      <c r="BT42" s="7"/>
      <c r="BU42" s="7">
        <f t="shared" si="24"/>
        <v>0</v>
      </c>
      <c r="BV42" s="7"/>
      <c r="BW42" s="45">
        <f t="shared" si="25"/>
        <v>0</v>
      </c>
      <c r="BX42" s="7"/>
      <c r="BY42" s="7"/>
      <c r="BZ42" s="7"/>
      <c r="CA42" s="7">
        <f t="shared" si="26"/>
        <v>0</v>
      </c>
      <c r="CB42" s="7"/>
      <c r="CC42" s="45">
        <f t="shared" si="27"/>
        <v>0</v>
      </c>
      <c r="CD42" s="7"/>
      <c r="CE42" s="7"/>
      <c r="CF42" s="7"/>
      <c r="CG42" s="7">
        <f t="shared" si="28"/>
        <v>0</v>
      </c>
      <c r="CH42" s="7"/>
      <c r="CI42" s="45">
        <f t="shared" si="29"/>
        <v>0</v>
      </c>
      <c r="CJ42" s="7"/>
      <c r="CK42" s="7"/>
      <c r="CL42" s="7"/>
      <c r="CM42" s="7">
        <f t="shared" si="30"/>
        <v>0</v>
      </c>
      <c r="CN42" s="7"/>
      <c r="CO42" s="45">
        <f t="shared" si="31"/>
        <v>0</v>
      </c>
      <c r="CP42" s="7"/>
      <c r="CQ42" s="7"/>
      <c r="CR42" s="7"/>
      <c r="CS42" s="7">
        <f t="shared" si="32"/>
        <v>0</v>
      </c>
      <c r="CT42" s="7"/>
      <c r="CU42" s="45">
        <f t="shared" si="33"/>
        <v>0</v>
      </c>
      <c r="CV42" s="7"/>
      <c r="CW42" s="7"/>
      <c r="CX42" s="7"/>
      <c r="CY42" s="7">
        <f t="shared" si="34"/>
        <v>0</v>
      </c>
      <c r="CZ42" s="7"/>
      <c r="DA42" s="45">
        <f t="shared" si="35"/>
        <v>0</v>
      </c>
      <c r="DB42" s="7"/>
      <c r="DC42" s="7"/>
      <c r="DD42" s="7"/>
      <c r="DE42" s="7">
        <f t="shared" si="36"/>
        <v>0</v>
      </c>
      <c r="DF42" s="7">
        <v>1.0</v>
      </c>
      <c r="DG42" s="45">
        <f t="shared" si="37"/>
        <v>0</v>
      </c>
      <c r="DH42" s="7"/>
      <c r="DI42" s="7"/>
      <c r="DJ42" s="7"/>
      <c r="DK42" s="7">
        <f t="shared" si="38"/>
        <v>0</v>
      </c>
      <c r="DL42" s="7">
        <v>1.0</v>
      </c>
      <c r="DM42" s="45">
        <f t="shared" si="39"/>
        <v>0</v>
      </c>
      <c r="DN42" s="7"/>
      <c r="DO42" s="7"/>
      <c r="DP42" s="7"/>
      <c r="DQ42" s="7">
        <f t="shared" si="40"/>
        <v>0</v>
      </c>
      <c r="DR42" s="7">
        <v>1.0</v>
      </c>
      <c r="DS42" s="45">
        <f t="shared" si="41"/>
        <v>0</v>
      </c>
      <c r="DT42" s="7"/>
      <c r="DU42" s="7"/>
      <c r="DV42" s="7"/>
      <c r="DW42" s="7">
        <f t="shared" si="42"/>
        <v>0</v>
      </c>
      <c r="DX42" s="7">
        <v>1.0</v>
      </c>
      <c r="DY42" s="45">
        <f t="shared" si="43"/>
        <v>0</v>
      </c>
      <c r="DZ42" s="7"/>
      <c r="EA42" s="7"/>
      <c r="EB42" s="7"/>
      <c r="EC42" s="7">
        <f t="shared" si="44"/>
        <v>0</v>
      </c>
      <c r="ED42" s="7">
        <v>1.0</v>
      </c>
      <c r="EE42" s="45">
        <f t="shared" si="45"/>
        <v>0</v>
      </c>
      <c r="EF42" s="7"/>
      <c r="EG42" s="7"/>
      <c r="EH42" s="7"/>
      <c r="EI42" s="7">
        <f t="shared" si="46"/>
        <v>0</v>
      </c>
      <c r="EJ42" s="7">
        <v>1.0</v>
      </c>
      <c r="EK42" s="45">
        <f t="shared" si="47"/>
        <v>0</v>
      </c>
      <c r="EL42" s="7"/>
      <c r="EM42" s="7"/>
      <c r="EN42" s="7"/>
      <c r="EO42" s="7">
        <f t="shared" si="48"/>
        <v>0</v>
      </c>
      <c r="EP42" s="7">
        <v>1.0</v>
      </c>
      <c r="EQ42" s="45">
        <f t="shared" si="49"/>
        <v>0</v>
      </c>
      <c r="ER42" s="7"/>
      <c r="ES42" s="7"/>
      <c r="ET42" s="7"/>
      <c r="EU42" s="7">
        <f t="shared" si="50"/>
        <v>0</v>
      </c>
      <c r="EV42" s="7">
        <v>1.0</v>
      </c>
      <c r="EW42" s="45">
        <f t="shared" si="51"/>
        <v>0</v>
      </c>
      <c r="EX42" s="7"/>
      <c r="EY42" s="7"/>
      <c r="EZ42" s="7"/>
      <c r="FA42" s="7">
        <f t="shared" si="52"/>
        <v>0</v>
      </c>
      <c r="FB42" s="7">
        <v>1.0</v>
      </c>
      <c r="FC42" s="45">
        <f t="shared" si="53"/>
        <v>0</v>
      </c>
      <c r="FD42" s="41"/>
      <c r="FE42" s="41"/>
      <c r="FF42" s="41"/>
      <c r="FG42" s="41">
        <f t="shared" si="54"/>
        <v>0</v>
      </c>
      <c r="FH42" s="41">
        <v>1.0</v>
      </c>
      <c r="FI42" s="42">
        <f t="shared" si="55"/>
        <v>0</v>
      </c>
      <c r="FJ42" s="41"/>
      <c r="FK42" s="41"/>
      <c r="FL42" s="41"/>
      <c r="FM42" s="41">
        <f t="shared" si="56"/>
        <v>0</v>
      </c>
      <c r="FN42" s="41">
        <v>1.0</v>
      </c>
      <c r="FO42" s="42">
        <f t="shared" si="57"/>
        <v>0</v>
      </c>
      <c r="FP42" s="7"/>
      <c r="FQ42" s="7"/>
      <c r="FR42" s="7"/>
      <c r="FS42" s="7">
        <f t="shared" si="58"/>
        <v>0</v>
      </c>
      <c r="FT42" s="7">
        <v>1.0</v>
      </c>
      <c r="FU42" s="45">
        <f t="shared" si="59"/>
        <v>0</v>
      </c>
      <c r="FV42" s="7"/>
      <c r="FW42" s="7"/>
      <c r="FX42" s="7"/>
      <c r="FY42" s="7">
        <f t="shared" si="60"/>
        <v>0</v>
      </c>
      <c r="FZ42" s="7">
        <v>1.0</v>
      </c>
      <c r="GA42" s="45">
        <f t="shared" si="61"/>
        <v>0</v>
      </c>
      <c r="GB42" s="7"/>
      <c r="GC42" s="7"/>
      <c r="GD42" s="7"/>
      <c r="GE42" s="7">
        <f t="shared" si="62"/>
        <v>0</v>
      </c>
      <c r="GF42" s="7">
        <v>1.0</v>
      </c>
      <c r="GG42" s="45">
        <f t="shared" si="63"/>
        <v>0</v>
      </c>
      <c r="GH42" s="7"/>
      <c r="GI42" s="7"/>
      <c r="GJ42" s="7"/>
      <c r="GK42" s="7">
        <f t="shared" si="64"/>
        <v>0</v>
      </c>
      <c r="GL42" s="7">
        <v>1.0</v>
      </c>
      <c r="GM42" s="45">
        <f t="shared" si="65"/>
        <v>0</v>
      </c>
      <c r="GN42" s="41"/>
      <c r="GO42" s="41"/>
      <c r="GP42" s="41"/>
      <c r="GQ42" s="41">
        <f t="shared" si="66"/>
        <v>0</v>
      </c>
      <c r="GR42" s="41">
        <v>1.0</v>
      </c>
      <c r="GS42" s="42">
        <f t="shared" si="67"/>
        <v>0</v>
      </c>
      <c r="GT42" s="7"/>
      <c r="GU42" s="7"/>
      <c r="GV42" s="7"/>
      <c r="GW42" s="7">
        <f t="shared" si="68"/>
        <v>0</v>
      </c>
      <c r="GX42" s="7">
        <v>1.0</v>
      </c>
      <c r="GY42" s="45">
        <f t="shared" si="69"/>
        <v>0</v>
      </c>
      <c r="GZ42" s="7"/>
      <c r="HA42" s="7"/>
      <c r="HB42" s="7"/>
      <c r="HC42" s="7">
        <f t="shared" si="70"/>
        <v>0</v>
      </c>
      <c r="HD42" s="7">
        <v>1.0</v>
      </c>
      <c r="HE42" s="45">
        <f t="shared" si="71"/>
        <v>0</v>
      </c>
      <c r="HF42" s="7"/>
      <c r="HG42" s="7"/>
      <c r="HH42" s="7"/>
      <c r="HI42" s="7">
        <f t="shared" si="72"/>
        <v>0</v>
      </c>
      <c r="HJ42" s="7">
        <v>1.0</v>
      </c>
      <c r="HK42" s="45">
        <f t="shared" si="73"/>
        <v>0</v>
      </c>
      <c r="HL42" s="7"/>
      <c r="HM42" s="7"/>
      <c r="HN42" s="7"/>
      <c r="HO42" s="7">
        <f t="shared" si="74"/>
        <v>0</v>
      </c>
      <c r="HP42" s="7">
        <v>1.0</v>
      </c>
      <c r="HQ42" s="45">
        <f t="shared" si="75"/>
        <v>0</v>
      </c>
      <c r="HR42" s="7"/>
      <c r="HS42" s="7"/>
      <c r="HT42" s="7"/>
      <c r="HU42" s="7">
        <f t="shared" si="76"/>
        <v>0</v>
      </c>
      <c r="HV42" s="7">
        <v>1.0</v>
      </c>
      <c r="HW42" s="45">
        <f t="shared" si="77"/>
        <v>0</v>
      </c>
      <c r="HX42" s="7"/>
      <c r="HY42" s="7"/>
      <c r="HZ42" s="7"/>
      <c r="IA42" s="7">
        <f t="shared" si="78"/>
        <v>0</v>
      </c>
      <c r="IB42" s="7">
        <v>1.0</v>
      </c>
      <c r="IC42" s="45">
        <f t="shared" si="79"/>
        <v>0</v>
      </c>
      <c r="ID42" s="7"/>
      <c r="IE42" s="7"/>
      <c r="IF42" s="7"/>
      <c r="IG42" s="7">
        <f t="shared" si="80"/>
        <v>0</v>
      </c>
      <c r="IH42" s="7">
        <v>1.0</v>
      </c>
      <c r="II42" s="45">
        <f t="shared" si="81"/>
        <v>0</v>
      </c>
      <c r="IJ42" s="7"/>
      <c r="IK42" s="7"/>
      <c r="IL42" s="7"/>
      <c r="IM42" s="7">
        <f t="shared" si="82"/>
        <v>0</v>
      </c>
      <c r="IN42" s="7">
        <v>1.0</v>
      </c>
      <c r="IO42" s="45">
        <f t="shared" si="83"/>
        <v>0</v>
      </c>
    </row>
    <row r="43">
      <c r="A43" s="36" t="s">
        <v>103</v>
      </c>
      <c r="B43" s="21" t="s">
        <v>104</v>
      </c>
      <c r="C43" s="1">
        <f t="shared" si="1"/>
        <v>38</v>
      </c>
      <c r="D43" s="15">
        <f>VLOOKUP(A43,TDP!A:C,3,FALSE)</f>
        <v>0.17</v>
      </c>
      <c r="E43" s="38">
        <f t="shared" si="2"/>
        <v>0</v>
      </c>
      <c r="F43" s="7"/>
      <c r="G43" s="39">
        <f t="shared" si="84"/>
        <v>0</v>
      </c>
      <c r="H43" s="7"/>
      <c r="I43" s="7"/>
      <c r="J43" s="7"/>
      <c r="K43" s="7">
        <f t="shared" si="4"/>
        <v>0</v>
      </c>
      <c r="L43" s="7"/>
      <c r="M43" s="45">
        <f t="shared" si="5"/>
        <v>0</v>
      </c>
      <c r="N43" s="41"/>
      <c r="O43" s="41"/>
      <c r="P43" s="41"/>
      <c r="Q43" s="42">
        <f t="shared" si="6"/>
        <v>0</v>
      </c>
      <c r="R43" s="41"/>
      <c r="S43" s="41"/>
      <c r="T43" s="41"/>
      <c r="U43" s="42">
        <f t="shared" si="7"/>
        <v>0</v>
      </c>
      <c r="V43" s="7"/>
      <c r="W43" s="7"/>
      <c r="X43" s="7"/>
      <c r="Y43" s="7">
        <f t="shared" si="8"/>
        <v>0</v>
      </c>
      <c r="Z43" s="7"/>
      <c r="AA43" s="45">
        <f t="shared" si="9"/>
        <v>0</v>
      </c>
      <c r="AB43" s="7"/>
      <c r="AC43" s="7"/>
      <c r="AD43" s="7"/>
      <c r="AE43" s="7">
        <f t="shared" si="10"/>
        <v>0</v>
      </c>
      <c r="AF43" s="7"/>
      <c r="AG43" s="45">
        <f t="shared" si="11"/>
        <v>0</v>
      </c>
      <c r="AH43" s="7"/>
      <c r="AI43" s="7"/>
      <c r="AJ43" s="7"/>
      <c r="AK43" s="7">
        <f t="shared" si="12"/>
        <v>0</v>
      </c>
      <c r="AL43" s="7"/>
      <c r="AM43" s="45">
        <f t="shared" si="13"/>
        <v>0</v>
      </c>
      <c r="AN43" s="7"/>
      <c r="AO43" s="7"/>
      <c r="AP43" s="7"/>
      <c r="AQ43" s="7">
        <f t="shared" si="14"/>
        <v>0</v>
      </c>
      <c r="AR43" s="7"/>
      <c r="AS43" s="45">
        <f t="shared" si="15"/>
        <v>0</v>
      </c>
      <c r="AT43" s="7"/>
      <c r="AU43" s="7"/>
      <c r="AV43" s="7"/>
      <c r="AW43" s="7">
        <f t="shared" si="16"/>
        <v>0</v>
      </c>
      <c r="AX43" s="7"/>
      <c r="AY43" s="45">
        <f t="shared" si="17"/>
        <v>0</v>
      </c>
      <c r="AZ43" s="7"/>
      <c r="BA43" s="7"/>
      <c r="BB43" s="7"/>
      <c r="BC43" s="7">
        <f t="shared" si="18"/>
        <v>0</v>
      </c>
      <c r="BD43" s="7"/>
      <c r="BE43" s="45">
        <f t="shared" si="19"/>
        <v>0</v>
      </c>
      <c r="BF43" s="7"/>
      <c r="BG43" s="7"/>
      <c r="BH43" s="7"/>
      <c r="BI43" s="7">
        <f t="shared" si="20"/>
        <v>0</v>
      </c>
      <c r="BJ43" s="7"/>
      <c r="BK43" s="45">
        <f t="shared" si="21"/>
        <v>0</v>
      </c>
      <c r="BL43" s="7"/>
      <c r="BM43" s="7"/>
      <c r="BN43" s="7"/>
      <c r="BO43" s="7">
        <f t="shared" si="22"/>
        <v>0</v>
      </c>
      <c r="BP43" s="7"/>
      <c r="BQ43" s="45">
        <f t="shared" si="23"/>
        <v>0</v>
      </c>
      <c r="BR43" s="7"/>
      <c r="BS43" s="7"/>
      <c r="BT43" s="7"/>
      <c r="BU43" s="7">
        <f t="shared" si="24"/>
        <v>0</v>
      </c>
      <c r="BV43" s="7"/>
      <c r="BW43" s="45">
        <f t="shared" si="25"/>
        <v>0</v>
      </c>
      <c r="BX43" s="7"/>
      <c r="BY43" s="7"/>
      <c r="BZ43" s="7"/>
      <c r="CA43" s="7">
        <f t="shared" si="26"/>
        <v>0</v>
      </c>
      <c r="CB43" s="7"/>
      <c r="CC43" s="45">
        <f t="shared" si="27"/>
        <v>0</v>
      </c>
      <c r="CD43" s="7"/>
      <c r="CE43" s="7"/>
      <c r="CF43" s="7"/>
      <c r="CG43" s="7">
        <f t="shared" si="28"/>
        <v>0</v>
      </c>
      <c r="CH43" s="7"/>
      <c r="CI43" s="45">
        <f t="shared" si="29"/>
        <v>0</v>
      </c>
      <c r="CJ43" s="7"/>
      <c r="CK43" s="7"/>
      <c r="CL43" s="7"/>
      <c r="CM43" s="7">
        <f t="shared" si="30"/>
        <v>0</v>
      </c>
      <c r="CN43" s="7"/>
      <c r="CO43" s="45">
        <f t="shared" si="31"/>
        <v>0</v>
      </c>
      <c r="CP43" s="7"/>
      <c r="CQ43" s="7"/>
      <c r="CR43" s="7"/>
      <c r="CS43" s="7">
        <f t="shared" si="32"/>
        <v>0</v>
      </c>
      <c r="CT43" s="7"/>
      <c r="CU43" s="45">
        <f t="shared" si="33"/>
        <v>0</v>
      </c>
      <c r="CV43" s="7"/>
      <c r="CW43" s="7"/>
      <c r="CX43" s="7"/>
      <c r="CY43" s="7">
        <f t="shared" si="34"/>
        <v>0</v>
      </c>
      <c r="CZ43" s="7"/>
      <c r="DA43" s="45">
        <f t="shared" si="35"/>
        <v>0</v>
      </c>
      <c r="DB43" s="7"/>
      <c r="DC43" s="7"/>
      <c r="DD43" s="7"/>
      <c r="DE43" s="7">
        <f t="shared" si="36"/>
        <v>0</v>
      </c>
      <c r="DF43" s="7">
        <v>1.0</v>
      </c>
      <c r="DG43" s="45">
        <f t="shared" si="37"/>
        <v>0</v>
      </c>
      <c r="DH43" s="7"/>
      <c r="DI43" s="7"/>
      <c r="DJ43" s="7"/>
      <c r="DK43" s="7">
        <f t="shared" si="38"/>
        <v>0</v>
      </c>
      <c r="DL43" s="7">
        <v>1.0</v>
      </c>
      <c r="DM43" s="45">
        <f t="shared" si="39"/>
        <v>0</v>
      </c>
      <c r="DN43" s="7"/>
      <c r="DO43" s="7"/>
      <c r="DP43" s="7"/>
      <c r="DQ43" s="7">
        <f t="shared" si="40"/>
        <v>0</v>
      </c>
      <c r="DR43" s="7">
        <v>1.0</v>
      </c>
      <c r="DS43" s="45">
        <f t="shared" si="41"/>
        <v>0</v>
      </c>
      <c r="DT43" s="7"/>
      <c r="DU43" s="7"/>
      <c r="DV43" s="7"/>
      <c r="DW43" s="7">
        <f t="shared" si="42"/>
        <v>0</v>
      </c>
      <c r="DX43" s="7">
        <v>1.0</v>
      </c>
      <c r="DY43" s="45">
        <f t="shared" si="43"/>
        <v>0</v>
      </c>
      <c r="DZ43" s="7"/>
      <c r="EA43" s="7"/>
      <c r="EB43" s="7"/>
      <c r="EC43" s="7">
        <f t="shared" si="44"/>
        <v>0</v>
      </c>
      <c r="ED43" s="7">
        <v>1.0</v>
      </c>
      <c r="EE43" s="45">
        <f t="shared" si="45"/>
        <v>0</v>
      </c>
      <c r="EF43" s="7"/>
      <c r="EG43" s="7"/>
      <c r="EH43" s="7"/>
      <c r="EI43" s="7">
        <f t="shared" si="46"/>
        <v>0</v>
      </c>
      <c r="EJ43" s="7">
        <v>1.0</v>
      </c>
      <c r="EK43" s="45">
        <f t="shared" si="47"/>
        <v>0</v>
      </c>
      <c r="EL43" s="7"/>
      <c r="EM43" s="7"/>
      <c r="EN43" s="7"/>
      <c r="EO43" s="7">
        <f t="shared" si="48"/>
        <v>0</v>
      </c>
      <c r="EP43" s="7">
        <v>1.0</v>
      </c>
      <c r="EQ43" s="45">
        <f t="shared" si="49"/>
        <v>0</v>
      </c>
      <c r="ER43" s="7"/>
      <c r="ES43" s="7"/>
      <c r="ET43" s="7"/>
      <c r="EU43" s="7">
        <f t="shared" si="50"/>
        <v>0</v>
      </c>
      <c r="EV43" s="7">
        <v>1.0</v>
      </c>
      <c r="EW43" s="45">
        <f t="shared" si="51"/>
        <v>0</v>
      </c>
      <c r="EX43" s="7"/>
      <c r="EY43" s="7"/>
      <c r="EZ43" s="7"/>
      <c r="FA43" s="7">
        <f t="shared" si="52"/>
        <v>0</v>
      </c>
      <c r="FB43" s="7">
        <v>1.0</v>
      </c>
      <c r="FC43" s="45">
        <f t="shared" si="53"/>
        <v>0</v>
      </c>
      <c r="FD43" s="41"/>
      <c r="FE43" s="41"/>
      <c r="FF43" s="41"/>
      <c r="FG43" s="41">
        <f t="shared" si="54"/>
        <v>0</v>
      </c>
      <c r="FH43" s="41">
        <v>1.0</v>
      </c>
      <c r="FI43" s="42">
        <f t="shared" si="55"/>
        <v>0</v>
      </c>
      <c r="FJ43" s="41"/>
      <c r="FK43" s="41"/>
      <c r="FL43" s="41"/>
      <c r="FM43" s="41">
        <f t="shared" si="56"/>
        <v>0</v>
      </c>
      <c r="FN43" s="41">
        <v>1.0</v>
      </c>
      <c r="FO43" s="42">
        <f t="shared" si="57"/>
        <v>0</v>
      </c>
      <c r="FP43" s="7"/>
      <c r="FQ43" s="7"/>
      <c r="FR43" s="7"/>
      <c r="FS43" s="7">
        <f t="shared" si="58"/>
        <v>0</v>
      </c>
      <c r="FT43" s="7">
        <v>1.0</v>
      </c>
      <c r="FU43" s="45">
        <f t="shared" si="59"/>
        <v>0</v>
      </c>
      <c r="FV43" s="7"/>
      <c r="FW43" s="7"/>
      <c r="FX43" s="7"/>
      <c r="FY43" s="7">
        <f t="shared" si="60"/>
        <v>0</v>
      </c>
      <c r="FZ43" s="7">
        <v>1.0</v>
      </c>
      <c r="GA43" s="45">
        <f t="shared" si="61"/>
        <v>0</v>
      </c>
      <c r="GB43" s="7"/>
      <c r="GC43" s="7"/>
      <c r="GD43" s="7"/>
      <c r="GE43" s="7">
        <f t="shared" si="62"/>
        <v>0</v>
      </c>
      <c r="GF43" s="7">
        <v>1.0</v>
      </c>
      <c r="GG43" s="45">
        <f t="shared" si="63"/>
        <v>0</v>
      </c>
      <c r="GH43" s="7"/>
      <c r="GI43" s="7"/>
      <c r="GJ43" s="7"/>
      <c r="GK43" s="7">
        <f t="shared" si="64"/>
        <v>0</v>
      </c>
      <c r="GL43" s="7">
        <v>1.0</v>
      </c>
      <c r="GM43" s="45">
        <f t="shared" si="65"/>
        <v>0</v>
      </c>
      <c r="GN43" s="41"/>
      <c r="GO43" s="41"/>
      <c r="GP43" s="41"/>
      <c r="GQ43" s="41">
        <f t="shared" si="66"/>
        <v>0</v>
      </c>
      <c r="GR43" s="41">
        <v>1.0</v>
      </c>
      <c r="GS43" s="42">
        <f t="shared" si="67"/>
        <v>0</v>
      </c>
      <c r="GT43" s="7"/>
      <c r="GU43" s="7"/>
      <c r="GV43" s="7"/>
      <c r="GW43" s="7">
        <f t="shared" si="68"/>
        <v>0</v>
      </c>
      <c r="GX43" s="7">
        <v>1.0</v>
      </c>
      <c r="GY43" s="45">
        <f t="shared" si="69"/>
        <v>0</v>
      </c>
      <c r="GZ43" s="7"/>
      <c r="HA43" s="7"/>
      <c r="HB43" s="7"/>
      <c r="HC43" s="7">
        <f t="shared" si="70"/>
        <v>0</v>
      </c>
      <c r="HD43" s="7">
        <v>1.0</v>
      </c>
      <c r="HE43" s="45">
        <f t="shared" si="71"/>
        <v>0</v>
      </c>
      <c r="HF43" s="7"/>
      <c r="HG43" s="7"/>
      <c r="HH43" s="7"/>
      <c r="HI43" s="7">
        <f t="shared" si="72"/>
        <v>0</v>
      </c>
      <c r="HJ43" s="7">
        <v>1.0</v>
      </c>
      <c r="HK43" s="45">
        <f t="shared" si="73"/>
        <v>0</v>
      </c>
      <c r="HL43" s="7"/>
      <c r="HM43" s="7"/>
      <c r="HN43" s="7"/>
      <c r="HO43" s="7">
        <f t="shared" si="74"/>
        <v>0</v>
      </c>
      <c r="HP43" s="7">
        <v>1.0</v>
      </c>
      <c r="HQ43" s="45">
        <f t="shared" si="75"/>
        <v>0</v>
      </c>
      <c r="HR43" s="7"/>
      <c r="HS43" s="7"/>
      <c r="HT43" s="7"/>
      <c r="HU43" s="7">
        <f t="shared" si="76"/>
        <v>0</v>
      </c>
      <c r="HV43" s="7">
        <v>1.0</v>
      </c>
      <c r="HW43" s="45">
        <f t="shared" si="77"/>
        <v>0</v>
      </c>
      <c r="HX43" s="7"/>
      <c r="HY43" s="7"/>
      <c r="HZ43" s="7"/>
      <c r="IA43" s="7">
        <f t="shared" si="78"/>
        <v>0</v>
      </c>
      <c r="IB43" s="7">
        <v>1.0</v>
      </c>
      <c r="IC43" s="45">
        <f t="shared" si="79"/>
        <v>0</v>
      </c>
      <c r="ID43" s="7"/>
      <c r="IE43" s="7"/>
      <c r="IF43" s="7"/>
      <c r="IG43" s="7">
        <f t="shared" si="80"/>
        <v>0</v>
      </c>
      <c r="IH43" s="7">
        <v>1.0</v>
      </c>
      <c r="II43" s="45">
        <f t="shared" si="81"/>
        <v>0</v>
      </c>
      <c r="IJ43" s="7"/>
      <c r="IK43" s="7"/>
      <c r="IL43" s="7"/>
      <c r="IM43" s="7">
        <f t="shared" si="82"/>
        <v>0</v>
      </c>
      <c r="IN43" s="7">
        <v>1.0</v>
      </c>
      <c r="IO43" s="45">
        <f t="shared" si="83"/>
        <v>0</v>
      </c>
    </row>
    <row r="44">
      <c r="A44" s="36" t="s">
        <v>99</v>
      </c>
      <c r="B44" s="21"/>
      <c r="C44" s="1">
        <f t="shared" si="1"/>
        <v>39</v>
      </c>
      <c r="D44" s="15">
        <f>VLOOKUP(A44,TDP!A:C,3,FALSE)</f>
        <v>0.1</v>
      </c>
      <c r="E44" s="38">
        <f t="shared" si="2"/>
        <v>0</v>
      </c>
      <c r="F44" s="7"/>
      <c r="G44" s="39">
        <f t="shared" si="84"/>
        <v>0</v>
      </c>
      <c r="H44" s="7"/>
      <c r="I44" s="7"/>
      <c r="J44" s="7"/>
      <c r="K44" s="7">
        <f t="shared" si="4"/>
        <v>0</v>
      </c>
      <c r="L44" s="7"/>
      <c r="M44" s="45">
        <f t="shared" si="5"/>
        <v>0</v>
      </c>
      <c r="N44" s="41"/>
      <c r="O44" s="41"/>
      <c r="P44" s="41"/>
      <c r="Q44" s="42">
        <f t="shared" si="6"/>
        <v>0</v>
      </c>
      <c r="R44" s="41"/>
      <c r="S44" s="41"/>
      <c r="T44" s="41"/>
      <c r="U44" s="42">
        <f t="shared" si="7"/>
        <v>0</v>
      </c>
      <c r="V44" s="7"/>
      <c r="W44" s="7"/>
      <c r="X44" s="7"/>
      <c r="Y44" s="7">
        <f t="shared" si="8"/>
        <v>0</v>
      </c>
      <c r="Z44" s="7"/>
      <c r="AA44" s="45">
        <f t="shared" si="9"/>
        <v>0</v>
      </c>
      <c r="AB44" s="7"/>
      <c r="AC44" s="7"/>
      <c r="AD44" s="7"/>
      <c r="AE44" s="7">
        <f t="shared" si="10"/>
        <v>0</v>
      </c>
      <c r="AF44" s="7"/>
      <c r="AG44" s="45">
        <f t="shared" si="11"/>
        <v>0</v>
      </c>
      <c r="AH44" s="7"/>
      <c r="AI44" s="7"/>
      <c r="AJ44" s="7"/>
      <c r="AK44" s="7">
        <f t="shared" si="12"/>
        <v>0</v>
      </c>
      <c r="AL44" s="7"/>
      <c r="AM44" s="45">
        <f t="shared" si="13"/>
        <v>0</v>
      </c>
      <c r="AN44" s="7"/>
      <c r="AO44" s="7"/>
      <c r="AP44" s="7"/>
      <c r="AQ44" s="7">
        <f t="shared" si="14"/>
        <v>0</v>
      </c>
      <c r="AR44" s="7"/>
      <c r="AS44" s="45">
        <f t="shared" si="15"/>
        <v>0</v>
      </c>
      <c r="AT44" s="7"/>
      <c r="AU44" s="7"/>
      <c r="AV44" s="7"/>
      <c r="AW44" s="7">
        <f t="shared" si="16"/>
        <v>0</v>
      </c>
      <c r="AX44" s="7"/>
      <c r="AY44" s="45">
        <f t="shared" si="17"/>
        <v>0</v>
      </c>
      <c r="AZ44" s="7"/>
      <c r="BA44" s="7"/>
      <c r="BB44" s="7"/>
      <c r="BC44" s="7">
        <f t="shared" si="18"/>
        <v>0</v>
      </c>
      <c r="BD44" s="7"/>
      <c r="BE44" s="45">
        <f t="shared" si="19"/>
        <v>0</v>
      </c>
      <c r="BF44" s="7"/>
      <c r="BG44" s="7"/>
      <c r="BH44" s="7"/>
      <c r="BI44" s="7">
        <f t="shared" si="20"/>
        <v>0</v>
      </c>
      <c r="BJ44" s="7"/>
      <c r="BK44" s="45">
        <f t="shared" si="21"/>
        <v>0</v>
      </c>
      <c r="BL44" s="7"/>
      <c r="BM44" s="7"/>
      <c r="BN44" s="7"/>
      <c r="BO44" s="7">
        <f t="shared" si="22"/>
        <v>0</v>
      </c>
      <c r="BP44" s="7"/>
      <c r="BQ44" s="45">
        <f t="shared" si="23"/>
        <v>0</v>
      </c>
      <c r="BR44" s="7"/>
      <c r="BS44" s="7"/>
      <c r="BT44" s="7"/>
      <c r="BU44" s="7">
        <f t="shared" si="24"/>
        <v>0</v>
      </c>
      <c r="BV44" s="7"/>
      <c r="BW44" s="45">
        <f t="shared" si="25"/>
        <v>0</v>
      </c>
      <c r="BX44" s="7"/>
      <c r="BY44" s="7"/>
      <c r="BZ44" s="7"/>
      <c r="CA44" s="7">
        <f t="shared" si="26"/>
        <v>0</v>
      </c>
      <c r="CB44" s="7"/>
      <c r="CC44" s="45">
        <f t="shared" si="27"/>
        <v>0</v>
      </c>
      <c r="CD44" s="7"/>
      <c r="CE44" s="7"/>
      <c r="CF44" s="7"/>
      <c r="CG44" s="7">
        <f t="shared" si="28"/>
        <v>0</v>
      </c>
      <c r="CH44" s="7"/>
      <c r="CI44" s="45">
        <f t="shared" si="29"/>
        <v>0</v>
      </c>
      <c r="CJ44" s="7"/>
      <c r="CK44" s="7"/>
      <c r="CL44" s="7"/>
      <c r="CM44" s="7">
        <f t="shared" si="30"/>
        <v>0</v>
      </c>
      <c r="CN44" s="7"/>
      <c r="CO44" s="45">
        <f t="shared" si="31"/>
        <v>0</v>
      </c>
      <c r="CP44" s="7"/>
      <c r="CQ44" s="7"/>
      <c r="CR44" s="7"/>
      <c r="CS44" s="7">
        <f t="shared" si="32"/>
        <v>0</v>
      </c>
      <c r="CT44" s="7"/>
      <c r="CU44" s="45">
        <f t="shared" si="33"/>
        <v>0</v>
      </c>
      <c r="CV44" s="7"/>
      <c r="CW44" s="7"/>
      <c r="CX44" s="7"/>
      <c r="CY44" s="7">
        <f t="shared" si="34"/>
        <v>0</v>
      </c>
      <c r="CZ44" s="7"/>
      <c r="DA44" s="45">
        <f t="shared" si="35"/>
        <v>0</v>
      </c>
      <c r="DB44" s="7"/>
      <c r="DC44" s="7"/>
      <c r="DD44" s="7"/>
      <c r="DE44" s="7">
        <f t="shared" si="36"/>
        <v>0</v>
      </c>
      <c r="DF44" s="7">
        <v>1.0</v>
      </c>
      <c r="DG44" s="45">
        <f t="shared" si="37"/>
        <v>0</v>
      </c>
      <c r="DH44" s="7"/>
      <c r="DI44" s="7"/>
      <c r="DJ44" s="7"/>
      <c r="DK44" s="7">
        <f t="shared" si="38"/>
        <v>0</v>
      </c>
      <c r="DL44" s="7">
        <v>1.0</v>
      </c>
      <c r="DM44" s="45">
        <f t="shared" si="39"/>
        <v>0</v>
      </c>
      <c r="DN44" s="7"/>
      <c r="DO44" s="7"/>
      <c r="DP44" s="7"/>
      <c r="DQ44" s="7">
        <f t="shared" si="40"/>
        <v>0</v>
      </c>
      <c r="DR44" s="7">
        <v>1.0</v>
      </c>
      <c r="DS44" s="45">
        <f t="shared" si="41"/>
        <v>0</v>
      </c>
      <c r="DT44" s="7"/>
      <c r="DU44" s="7"/>
      <c r="DV44" s="7"/>
      <c r="DW44" s="7">
        <f t="shared" si="42"/>
        <v>0</v>
      </c>
      <c r="DX44" s="7">
        <v>1.0</v>
      </c>
      <c r="DY44" s="45">
        <f t="shared" si="43"/>
        <v>0</v>
      </c>
      <c r="DZ44" s="7"/>
      <c r="EA44" s="7"/>
      <c r="EB44" s="7"/>
      <c r="EC44" s="7">
        <f t="shared" si="44"/>
        <v>0</v>
      </c>
      <c r="ED44" s="7">
        <v>1.0</v>
      </c>
      <c r="EE44" s="45">
        <f t="shared" si="45"/>
        <v>0</v>
      </c>
      <c r="EF44" s="7"/>
      <c r="EG44" s="7"/>
      <c r="EH44" s="7"/>
      <c r="EI44" s="7">
        <f t="shared" si="46"/>
        <v>0</v>
      </c>
      <c r="EJ44" s="7">
        <v>1.0</v>
      </c>
      <c r="EK44" s="45">
        <f t="shared" si="47"/>
        <v>0</v>
      </c>
      <c r="EL44" s="7"/>
      <c r="EM44" s="7"/>
      <c r="EN44" s="7"/>
      <c r="EO44" s="7">
        <f t="shared" si="48"/>
        <v>0</v>
      </c>
      <c r="EP44" s="7">
        <v>1.0</v>
      </c>
      <c r="EQ44" s="45">
        <f t="shared" si="49"/>
        <v>0</v>
      </c>
      <c r="ER44" s="7"/>
      <c r="ES44" s="7"/>
      <c r="ET44" s="7"/>
      <c r="EU44" s="7">
        <f t="shared" si="50"/>
        <v>0</v>
      </c>
      <c r="EV44" s="7">
        <v>1.0</v>
      </c>
      <c r="EW44" s="45">
        <f t="shared" si="51"/>
        <v>0</v>
      </c>
      <c r="EX44" s="7"/>
      <c r="EY44" s="7"/>
      <c r="EZ44" s="7"/>
      <c r="FA44" s="7">
        <f t="shared" si="52"/>
        <v>0</v>
      </c>
      <c r="FB44" s="7">
        <v>1.0</v>
      </c>
      <c r="FC44" s="45">
        <f t="shared" si="53"/>
        <v>0</v>
      </c>
      <c r="FD44" s="41"/>
      <c r="FE44" s="41"/>
      <c r="FF44" s="41"/>
      <c r="FG44" s="41">
        <f t="shared" si="54"/>
        <v>0</v>
      </c>
      <c r="FH44" s="41">
        <v>1.0</v>
      </c>
      <c r="FI44" s="42">
        <f t="shared" si="55"/>
        <v>0</v>
      </c>
      <c r="FJ44" s="41"/>
      <c r="FK44" s="41"/>
      <c r="FL44" s="41"/>
      <c r="FM44" s="41">
        <f t="shared" si="56"/>
        <v>0</v>
      </c>
      <c r="FN44" s="41">
        <v>1.0</v>
      </c>
      <c r="FO44" s="42">
        <f t="shared" si="57"/>
        <v>0</v>
      </c>
      <c r="FP44" s="7"/>
      <c r="FQ44" s="7"/>
      <c r="FR44" s="7"/>
      <c r="FS44" s="7">
        <f t="shared" si="58"/>
        <v>0</v>
      </c>
      <c r="FT44" s="7">
        <v>1.0</v>
      </c>
      <c r="FU44" s="45">
        <f t="shared" si="59"/>
        <v>0</v>
      </c>
      <c r="FV44" s="7"/>
      <c r="FW44" s="7"/>
      <c r="FX44" s="7"/>
      <c r="FY44" s="7">
        <f t="shared" si="60"/>
        <v>0</v>
      </c>
      <c r="FZ44" s="7">
        <v>1.0</v>
      </c>
      <c r="GA44" s="45">
        <f t="shared" si="61"/>
        <v>0</v>
      </c>
      <c r="GB44" s="7"/>
      <c r="GC44" s="7"/>
      <c r="GD44" s="7"/>
      <c r="GE44" s="7">
        <f t="shared" si="62"/>
        <v>0</v>
      </c>
      <c r="GF44" s="7">
        <v>1.0</v>
      </c>
      <c r="GG44" s="45">
        <f t="shared" si="63"/>
        <v>0</v>
      </c>
      <c r="GH44" s="7"/>
      <c r="GI44" s="7"/>
      <c r="GJ44" s="7"/>
      <c r="GK44" s="7">
        <f t="shared" si="64"/>
        <v>0</v>
      </c>
      <c r="GL44" s="7">
        <v>1.0</v>
      </c>
      <c r="GM44" s="45">
        <f t="shared" si="65"/>
        <v>0</v>
      </c>
      <c r="GN44" s="41"/>
      <c r="GO44" s="41"/>
      <c r="GP44" s="41"/>
      <c r="GQ44" s="41">
        <f t="shared" si="66"/>
        <v>0</v>
      </c>
      <c r="GR44" s="41">
        <v>1.0</v>
      </c>
      <c r="GS44" s="42">
        <f t="shared" si="67"/>
        <v>0</v>
      </c>
      <c r="GT44" s="7"/>
      <c r="GU44" s="7"/>
      <c r="GV44" s="7"/>
      <c r="GW44" s="7">
        <f t="shared" si="68"/>
        <v>0</v>
      </c>
      <c r="GX44" s="7">
        <v>1.0</v>
      </c>
      <c r="GY44" s="45">
        <f t="shared" si="69"/>
        <v>0</v>
      </c>
      <c r="GZ44" s="7"/>
      <c r="HA44" s="7"/>
      <c r="HB44" s="7"/>
      <c r="HC44" s="7">
        <f t="shared" si="70"/>
        <v>0</v>
      </c>
      <c r="HD44" s="7">
        <v>1.0</v>
      </c>
      <c r="HE44" s="45">
        <f t="shared" si="71"/>
        <v>0</v>
      </c>
      <c r="HF44" s="7"/>
      <c r="HG44" s="7"/>
      <c r="HH44" s="7"/>
      <c r="HI44" s="7">
        <f t="shared" si="72"/>
        <v>0</v>
      </c>
      <c r="HJ44" s="7">
        <v>1.0</v>
      </c>
      <c r="HK44" s="45">
        <f t="shared" si="73"/>
        <v>0</v>
      </c>
      <c r="HL44" s="7"/>
      <c r="HM44" s="7"/>
      <c r="HN44" s="7"/>
      <c r="HO44" s="7">
        <f t="shared" si="74"/>
        <v>0</v>
      </c>
      <c r="HP44" s="7">
        <v>1.0</v>
      </c>
      <c r="HQ44" s="45">
        <f t="shared" si="75"/>
        <v>0</v>
      </c>
      <c r="HR44" s="7"/>
      <c r="HS44" s="7"/>
      <c r="HT44" s="7"/>
      <c r="HU44" s="7">
        <f t="shared" si="76"/>
        <v>0</v>
      </c>
      <c r="HV44" s="7">
        <v>1.0</v>
      </c>
      <c r="HW44" s="45">
        <f t="shared" si="77"/>
        <v>0</v>
      </c>
      <c r="HX44" s="7"/>
      <c r="HY44" s="7"/>
      <c r="HZ44" s="7"/>
      <c r="IA44" s="7">
        <f t="shared" si="78"/>
        <v>0</v>
      </c>
      <c r="IB44" s="7">
        <v>1.0</v>
      </c>
      <c r="IC44" s="45">
        <f t="shared" si="79"/>
        <v>0</v>
      </c>
      <c r="ID44" s="7"/>
      <c r="IE44" s="7"/>
      <c r="IF44" s="7"/>
      <c r="IG44" s="7">
        <f t="shared" si="80"/>
        <v>0</v>
      </c>
      <c r="IH44" s="7">
        <v>1.0</v>
      </c>
      <c r="II44" s="45">
        <f t="shared" si="81"/>
        <v>0</v>
      </c>
      <c r="IJ44" s="7"/>
      <c r="IK44" s="7"/>
      <c r="IL44" s="7"/>
      <c r="IM44" s="7">
        <f t="shared" si="82"/>
        <v>0</v>
      </c>
      <c r="IN44" s="7">
        <v>1.0</v>
      </c>
      <c r="IO44" s="45">
        <f t="shared" si="83"/>
        <v>0</v>
      </c>
    </row>
    <row r="45">
      <c r="A45" s="36" t="s">
        <v>115</v>
      </c>
      <c r="B45" s="21" t="s">
        <v>116</v>
      </c>
      <c r="C45" s="1">
        <f t="shared" si="1"/>
        <v>40</v>
      </c>
      <c r="D45" s="15">
        <f>VLOOKUP(A45,TDP!A:C,3,FALSE)</f>
        <v>0.08</v>
      </c>
      <c r="E45" s="38">
        <f t="shared" si="2"/>
        <v>0</v>
      </c>
      <c r="F45" s="7"/>
      <c r="G45" s="39">
        <f t="shared" si="84"/>
        <v>0</v>
      </c>
      <c r="H45" s="7"/>
      <c r="I45" s="7"/>
      <c r="J45" s="7"/>
      <c r="K45" s="7">
        <f t="shared" si="4"/>
        <v>0</v>
      </c>
      <c r="L45" s="7"/>
      <c r="M45" s="45">
        <f t="shared" si="5"/>
        <v>0</v>
      </c>
      <c r="N45" s="41"/>
      <c r="O45" s="41"/>
      <c r="P45" s="41"/>
      <c r="Q45" s="42">
        <f t="shared" si="6"/>
        <v>0</v>
      </c>
      <c r="R45" s="41"/>
      <c r="S45" s="41"/>
      <c r="T45" s="41"/>
      <c r="U45" s="42">
        <f t="shared" si="7"/>
        <v>0</v>
      </c>
      <c r="V45" s="7"/>
      <c r="W45" s="7"/>
      <c r="X45" s="7"/>
      <c r="Y45" s="7">
        <f t="shared" si="8"/>
        <v>0</v>
      </c>
      <c r="Z45" s="7"/>
      <c r="AA45" s="45">
        <f t="shared" si="9"/>
        <v>0</v>
      </c>
      <c r="AB45" s="7"/>
      <c r="AC45" s="7"/>
      <c r="AD45" s="7"/>
      <c r="AE45" s="7">
        <f t="shared" si="10"/>
        <v>0</v>
      </c>
      <c r="AF45" s="7"/>
      <c r="AG45" s="45">
        <f t="shared" si="11"/>
        <v>0</v>
      </c>
      <c r="AH45" s="7"/>
      <c r="AI45" s="7"/>
      <c r="AJ45" s="7"/>
      <c r="AK45" s="7">
        <f t="shared" si="12"/>
        <v>0</v>
      </c>
      <c r="AL45" s="7"/>
      <c r="AM45" s="45">
        <f t="shared" si="13"/>
        <v>0</v>
      </c>
      <c r="AN45" s="7"/>
      <c r="AO45" s="7"/>
      <c r="AP45" s="7"/>
      <c r="AQ45" s="7">
        <f t="shared" si="14"/>
        <v>0</v>
      </c>
      <c r="AR45" s="7"/>
      <c r="AS45" s="45">
        <f t="shared" si="15"/>
        <v>0</v>
      </c>
      <c r="AT45" s="7"/>
      <c r="AU45" s="7"/>
      <c r="AV45" s="7"/>
      <c r="AW45" s="7">
        <f t="shared" si="16"/>
        <v>0</v>
      </c>
      <c r="AX45" s="7"/>
      <c r="AY45" s="45">
        <f t="shared" si="17"/>
        <v>0</v>
      </c>
      <c r="AZ45" s="7"/>
      <c r="BA45" s="7"/>
      <c r="BB45" s="7"/>
      <c r="BC45" s="7">
        <f t="shared" si="18"/>
        <v>0</v>
      </c>
      <c r="BD45" s="7"/>
      <c r="BE45" s="45">
        <f t="shared" si="19"/>
        <v>0</v>
      </c>
      <c r="BF45" s="7"/>
      <c r="BG45" s="7"/>
      <c r="BH45" s="7"/>
      <c r="BI45" s="7">
        <f t="shared" si="20"/>
        <v>0</v>
      </c>
      <c r="BJ45" s="7"/>
      <c r="BK45" s="45">
        <f t="shared" si="21"/>
        <v>0</v>
      </c>
      <c r="BL45" s="7"/>
      <c r="BM45" s="7"/>
      <c r="BN45" s="7"/>
      <c r="BO45" s="7">
        <f t="shared" si="22"/>
        <v>0</v>
      </c>
      <c r="BP45" s="7"/>
      <c r="BQ45" s="45">
        <f t="shared" si="23"/>
        <v>0</v>
      </c>
      <c r="BR45" s="7"/>
      <c r="BS45" s="7"/>
      <c r="BT45" s="7"/>
      <c r="BU45" s="7">
        <f t="shared" si="24"/>
        <v>0</v>
      </c>
      <c r="BV45" s="7"/>
      <c r="BW45" s="45">
        <f t="shared" si="25"/>
        <v>0</v>
      </c>
      <c r="BX45" s="7"/>
      <c r="BY45" s="7"/>
      <c r="BZ45" s="7"/>
      <c r="CA45" s="7">
        <f t="shared" si="26"/>
        <v>0</v>
      </c>
      <c r="CB45" s="7"/>
      <c r="CC45" s="45">
        <f t="shared" si="27"/>
        <v>0</v>
      </c>
      <c r="CD45" s="7"/>
      <c r="CE45" s="7"/>
      <c r="CF45" s="7"/>
      <c r="CG45" s="7">
        <f t="shared" si="28"/>
        <v>0</v>
      </c>
      <c r="CH45" s="7"/>
      <c r="CI45" s="45">
        <f t="shared" si="29"/>
        <v>0</v>
      </c>
      <c r="CJ45" s="7"/>
      <c r="CK45" s="7"/>
      <c r="CL45" s="7"/>
      <c r="CM45" s="7">
        <f t="shared" si="30"/>
        <v>0</v>
      </c>
      <c r="CN45" s="7"/>
      <c r="CO45" s="45">
        <f t="shared" si="31"/>
        <v>0</v>
      </c>
      <c r="CP45" s="7"/>
      <c r="CQ45" s="7"/>
      <c r="CR45" s="7"/>
      <c r="CS45" s="7">
        <f t="shared" si="32"/>
        <v>0</v>
      </c>
      <c r="CT45" s="7"/>
      <c r="CU45" s="45">
        <f t="shared" si="33"/>
        <v>0</v>
      </c>
      <c r="CV45" s="7"/>
      <c r="CW45" s="7"/>
      <c r="CX45" s="7"/>
      <c r="CY45" s="7">
        <f t="shared" si="34"/>
        <v>0</v>
      </c>
      <c r="CZ45" s="7"/>
      <c r="DA45" s="45">
        <f t="shared" si="35"/>
        <v>0</v>
      </c>
      <c r="DB45" s="7"/>
      <c r="DC45" s="7"/>
      <c r="DD45" s="7"/>
      <c r="DE45" s="7">
        <f t="shared" si="36"/>
        <v>0</v>
      </c>
      <c r="DF45" s="7">
        <v>1.0</v>
      </c>
      <c r="DG45" s="45">
        <f t="shared" si="37"/>
        <v>0</v>
      </c>
      <c r="DH45" s="7"/>
      <c r="DI45" s="7"/>
      <c r="DJ45" s="7"/>
      <c r="DK45" s="7">
        <f t="shared" si="38"/>
        <v>0</v>
      </c>
      <c r="DL45" s="7">
        <v>1.0</v>
      </c>
      <c r="DM45" s="45">
        <f t="shared" si="39"/>
        <v>0</v>
      </c>
      <c r="DN45" s="7"/>
      <c r="DO45" s="7"/>
      <c r="DP45" s="7"/>
      <c r="DQ45" s="7">
        <f t="shared" si="40"/>
        <v>0</v>
      </c>
      <c r="DR45" s="7">
        <v>1.0</v>
      </c>
      <c r="DS45" s="45">
        <f t="shared" si="41"/>
        <v>0</v>
      </c>
      <c r="DT45" s="7"/>
      <c r="DU45" s="7"/>
      <c r="DV45" s="7"/>
      <c r="DW45" s="7">
        <f t="shared" si="42"/>
        <v>0</v>
      </c>
      <c r="DX45" s="7">
        <v>1.0</v>
      </c>
      <c r="DY45" s="45">
        <f t="shared" si="43"/>
        <v>0</v>
      </c>
      <c r="DZ45" s="7"/>
      <c r="EA45" s="7"/>
      <c r="EB45" s="7"/>
      <c r="EC45" s="7">
        <f t="shared" si="44"/>
        <v>0</v>
      </c>
      <c r="ED45" s="7">
        <v>1.0</v>
      </c>
      <c r="EE45" s="45">
        <f t="shared" si="45"/>
        <v>0</v>
      </c>
      <c r="EF45" s="7"/>
      <c r="EG45" s="7"/>
      <c r="EH45" s="7"/>
      <c r="EI45" s="7">
        <f t="shared" si="46"/>
        <v>0</v>
      </c>
      <c r="EJ45" s="7">
        <v>1.0</v>
      </c>
      <c r="EK45" s="45">
        <f t="shared" si="47"/>
        <v>0</v>
      </c>
      <c r="EL45" s="7"/>
      <c r="EM45" s="7"/>
      <c r="EN45" s="7"/>
      <c r="EO45" s="7">
        <f t="shared" si="48"/>
        <v>0</v>
      </c>
      <c r="EP45" s="7">
        <v>1.0</v>
      </c>
      <c r="EQ45" s="45">
        <f t="shared" si="49"/>
        <v>0</v>
      </c>
      <c r="ER45" s="7"/>
      <c r="ES45" s="7"/>
      <c r="ET45" s="7"/>
      <c r="EU45" s="7">
        <f t="shared" si="50"/>
        <v>0</v>
      </c>
      <c r="EV45" s="7">
        <v>1.0</v>
      </c>
      <c r="EW45" s="45">
        <f t="shared" si="51"/>
        <v>0</v>
      </c>
      <c r="EX45" s="7"/>
      <c r="EY45" s="7"/>
      <c r="EZ45" s="7"/>
      <c r="FA45" s="7">
        <f t="shared" si="52"/>
        <v>0</v>
      </c>
      <c r="FB45" s="7">
        <v>1.0</v>
      </c>
      <c r="FC45" s="45">
        <f t="shared" si="53"/>
        <v>0</v>
      </c>
      <c r="FD45" s="41"/>
      <c r="FE45" s="41"/>
      <c r="FF45" s="41"/>
      <c r="FG45" s="41">
        <f t="shared" si="54"/>
        <v>0</v>
      </c>
      <c r="FH45" s="41">
        <v>1.0</v>
      </c>
      <c r="FI45" s="42">
        <f t="shared" si="55"/>
        <v>0</v>
      </c>
      <c r="FJ45" s="41"/>
      <c r="FK45" s="41"/>
      <c r="FL45" s="41"/>
      <c r="FM45" s="41">
        <f t="shared" si="56"/>
        <v>0</v>
      </c>
      <c r="FN45" s="41">
        <v>1.0</v>
      </c>
      <c r="FO45" s="42">
        <f t="shared" si="57"/>
        <v>0</v>
      </c>
      <c r="FP45" s="7"/>
      <c r="FQ45" s="7"/>
      <c r="FR45" s="7"/>
      <c r="FS45" s="7">
        <f t="shared" si="58"/>
        <v>0</v>
      </c>
      <c r="FT45" s="7">
        <v>1.0</v>
      </c>
      <c r="FU45" s="45">
        <f t="shared" si="59"/>
        <v>0</v>
      </c>
      <c r="FV45" s="7"/>
      <c r="FW45" s="7"/>
      <c r="FX45" s="7"/>
      <c r="FY45" s="7">
        <f t="shared" si="60"/>
        <v>0</v>
      </c>
      <c r="FZ45" s="7">
        <v>1.0</v>
      </c>
      <c r="GA45" s="45">
        <f t="shared" si="61"/>
        <v>0</v>
      </c>
      <c r="GB45" s="7"/>
      <c r="GC45" s="7"/>
      <c r="GD45" s="7"/>
      <c r="GE45" s="7">
        <f t="shared" si="62"/>
        <v>0</v>
      </c>
      <c r="GF45" s="7">
        <v>1.0</v>
      </c>
      <c r="GG45" s="45">
        <f t="shared" si="63"/>
        <v>0</v>
      </c>
      <c r="GH45" s="7"/>
      <c r="GI45" s="7"/>
      <c r="GJ45" s="7"/>
      <c r="GK45" s="7">
        <f t="shared" si="64"/>
        <v>0</v>
      </c>
      <c r="GL45" s="7">
        <v>1.0</v>
      </c>
      <c r="GM45" s="45">
        <f t="shared" si="65"/>
        <v>0</v>
      </c>
      <c r="GN45" s="41"/>
      <c r="GO45" s="41"/>
      <c r="GP45" s="41"/>
      <c r="GQ45" s="41">
        <f t="shared" si="66"/>
        <v>0</v>
      </c>
      <c r="GR45" s="41">
        <v>1.0</v>
      </c>
      <c r="GS45" s="42">
        <f t="shared" si="67"/>
        <v>0</v>
      </c>
      <c r="GT45" s="7"/>
      <c r="GU45" s="7"/>
      <c r="GV45" s="7"/>
      <c r="GW45" s="7">
        <f t="shared" si="68"/>
        <v>0</v>
      </c>
      <c r="GX45" s="7">
        <v>1.0</v>
      </c>
      <c r="GY45" s="45">
        <f t="shared" si="69"/>
        <v>0</v>
      </c>
      <c r="GZ45" s="7"/>
      <c r="HA45" s="7"/>
      <c r="HB45" s="7"/>
      <c r="HC45" s="7">
        <f t="shared" si="70"/>
        <v>0</v>
      </c>
      <c r="HD45" s="7">
        <v>1.0</v>
      </c>
      <c r="HE45" s="45">
        <f t="shared" si="71"/>
        <v>0</v>
      </c>
      <c r="HF45" s="7"/>
      <c r="HG45" s="7"/>
      <c r="HH45" s="7"/>
      <c r="HI45" s="7">
        <f t="shared" si="72"/>
        <v>0</v>
      </c>
      <c r="HJ45" s="7">
        <v>1.0</v>
      </c>
      <c r="HK45" s="45">
        <f t="shared" si="73"/>
        <v>0</v>
      </c>
      <c r="HL45" s="7"/>
      <c r="HM45" s="7"/>
      <c r="HN45" s="7"/>
      <c r="HO45" s="7">
        <f t="shared" si="74"/>
        <v>0</v>
      </c>
      <c r="HP45" s="7">
        <v>1.0</v>
      </c>
      <c r="HQ45" s="45">
        <f t="shared" si="75"/>
        <v>0</v>
      </c>
      <c r="HR45" s="7"/>
      <c r="HS45" s="7"/>
      <c r="HT45" s="7"/>
      <c r="HU45" s="7">
        <f t="shared" si="76"/>
        <v>0</v>
      </c>
      <c r="HV45" s="7">
        <v>1.0</v>
      </c>
      <c r="HW45" s="45">
        <f t="shared" si="77"/>
        <v>0</v>
      </c>
      <c r="HX45" s="7"/>
      <c r="HY45" s="7"/>
      <c r="HZ45" s="7"/>
      <c r="IA45" s="7">
        <f t="shared" si="78"/>
        <v>0</v>
      </c>
      <c r="IB45" s="7">
        <v>1.0</v>
      </c>
      <c r="IC45" s="45">
        <f t="shared" si="79"/>
        <v>0</v>
      </c>
      <c r="ID45" s="7"/>
      <c r="IE45" s="7"/>
      <c r="IF45" s="7"/>
      <c r="IG45" s="7">
        <f t="shared" si="80"/>
        <v>0</v>
      </c>
      <c r="IH45" s="7">
        <v>1.0</v>
      </c>
      <c r="II45" s="45">
        <f t="shared" si="81"/>
        <v>0</v>
      </c>
      <c r="IJ45" s="7"/>
      <c r="IK45" s="7"/>
      <c r="IL45" s="7"/>
      <c r="IM45" s="7">
        <f t="shared" si="82"/>
        <v>0</v>
      </c>
      <c r="IN45" s="7">
        <v>1.0</v>
      </c>
      <c r="IO45" s="45">
        <f t="shared" si="83"/>
        <v>0</v>
      </c>
    </row>
    <row r="46">
      <c r="A46" s="36" t="s">
        <v>171</v>
      </c>
      <c r="B46" s="21"/>
      <c r="C46" s="1">
        <f t="shared" si="1"/>
        <v>41</v>
      </c>
      <c r="D46" s="15">
        <f>VLOOKUP(A46,TDP!A:C,3,FALSE)</f>
        <v>0.09</v>
      </c>
      <c r="E46" s="38">
        <f t="shared" si="2"/>
        <v>0</v>
      </c>
      <c r="F46" s="7"/>
      <c r="G46" s="39">
        <f t="shared" si="84"/>
        <v>0</v>
      </c>
      <c r="H46" s="7"/>
      <c r="I46" s="7"/>
      <c r="J46" s="7"/>
      <c r="K46" s="7">
        <f t="shared" si="4"/>
        <v>0</v>
      </c>
      <c r="L46" s="7"/>
      <c r="M46" s="45">
        <f t="shared" si="5"/>
        <v>0</v>
      </c>
      <c r="N46" s="41"/>
      <c r="O46" s="41"/>
      <c r="P46" s="41"/>
      <c r="Q46" s="42">
        <f t="shared" si="6"/>
        <v>0</v>
      </c>
      <c r="R46" s="41"/>
      <c r="S46" s="41"/>
      <c r="T46" s="41"/>
      <c r="U46" s="42">
        <f t="shared" si="7"/>
        <v>0</v>
      </c>
      <c r="V46" s="7"/>
      <c r="W46" s="7"/>
      <c r="X46" s="7"/>
      <c r="Y46" s="7">
        <f t="shared" si="8"/>
        <v>0</v>
      </c>
      <c r="Z46" s="7"/>
      <c r="AA46" s="45">
        <f t="shared" si="9"/>
        <v>0</v>
      </c>
      <c r="AB46" s="7"/>
      <c r="AC46" s="7"/>
      <c r="AD46" s="7"/>
      <c r="AE46" s="7">
        <f t="shared" si="10"/>
        <v>0</v>
      </c>
      <c r="AF46" s="7"/>
      <c r="AG46" s="45">
        <f t="shared" si="11"/>
        <v>0</v>
      </c>
      <c r="AH46" s="7"/>
      <c r="AI46" s="7"/>
      <c r="AJ46" s="7"/>
      <c r="AK46" s="7">
        <f t="shared" si="12"/>
        <v>0</v>
      </c>
      <c r="AL46" s="7"/>
      <c r="AM46" s="45">
        <f t="shared" si="13"/>
        <v>0</v>
      </c>
      <c r="AN46" s="7"/>
      <c r="AO46" s="7"/>
      <c r="AP46" s="7"/>
      <c r="AQ46" s="7">
        <f t="shared" si="14"/>
        <v>0</v>
      </c>
      <c r="AR46" s="7"/>
      <c r="AS46" s="45">
        <f t="shared" si="15"/>
        <v>0</v>
      </c>
      <c r="AT46" s="7"/>
      <c r="AU46" s="7"/>
      <c r="AV46" s="7"/>
      <c r="AW46" s="7">
        <f t="shared" si="16"/>
        <v>0</v>
      </c>
      <c r="AX46" s="7"/>
      <c r="AY46" s="45">
        <f t="shared" si="17"/>
        <v>0</v>
      </c>
      <c r="AZ46" s="7"/>
      <c r="BA46" s="7"/>
      <c r="BB46" s="7"/>
      <c r="BC46" s="7">
        <f t="shared" si="18"/>
        <v>0</v>
      </c>
      <c r="BD46" s="7"/>
      <c r="BE46" s="45">
        <f t="shared" si="19"/>
        <v>0</v>
      </c>
      <c r="BF46" s="7"/>
      <c r="BG46" s="7"/>
      <c r="BH46" s="7"/>
      <c r="BI46" s="7">
        <f t="shared" si="20"/>
        <v>0</v>
      </c>
      <c r="BJ46" s="7"/>
      <c r="BK46" s="45">
        <f t="shared" si="21"/>
        <v>0</v>
      </c>
      <c r="BL46" s="7"/>
      <c r="BM46" s="7"/>
      <c r="BN46" s="7"/>
      <c r="BO46" s="7">
        <f t="shared" si="22"/>
        <v>0</v>
      </c>
      <c r="BP46" s="7"/>
      <c r="BQ46" s="45">
        <f t="shared" si="23"/>
        <v>0</v>
      </c>
      <c r="BR46" s="7"/>
      <c r="BS46" s="7"/>
      <c r="BT46" s="7"/>
      <c r="BU46" s="7">
        <f t="shared" si="24"/>
        <v>0</v>
      </c>
      <c r="BV46" s="7"/>
      <c r="BW46" s="45">
        <f t="shared" si="25"/>
        <v>0</v>
      </c>
      <c r="BX46" s="7"/>
      <c r="BY46" s="7"/>
      <c r="BZ46" s="7"/>
      <c r="CA46" s="7">
        <f t="shared" si="26"/>
        <v>0</v>
      </c>
      <c r="CB46" s="7"/>
      <c r="CC46" s="45">
        <f t="shared" si="27"/>
        <v>0</v>
      </c>
      <c r="CD46" s="7"/>
      <c r="CE46" s="7"/>
      <c r="CF46" s="7"/>
      <c r="CG46" s="7">
        <f t="shared" si="28"/>
        <v>0</v>
      </c>
      <c r="CH46" s="7"/>
      <c r="CI46" s="45">
        <f t="shared" si="29"/>
        <v>0</v>
      </c>
      <c r="CJ46" s="7"/>
      <c r="CK46" s="7"/>
      <c r="CL46" s="7"/>
      <c r="CM46" s="7">
        <f t="shared" si="30"/>
        <v>0</v>
      </c>
      <c r="CN46" s="7"/>
      <c r="CO46" s="45">
        <f t="shared" si="31"/>
        <v>0</v>
      </c>
      <c r="CP46" s="7"/>
      <c r="CQ46" s="7"/>
      <c r="CR46" s="7"/>
      <c r="CS46" s="7">
        <f t="shared" si="32"/>
        <v>0</v>
      </c>
      <c r="CT46" s="7"/>
      <c r="CU46" s="45">
        <f t="shared" si="33"/>
        <v>0</v>
      </c>
      <c r="CV46" s="7"/>
      <c r="CW46" s="7"/>
      <c r="CX46" s="7"/>
      <c r="CY46" s="7">
        <f t="shared" si="34"/>
        <v>0</v>
      </c>
      <c r="CZ46" s="7"/>
      <c r="DA46" s="45">
        <f t="shared" si="35"/>
        <v>0</v>
      </c>
      <c r="DB46" s="7"/>
      <c r="DC46" s="7"/>
      <c r="DD46" s="7"/>
      <c r="DE46" s="7">
        <f t="shared" si="36"/>
        <v>0</v>
      </c>
      <c r="DF46" s="7">
        <v>1.0</v>
      </c>
      <c r="DG46" s="45">
        <f t="shared" si="37"/>
        <v>0</v>
      </c>
      <c r="DH46" s="7"/>
      <c r="DI46" s="7"/>
      <c r="DJ46" s="7"/>
      <c r="DK46" s="7">
        <f t="shared" si="38"/>
        <v>0</v>
      </c>
      <c r="DL46" s="7">
        <v>1.0</v>
      </c>
      <c r="DM46" s="45">
        <f t="shared" si="39"/>
        <v>0</v>
      </c>
      <c r="DN46" s="7"/>
      <c r="DO46" s="7"/>
      <c r="DP46" s="7"/>
      <c r="DQ46" s="7">
        <f t="shared" si="40"/>
        <v>0</v>
      </c>
      <c r="DR46" s="7">
        <v>1.0</v>
      </c>
      <c r="DS46" s="45">
        <f t="shared" si="41"/>
        <v>0</v>
      </c>
      <c r="DT46" s="7"/>
      <c r="DU46" s="7"/>
      <c r="DV46" s="7"/>
      <c r="DW46" s="7">
        <f t="shared" si="42"/>
        <v>0</v>
      </c>
      <c r="DX46" s="7">
        <v>1.0</v>
      </c>
      <c r="DY46" s="45">
        <f t="shared" si="43"/>
        <v>0</v>
      </c>
      <c r="DZ46" s="7"/>
      <c r="EA46" s="7"/>
      <c r="EB46" s="7"/>
      <c r="EC46" s="7">
        <f t="shared" si="44"/>
        <v>0</v>
      </c>
      <c r="ED46" s="7">
        <v>1.0</v>
      </c>
      <c r="EE46" s="45">
        <f t="shared" si="45"/>
        <v>0</v>
      </c>
      <c r="EF46" s="7"/>
      <c r="EG46" s="7"/>
      <c r="EH46" s="7"/>
      <c r="EI46" s="7">
        <f t="shared" si="46"/>
        <v>0</v>
      </c>
      <c r="EJ46" s="7">
        <v>1.0</v>
      </c>
      <c r="EK46" s="45">
        <f t="shared" si="47"/>
        <v>0</v>
      </c>
      <c r="EL46" s="7"/>
      <c r="EM46" s="7"/>
      <c r="EN46" s="7"/>
      <c r="EO46" s="7">
        <f t="shared" si="48"/>
        <v>0</v>
      </c>
      <c r="EP46" s="7">
        <v>1.0</v>
      </c>
      <c r="EQ46" s="45">
        <f t="shared" si="49"/>
        <v>0</v>
      </c>
      <c r="ER46" s="7"/>
      <c r="ES46" s="7"/>
      <c r="ET46" s="7"/>
      <c r="EU46" s="7">
        <f t="shared" si="50"/>
        <v>0</v>
      </c>
      <c r="EV46" s="7">
        <v>1.0</v>
      </c>
      <c r="EW46" s="45">
        <f t="shared" si="51"/>
        <v>0</v>
      </c>
      <c r="EX46" s="7"/>
      <c r="EY46" s="7"/>
      <c r="EZ46" s="7"/>
      <c r="FA46" s="7">
        <f t="shared" si="52"/>
        <v>0</v>
      </c>
      <c r="FB46" s="7">
        <v>1.0</v>
      </c>
      <c r="FC46" s="45">
        <f t="shared" si="53"/>
        <v>0</v>
      </c>
      <c r="FD46" s="41"/>
      <c r="FE46" s="41"/>
      <c r="FF46" s="41"/>
      <c r="FG46" s="41">
        <f t="shared" si="54"/>
        <v>0</v>
      </c>
      <c r="FH46" s="41">
        <v>1.0</v>
      </c>
      <c r="FI46" s="42">
        <f t="shared" si="55"/>
        <v>0</v>
      </c>
      <c r="FJ46" s="41"/>
      <c r="FK46" s="41"/>
      <c r="FL46" s="41"/>
      <c r="FM46" s="41">
        <f t="shared" si="56"/>
        <v>0</v>
      </c>
      <c r="FN46" s="41">
        <v>1.0</v>
      </c>
      <c r="FO46" s="42">
        <f t="shared" si="57"/>
        <v>0</v>
      </c>
      <c r="FP46" s="7"/>
      <c r="FQ46" s="7"/>
      <c r="FR46" s="7"/>
      <c r="FS46" s="7">
        <f t="shared" si="58"/>
        <v>0</v>
      </c>
      <c r="FT46" s="7">
        <v>1.0</v>
      </c>
      <c r="FU46" s="45">
        <f t="shared" si="59"/>
        <v>0</v>
      </c>
      <c r="FV46" s="7"/>
      <c r="FW46" s="7"/>
      <c r="FX46" s="7"/>
      <c r="FY46" s="7">
        <f t="shared" si="60"/>
        <v>0</v>
      </c>
      <c r="FZ46" s="7">
        <v>1.0</v>
      </c>
      <c r="GA46" s="45">
        <f t="shared" si="61"/>
        <v>0</v>
      </c>
      <c r="GB46" s="7"/>
      <c r="GC46" s="7"/>
      <c r="GD46" s="7"/>
      <c r="GE46" s="7">
        <f t="shared" si="62"/>
        <v>0</v>
      </c>
      <c r="GF46" s="7">
        <v>1.0</v>
      </c>
      <c r="GG46" s="45">
        <f t="shared" si="63"/>
        <v>0</v>
      </c>
      <c r="GH46" s="7"/>
      <c r="GI46" s="7"/>
      <c r="GJ46" s="7"/>
      <c r="GK46" s="7">
        <f t="shared" si="64"/>
        <v>0</v>
      </c>
      <c r="GL46" s="7">
        <v>1.0</v>
      </c>
      <c r="GM46" s="45">
        <f t="shared" si="65"/>
        <v>0</v>
      </c>
      <c r="GN46" s="41"/>
      <c r="GO46" s="41"/>
      <c r="GP46" s="41"/>
      <c r="GQ46" s="41">
        <f t="shared" si="66"/>
        <v>0</v>
      </c>
      <c r="GR46" s="41">
        <v>1.0</v>
      </c>
      <c r="GS46" s="42">
        <f t="shared" si="67"/>
        <v>0</v>
      </c>
      <c r="GT46" s="7"/>
      <c r="GU46" s="7"/>
      <c r="GV46" s="7"/>
      <c r="GW46" s="7">
        <f t="shared" si="68"/>
        <v>0</v>
      </c>
      <c r="GX46" s="7">
        <v>1.0</v>
      </c>
      <c r="GY46" s="45">
        <f t="shared" si="69"/>
        <v>0</v>
      </c>
      <c r="GZ46" s="7"/>
      <c r="HA46" s="7"/>
      <c r="HB46" s="7"/>
      <c r="HC46" s="7">
        <f t="shared" si="70"/>
        <v>0</v>
      </c>
      <c r="HD46" s="7">
        <v>1.0</v>
      </c>
      <c r="HE46" s="45">
        <f t="shared" si="71"/>
        <v>0</v>
      </c>
      <c r="HF46" s="7"/>
      <c r="HG46" s="7"/>
      <c r="HH46" s="7"/>
      <c r="HI46" s="7">
        <f t="shared" si="72"/>
        <v>0</v>
      </c>
      <c r="HJ46" s="7">
        <v>1.0</v>
      </c>
      <c r="HK46" s="45">
        <f t="shared" si="73"/>
        <v>0</v>
      </c>
      <c r="HL46" s="7"/>
      <c r="HM46" s="7"/>
      <c r="HN46" s="7"/>
      <c r="HO46" s="7">
        <f t="shared" si="74"/>
        <v>0</v>
      </c>
      <c r="HP46" s="7">
        <v>1.0</v>
      </c>
      <c r="HQ46" s="45">
        <f t="shared" si="75"/>
        <v>0</v>
      </c>
      <c r="HR46" s="7"/>
      <c r="HS46" s="7"/>
      <c r="HT46" s="7"/>
      <c r="HU46" s="7">
        <f t="shared" si="76"/>
        <v>0</v>
      </c>
      <c r="HV46" s="7">
        <v>1.0</v>
      </c>
      <c r="HW46" s="45">
        <f t="shared" si="77"/>
        <v>0</v>
      </c>
      <c r="HX46" s="7"/>
      <c r="HY46" s="7"/>
      <c r="HZ46" s="7"/>
      <c r="IA46" s="7">
        <f t="shared" si="78"/>
        <v>0</v>
      </c>
      <c r="IB46" s="7">
        <v>1.0</v>
      </c>
      <c r="IC46" s="45">
        <f t="shared" si="79"/>
        <v>0</v>
      </c>
      <c r="ID46" s="7"/>
      <c r="IE46" s="7"/>
      <c r="IF46" s="7"/>
      <c r="IG46" s="7">
        <f t="shared" si="80"/>
        <v>0</v>
      </c>
      <c r="IH46" s="7">
        <v>1.0</v>
      </c>
      <c r="II46" s="45">
        <f t="shared" si="81"/>
        <v>0</v>
      </c>
      <c r="IJ46" s="7"/>
      <c r="IK46" s="7"/>
      <c r="IL46" s="7"/>
      <c r="IM46" s="7">
        <f t="shared" si="82"/>
        <v>0</v>
      </c>
      <c r="IN46" s="7">
        <v>1.0</v>
      </c>
      <c r="IO46" s="45">
        <f t="shared" si="83"/>
        <v>0</v>
      </c>
    </row>
    <row r="47">
      <c r="A47" s="36" t="s">
        <v>172</v>
      </c>
      <c r="B47" s="21"/>
      <c r="C47" s="1">
        <f t="shared" si="1"/>
        <v>42</v>
      </c>
      <c r="D47" s="15">
        <f>VLOOKUP(A47,TDP!A:C,3,FALSE)</f>
        <v>0.06</v>
      </c>
      <c r="E47" s="38">
        <f t="shared" si="2"/>
        <v>0</v>
      </c>
      <c r="F47" s="7"/>
      <c r="G47" s="39">
        <f>if($F47=1, 7, 0 )</f>
        <v>0</v>
      </c>
      <c r="H47" s="7"/>
      <c r="I47" s="7"/>
      <c r="J47" s="7"/>
      <c r="K47" s="7">
        <f t="shared" si="4"/>
        <v>0</v>
      </c>
      <c r="L47" s="7"/>
      <c r="M47" s="45">
        <f t="shared" si="5"/>
        <v>0</v>
      </c>
      <c r="N47" s="41"/>
      <c r="O47" s="41"/>
      <c r="P47" s="41"/>
      <c r="Q47" s="42">
        <f t="shared" si="6"/>
        <v>0</v>
      </c>
      <c r="R47" s="41"/>
      <c r="S47" s="41"/>
      <c r="T47" s="41"/>
      <c r="U47" s="42">
        <f t="shared" si="7"/>
        <v>0</v>
      </c>
      <c r="V47" s="7"/>
      <c r="W47" s="7"/>
      <c r="X47" s="7"/>
      <c r="Y47" s="7">
        <f t="shared" si="8"/>
        <v>0</v>
      </c>
      <c r="Z47" s="7"/>
      <c r="AA47" s="45">
        <f t="shared" si="9"/>
        <v>0</v>
      </c>
      <c r="AB47" s="7"/>
      <c r="AC47" s="7"/>
      <c r="AD47" s="7"/>
      <c r="AE47" s="7">
        <f t="shared" si="10"/>
        <v>0</v>
      </c>
      <c r="AF47" s="7"/>
      <c r="AG47" s="45">
        <f t="shared" si="11"/>
        <v>0</v>
      </c>
      <c r="AH47" s="7"/>
      <c r="AI47" s="7"/>
      <c r="AJ47" s="7"/>
      <c r="AK47" s="7">
        <f t="shared" si="12"/>
        <v>0</v>
      </c>
      <c r="AL47" s="7"/>
      <c r="AM47" s="45">
        <f t="shared" si="13"/>
        <v>0</v>
      </c>
      <c r="AN47" s="7"/>
      <c r="AO47" s="7"/>
      <c r="AP47" s="7"/>
      <c r="AQ47" s="7">
        <f t="shared" si="14"/>
        <v>0</v>
      </c>
      <c r="AR47" s="7"/>
      <c r="AS47" s="45">
        <f t="shared" si="15"/>
        <v>0</v>
      </c>
      <c r="AT47" s="7"/>
      <c r="AU47" s="7"/>
      <c r="AV47" s="7"/>
      <c r="AW47" s="7">
        <f t="shared" si="16"/>
        <v>0</v>
      </c>
      <c r="AX47" s="7"/>
      <c r="AY47" s="45">
        <f t="shared" si="17"/>
        <v>0</v>
      </c>
      <c r="AZ47" s="7"/>
      <c r="BA47" s="7"/>
      <c r="BB47" s="7"/>
      <c r="BC47" s="7">
        <f t="shared" si="18"/>
        <v>0</v>
      </c>
      <c r="BD47" s="7"/>
      <c r="BE47" s="45">
        <f t="shared" si="19"/>
        <v>0</v>
      </c>
      <c r="BF47" s="7"/>
      <c r="BG47" s="7"/>
      <c r="BH47" s="7"/>
      <c r="BI47" s="7">
        <f t="shared" si="20"/>
        <v>0</v>
      </c>
      <c r="BJ47" s="7"/>
      <c r="BK47" s="45">
        <f t="shared" si="21"/>
        <v>0</v>
      </c>
      <c r="BL47" s="7"/>
      <c r="BM47" s="7"/>
      <c r="BN47" s="7"/>
      <c r="BO47" s="7">
        <f t="shared" si="22"/>
        <v>0</v>
      </c>
      <c r="BP47" s="7"/>
      <c r="BQ47" s="45">
        <f t="shared" si="23"/>
        <v>0</v>
      </c>
      <c r="BR47" s="7"/>
      <c r="BS47" s="7"/>
      <c r="BT47" s="7"/>
      <c r="BU47" s="7">
        <f t="shared" si="24"/>
        <v>0</v>
      </c>
      <c r="BV47" s="7"/>
      <c r="BW47" s="45">
        <f t="shared" si="25"/>
        <v>0</v>
      </c>
      <c r="BX47" s="7"/>
      <c r="BY47" s="7"/>
      <c r="BZ47" s="7"/>
      <c r="CA47" s="7">
        <f t="shared" si="26"/>
        <v>0</v>
      </c>
      <c r="CB47" s="7"/>
      <c r="CC47" s="45">
        <f t="shared" si="27"/>
        <v>0</v>
      </c>
      <c r="CD47" s="7"/>
      <c r="CE47" s="7"/>
      <c r="CF47" s="7"/>
      <c r="CG47" s="7">
        <f t="shared" si="28"/>
        <v>0</v>
      </c>
      <c r="CH47" s="7"/>
      <c r="CI47" s="45">
        <f t="shared" si="29"/>
        <v>0</v>
      </c>
      <c r="CJ47" s="7"/>
      <c r="CK47" s="7"/>
      <c r="CL47" s="7"/>
      <c r="CM47" s="7">
        <f t="shared" si="30"/>
        <v>0</v>
      </c>
      <c r="CN47" s="7"/>
      <c r="CO47" s="45">
        <f t="shared" si="31"/>
        <v>0</v>
      </c>
      <c r="CP47" s="7"/>
      <c r="CQ47" s="7"/>
      <c r="CR47" s="7"/>
      <c r="CS47" s="7">
        <f t="shared" si="32"/>
        <v>0</v>
      </c>
      <c r="CT47" s="7"/>
      <c r="CU47" s="45">
        <f t="shared" si="33"/>
        <v>0</v>
      </c>
      <c r="CV47" s="7"/>
      <c r="CW47" s="7"/>
      <c r="CX47" s="7"/>
      <c r="CY47" s="7">
        <f t="shared" si="34"/>
        <v>0</v>
      </c>
      <c r="CZ47" s="7"/>
      <c r="DA47" s="45">
        <f t="shared" si="35"/>
        <v>0</v>
      </c>
      <c r="DB47" s="7"/>
      <c r="DC47" s="7"/>
      <c r="DD47" s="7"/>
      <c r="DE47" s="7">
        <f t="shared" si="36"/>
        <v>0</v>
      </c>
      <c r="DF47" s="7">
        <v>1.0</v>
      </c>
      <c r="DG47" s="45">
        <f t="shared" si="37"/>
        <v>0</v>
      </c>
      <c r="DH47" s="7"/>
      <c r="DI47" s="7"/>
      <c r="DJ47" s="7"/>
      <c r="DK47" s="7">
        <f t="shared" si="38"/>
        <v>0</v>
      </c>
      <c r="DL47" s="7">
        <v>1.0</v>
      </c>
      <c r="DM47" s="45">
        <f t="shared" si="39"/>
        <v>0</v>
      </c>
      <c r="DN47" s="7"/>
      <c r="DO47" s="7"/>
      <c r="DP47" s="7"/>
      <c r="DQ47" s="7">
        <f t="shared" si="40"/>
        <v>0</v>
      </c>
      <c r="DR47" s="7">
        <v>1.0</v>
      </c>
      <c r="DS47" s="45">
        <f t="shared" si="41"/>
        <v>0</v>
      </c>
      <c r="DT47" s="7"/>
      <c r="DU47" s="7"/>
      <c r="DV47" s="7"/>
      <c r="DW47" s="7">
        <f t="shared" si="42"/>
        <v>0</v>
      </c>
      <c r="DX47" s="7">
        <v>1.0</v>
      </c>
      <c r="DY47" s="45">
        <f t="shared" si="43"/>
        <v>0</v>
      </c>
      <c r="DZ47" s="7"/>
      <c r="EA47" s="7"/>
      <c r="EB47" s="7"/>
      <c r="EC47" s="7">
        <f t="shared" si="44"/>
        <v>0</v>
      </c>
      <c r="ED47" s="7">
        <v>1.0</v>
      </c>
      <c r="EE47" s="45">
        <f t="shared" si="45"/>
        <v>0</v>
      </c>
      <c r="EF47" s="7"/>
      <c r="EG47" s="7"/>
      <c r="EH47" s="7"/>
      <c r="EI47" s="7">
        <f t="shared" si="46"/>
        <v>0</v>
      </c>
      <c r="EJ47" s="7">
        <v>1.0</v>
      </c>
      <c r="EK47" s="45">
        <f t="shared" si="47"/>
        <v>0</v>
      </c>
      <c r="EL47" s="7"/>
      <c r="EM47" s="7"/>
      <c r="EN47" s="7"/>
      <c r="EO47" s="7">
        <f t="shared" si="48"/>
        <v>0</v>
      </c>
      <c r="EP47" s="7">
        <v>1.0</v>
      </c>
      <c r="EQ47" s="45">
        <f t="shared" si="49"/>
        <v>0</v>
      </c>
      <c r="ER47" s="7"/>
      <c r="ES47" s="7"/>
      <c r="ET47" s="7"/>
      <c r="EU47" s="7">
        <f t="shared" si="50"/>
        <v>0</v>
      </c>
      <c r="EV47" s="7">
        <v>1.0</v>
      </c>
      <c r="EW47" s="45">
        <f t="shared" si="51"/>
        <v>0</v>
      </c>
      <c r="EX47" s="7"/>
      <c r="EY47" s="7"/>
      <c r="EZ47" s="7"/>
      <c r="FA47" s="7">
        <f t="shared" si="52"/>
        <v>0</v>
      </c>
      <c r="FB47" s="7">
        <v>1.0</v>
      </c>
      <c r="FC47" s="45">
        <f t="shared" si="53"/>
        <v>0</v>
      </c>
      <c r="FD47" s="41"/>
      <c r="FE47" s="41"/>
      <c r="FF47" s="41"/>
      <c r="FG47" s="41">
        <f t="shared" si="54"/>
        <v>0</v>
      </c>
      <c r="FH47" s="41">
        <v>1.0</v>
      </c>
      <c r="FI47" s="42">
        <f t="shared" si="55"/>
        <v>0</v>
      </c>
      <c r="FJ47" s="41"/>
      <c r="FK47" s="41"/>
      <c r="FL47" s="41"/>
      <c r="FM47" s="41">
        <f t="shared" si="56"/>
        <v>0</v>
      </c>
      <c r="FN47" s="41">
        <v>1.0</v>
      </c>
      <c r="FO47" s="42">
        <f t="shared" si="57"/>
        <v>0</v>
      </c>
      <c r="FP47" s="7"/>
      <c r="FQ47" s="7"/>
      <c r="FR47" s="7"/>
      <c r="FS47" s="7">
        <f t="shared" si="58"/>
        <v>0</v>
      </c>
      <c r="FT47" s="7">
        <v>1.0</v>
      </c>
      <c r="FU47" s="45">
        <f t="shared" si="59"/>
        <v>0</v>
      </c>
      <c r="FV47" s="7"/>
      <c r="FW47" s="7"/>
      <c r="FX47" s="7"/>
      <c r="FY47" s="7">
        <f t="shared" si="60"/>
        <v>0</v>
      </c>
      <c r="FZ47" s="7">
        <v>1.0</v>
      </c>
      <c r="GA47" s="45">
        <f t="shared" si="61"/>
        <v>0</v>
      </c>
      <c r="GB47" s="7"/>
      <c r="GC47" s="7"/>
      <c r="GD47" s="7"/>
      <c r="GE47" s="7">
        <f t="shared" si="62"/>
        <v>0</v>
      </c>
      <c r="GF47" s="7">
        <v>1.0</v>
      </c>
      <c r="GG47" s="45">
        <f t="shared" si="63"/>
        <v>0</v>
      </c>
      <c r="GH47" s="7"/>
      <c r="GI47" s="7"/>
      <c r="GJ47" s="7"/>
      <c r="GK47" s="7">
        <f t="shared" si="64"/>
        <v>0</v>
      </c>
      <c r="GL47" s="7">
        <v>1.0</v>
      </c>
      <c r="GM47" s="45">
        <f t="shared" si="65"/>
        <v>0</v>
      </c>
      <c r="GN47" s="41"/>
      <c r="GO47" s="41"/>
      <c r="GP47" s="41"/>
      <c r="GQ47" s="41">
        <f t="shared" si="66"/>
        <v>0</v>
      </c>
      <c r="GR47" s="41">
        <v>1.0</v>
      </c>
      <c r="GS47" s="42">
        <f t="shared" si="67"/>
        <v>0</v>
      </c>
      <c r="GT47" s="7"/>
      <c r="GU47" s="7"/>
      <c r="GV47" s="7"/>
      <c r="GW47" s="7">
        <f t="shared" si="68"/>
        <v>0</v>
      </c>
      <c r="GX47" s="7">
        <v>1.0</v>
      </c>
      <c r="GY47" s="45">
        <f t="shared" si="69"/>
        <v>0</v>
      </c>
      <c r="GZ47" s="7"/>
      <c r="HA47" s="7"/>
      <c r="HB47" s="7"/>
      <c r="HC47" s="7">
        <f t="shared" si="70"/>
        <v>0</v>
      </c>
      <c r="HD47" s="7">
        <v>1.0</v>
      </c>
      <c r="HE47" s="45">
        <f t="shared" si="71"/>
        <v>0</v>
      </c>
      <c r="HF47" s="7"/>
      <c r="HG47" s="7"/>
      <c r="HH47" s="7"/>
      <c r="HI47" s="7">
        <f t="shared" si="72"/>
        <v>0</v>
      </c>
      <c r="HJ47" s="7">
        <v>1.0</v>
      </c>
      <c r="HK47" s="45">
        <f t="shared" si="73"/>
        <v>0</v>
      </c>
      <c r="HL47" s="7"/>
      <c r="HM47" s="7"/>
      <c r="HN47" s="7"/>
      <c r="HO47" s="7">
        <f t="shared" si="74"/>
        <v>0</v>
      </c>
      <c r="HP47" s="7">
        <v>1.0</v>
      </c>
      <c r="HQ47" s="45">
        <f t="shared" si="75"/>
        <v>0</v>
      </c>
      <c r="HR47" s="7"/>
      <c r="HS47" s="7"/>
      <c r="HT47" s="7"/>
      <c r="HU47" s="7">
        <f t="shared" si="76"/>
        <v>0</v>
      </c>
      <c r="HV47" s="7">
        <v>1.0</v>
      </c>
      <c r="HW47" s="45">
        <f t="shared" si="77"/>
        <v>0</v>
      </c>
      <c r="HX47" s="7"/>
      <c r="HY47" s="7"/>
      <c r="HZ47" s="7"/>
      <c r="IA47" s="7">
        <f t="shared" si="78"/>
        <v>0</v>
      </c>
      <c r="IB47" s="7">
        <v>1.0</v>
      </c>
      <c r="IC47" s="45">
        <f t="shared" si="79"/>
        <v>0</v>
      </c>
      <c r="ID47" s="7"/>
      <c r="IE47" s="7"/>
      <c r="IF47" s="7"/>
      <c r="IG47" s="7">
        <f t="shared" si="80"/>
        <v>0</v>
      </c>
      <c r="IH47" s="7">
        <v>1.0</v>
      </c>
      <c r="II47" s="45">
        <f t="shared" si="81"/>
        <v>0</v>
      </c>
      <c r="IJ47" s="7"/>
      <c r="IK47" s="7"/>
      <c r="IL47" s="7"/>
      <c r="IM47" s="7">
        <f t="shared" si="82"/>
        <v>0</v>
      </c>
      <c r="IN47" s="7">
        <v>1.0</v>
      </c>
      <c r="IO47" s="45">
        <f t="shared" si="83"/>
        <v>0</v>
      </c>
    </row>
    <row r="48">
      <c r="A48" s="36" t="s">
        <v>174</v>
      </c>
      <c r="B48" s="21" t="s">
        <v>199</v>
      </c>
      <c r="C48" s="1">
        <f t="shared" si="1"/>
        <v>43</v>
      </c>
      <c r="D48" s="15">
        <f>VLOOKUP(A48,TDP!A:C,3,FALSE)</f>
        <v>0.02</v>
      </c>
      <c r="E48" s="38">
        <f t="shared" si="2"/>
        <v>0</v>
      </c>
      <c r="F48" s="7"/>
      <c r="G48" s="39">
        <f t="shared" ref="G48:G49" si="85">if(F48=1, 7, 0 )</f>
        <v>0</v>
      </c>
      <c r="H48" s="7"/>
      <c r="I48" s="7"/>
      <c r="J48" s="7"/>
      <c r="K48" s="7">
        <f t="shared" si="4"/>
        <v>0</v>
      </c>
      <c r="L48" s="7"/>
      <c r="M48" s="45">
        <f t="shared" si="5"/>
        <v>0</v>
      </c>
      <c r="N48" s="41"/>
      <c r="O48" s="41"/>
      <c r="P48" s="41"/>
      <c r="Q48" s="42">
        <f t="shared" si="6"/>
        <v>0</v>
      </c>
      <c r="R48" s="41"/>
      <c r="S48" s="41"/>
      <c r="T48" s="41"/>
      <c r="U48" s="42">
        <f t="shared" si="7"/>
        <v>0</v>
      </c>
      <c r="V48" s="7"/>
      <c r="W48" s="7"/>
      <c r="X48" s="7"/>
      <c r="Y48" s="7">
        <f t="shared" si="8"/>
        <v>0</v>
      </c>
      <c r="Z48" s="7"/>
      <c r="AA48" s="45">
        <f t="shared" si="9"/>
        <v>0</v>
      </c>
      <c r="AB48" s="7"/>
      <c r="AC48" s="7"/>
      <c r="AD48" s="7"/>
      <c r="AE48" s="7">
        <f t="shared" si="10"/>
        <v>0</v>
      </c>
      <c r="AF48" s="7"/>
      <c r="AG48" s="45">
        <f t="shared" si="11"/>
        <v>0</v>
      </c>
      <c r="AH48" s="7"/>
      <c r="AI48" s="7"/>
      <c r="AJ48" s="7"/>
      <c r="AK48" s="7">
        <f t="shared" si="12"/>
        <v>0</v>
      </c>
      <c r="AL48" s="7"/>
      <c r="AM48" s="45">
        <f t="shared" si="13"/>
        <v>0</v>
      </c>
      <c r="AN48" s="7"/>
      <c r="AO48" s="7"/>
      <c r="AP48" s="7"/>
      <c r="AQ48" s="7">
        <f t="shared" si="14"/>
        <v>0</v>
      </c>
      <c r="AR48" s="7"/>
      <c r="AS48" s="45">
        <f t="shared" si="15"/>
        <v>0</v>
      </c>
      <c r="AT48" s="7"/>
      <c r="AU48" s="7"/>
      <c r="AV48" s="7"/>
      <c r="AW48" s="7">
        <f t="shared" si="16"/>
        <v>0</v>
      </c>
      <c r="AX48" s="7"/>
      <c r="AY48" s="45">
        <f t="shared" si="17"/>
        <v>0</v>
      </c>
      <c r="AZ48" s="7"/>
      <c r="BA48" s="7"/>
      <c r="BB48" s="7"/>
      <c r="BC48" s="7">
        <f t="shared" si="18"/>
        <v>0</v>
      </c>
      <c r="BD48" s="7"/>
      <c r="BE48" s="45">
        <f t="shared" si="19"/>
        <v>0</v>
      </c>
      <c r="BF48" s="7"/>
      <c r="BG48" s="7"/>
      <c r="BH48" s="7"/>
      <c r="BI48" s="7">
        <f t="shared" si="20"/>
        <v>0</v>
      </c>
      <c r="BJ48" s="7"/>
      <c r="BK48" s="45">
        <f t="shared" si="21"/>
        <v>0</v>
      </c>
      <c r="BL48" s="7"/>
      <c r="BM48" s="7"/>
      <c r="BN48" s="7"/>
      <c r="BO48" s="7">
        <f t="shared" si="22"/>
        <v>0</v>
      </c>
      <c r="BP48" s="7"/>
      <c r="BQ48" s="45">
        <f t="shared" si="23"/>
        <v>0</v>
      </c>
      <c r="BR48" s="7"/>
      <c r="BS48" s="7"/>
      <c r="BT48" s="7"/>
      <c r="BU48" s="7">
        <f t="shared" si="24"/>
        <v>0</v>
      </c>
      <c r="BV48" s="7"/>
      <c r="BW48" s="45">
        <f t="shared" si="25"/>
        <v>0</v>
      </c>
      <c r="BX48" s="7"/>
      <c r="BY48" s="7"/>
      <c r="BZ48" s="7"/>
      <c r="CA48" s="7">
        <f t="shared" si="26"/>
        <v>0</v>
      </c>
      <c r="CB48" s="7"/>
      <c r="CC48" s="45">
        <f t="shared" si="27"/>
        <v>0</v>
      </c>
      <c r="CD48" s="7"/>
      <c r="CE48" s="7"/>
      <c r="CF48" s="7"/>
      <c r="CG48" s="7">
        <f t="shared" si="28"/>
        <v>0</v>
      </c>
      <c r="CH48" s="7"/>
      <c r="CI48" s="45">
        <f t="shared" si="29"/>
        <v>0</v>
      </c>
      <c r="CJ48" s="7"/>
      <c r="CK48" s="7"/>
      <c r="CL48" s="7"/>
      <c r="CM48" s="7">
        <f t="shared" si="30"/>
        <v>0</v>
      </c>
      <c r="CN48" s="7"/>
      <c r="CO48" s="45">
        <f t="shared" si="31"/>
        <v>0</v>
      </c>
      <c r="CP48" s="7"/>
      <c r="CQ48" s="7"/>
      <c r="CR48" s="7"/>
      <c r="CS48" s="7">
        <f t="shared" si="32"/>
        <v>0</v>
      </c>
      <c r="CT48" s="7"/>
      <c r="CU48" s="45">
        <f t="shared" si="33"/>
        <v>0</v>
      </c>
      <c r="CV48" s="7"/>
      <c r="CW48" s="7"/>
      <c r="CX48" s="7"/>
      <c r="CY48" s="7">
        <f t="shared" si="34"/>
        <v>0</v>
      </c>
      <c r="CZ48" s="7"/>
      <c r="DA48" s="45">
        <f t="shared" si="35"/>
        <v>0</v>
      </c>
      <c r="DB48" s="7"/>
      <c r="DC48" s="7"/>
      <c r="DD48" s="7"/>
      <c r="DE48" s="7">
        <f t="shared" si="36"/>
        <v>0</v>
      </c>
      <c r="DF48" s="7">
        <v>1.0</v>
      </c>
      <c r="DG48" s="45">
        <f t="shared" si="37"/>
        <v>0</v>
      </c>
      <c r="DH48" s="7"/>
      <c r="DI48" s="7"/>
      <c r="DJ48" s="7"/>
      <c r="DK48" s="7">
        <f t="shared" si="38"/>
        <v>0</v>
      </c>
      <c r="DL48" s="7">
        <v>1.0</v>
      </c>
      <c r="DM48" s="45">
        <f t="shared" si="39"/>
        <v>0</v>
      </c>
      <c r="DN48" s="7"/>
      <c r="DO48" s="7"/>
      <c r="DP48" s="7"/>
      <c r="DQ48" s="7">
        <f t="shared" si="40"/>
        <v>0</v>
      </c>
      <c r="DR48" s="7">
        <v>1.0</v>
      </c>
      <c r="DS48" s="45">
        <f t="shared" si="41"/>
        <v>0</v>
      </c>
      <c r="DT48" s="7"/>
      <c r="DU48" s="7"/>
      <c r="DV48" s="7"/>
      <c r="DW48" s="7">
        <f t="shared" si="42"/>
        <v>0</v>
      </c>
      <c r="DX48" s="7">
        <v>1.0</v>
      </c>
      <c r="DY48" s="45">
        <f t="shared" si="43"/>
        <v>0</v>
      </c>
      <c r="DZ48" s="7"/>
      <c r="EA48" s="7"/>
      <c r="EB48" s="7"/>
      <c r="EC48" s="7">
        <f t="shared" si="44"/>
        <v>0</v>
      </c>
      <c r="ED48" s="7">
        <v>1.0</v>
      </c>
      <c r="EE48" s="45">
        <f t="shared" si="45"/>
        <v>0</v>
      </c>
      <c r="EF48" s="7"/>
      <c r="EG48" s="7"/>
      <c r="EH48" s="7"/>
      <c r="EI48" s="7">
        <f t="shared" si="46"/>
        <v>0</v>
      </c>
      <c r="EJ48" s="7">
        <v>1.0</v>
      </c>
      <c r="EK48" s="45">
        <f t="shared" si="47"/>
        <v>0</v>
      </c>
      <c r="EL48" s="7"/>
      <c r="EM48" s="7"/>
      <c r="EN48" s="7"/>
      <c r="EO48" s="7">
        <f t="shared" si="48"/>
        <v>0</v>
      </c>
      <c r="EP48" s="7">
        <v>1.0</v>
      </c>
      <c r="EQ48" s="45">
        <f t="shared" si="49"/>
        <v>0</v>
      </c>
      <c r="ER48" s="7"/>
      <c r="ES48" s="7"/>
      <c r="ET48" s="7"/>
      <c r="EU48" s="7">
        <f t="shared" si="50"/>
        <v>0</v>
      </c>
      <c r="EV48" s="7">
        <v>1.0</v>
      </c>
      <c r="EW48" s="45">
        <f t="shared" si="51"/>
        <v>0</v>
      </c>
      <c r="EX48" s="7"/>
      <c r="EY48" s="7"/>
      <c r="EZ48" s="7"/>
      <c r="FA48" s="7">
        <f t="shared" si="52"/>
        <v>0</v>
      </c>
      <c r="FB48" s="7">
        <v>1.0</v>
      </c>
      <c r="FC48" s="45">
        <f t="shared" si="53"/>
        <v>0</v>
      </c>
      <c r="FD48" s="41"/>
      <c r="FE48" s="41"/>
      <c r="FF48" s="41"/>
      <c r="FG48" s="41">
        <f t="shared" si="54"/>
        <v>0</v>
      </c>
      <c r="FH48" s="41">
        <v>1.0</v>
      </c>
      <c r="FI48" s="42">
        <f t="shared" si="55"/>
        <v>0</v>
      </c>
      <c r="FJ48" s="41"/>
      <c r="FK48" s="41"/>
      <c r="FL48" s="41"/>
      <c r="FM48" s="41">
        <f t="shared" si="56"/>
        <v>0</v>
      </c>
      <c r="FN48" s="41">
        <v>1.0</v>
      </c>
      <c r="FO48" s="42">
        <f t="shared" si="57"/>
        <v>0</v>
      </c>
      <c r="FP48" s="7"/>
      <c r="FQ48" s="7"/>
      <c r="FR48" s="7"/>
      <c r="FS48" s="7">
        <f t="shared" si="58"/>
        <v>0</v>
      </c>
      <c r="FT48" s="7">
        <v>1.0</v>
      </c>
      <c r="FU48" s="45">
        <f t="shared" si="59"/>
        <v>0</v>
      </c>
      <c r="FV48" s="7"/>
      <c r="FW48" s="7"/>
      <c r="FX48" s="7"/>
      <c r="FY48" s="7">
        <f t="shared" si="60"/>
        <v>0</v>
      </c>
      <c r="FZ48" s="7">
        <v>1.0</v>
      </c>
      <c r="GA48" s="45">
        <f t="shared" si="61"/>
        <v>0</v>
      </c>
      <c r="GB48" s="7"/>
      <c r="GC48" s="7"/>
      <c r="GD48" s="7"/>
      <c r="GE48" s="7">
        <f t="shared" si="62"/>
        <v>0</v>
      </c>
      <c r="GF48" s="7">
        <v>1.0</v>
      </c>
      <c r="GG48" s="45">
        <f t="shared" si="63"/>
        <v>0</v>
      </c>
      <c r="GH48" s="7"/>
      <c r="GI48" s="7"/>
      <c r="GJ48" s="7"/>
      <c r="GK48" s="7">
        <f t="shared" si="64"/>
        <v>0</v>
      </c>
      <c r="GL48" s="7">
        <v>1.0</v>
      </c>
      <c r="GM48" s="45">
        <f t="shared" si="65"/>
        <v>0</v>
      </c>
      <c r="GN48" s="41"/>
      <c r="GO48" s="41"/>
      <c r="GP48" s="41"/>
      <c r="GQ48" s="41">
        <f t="shared" si="66"/>
        <v>0</v>
      </c>
      <c r="GR48" s="41">
        <v>1.0</v>
      </c>
      <c r="GS48" s="42">
        <f t="shared" si="67"/>
        <v>0</v>
      </c>
      <c r="GT48" s="7"/>
      <c r="GU48" s="7"/>
      <c r="GV48" s="7"/>
      <c r="GW48" s="7">
        <f t="shared" si="68"/>
        <v>0</v>
      </c>
      <c r="GX48" s="7">
        <v>1.0</v>
      </c>
      <c r="GY48" s="45">
        <f t="shared" si="69"/>
        <v>0</v>
      </c>
      <c r="GZ48" s="7"/>
      <c r="HA48" s="7"/>
      <c r="HB48" s="7"/>
      <c r="HC48" s="7">
        <f t="shared" si="70"/>
        <v>0</v>
      </c>
      <c r="HD48" s="7">
        <v>1.0</v>
      </c>
      <c r="HE48" s="45">
        <f t="shared" si="71"/>
        <v>0</v>
      </c>
      <c r="HF48" s="7"/>
      <c r="HG48" s="7"/>
      <c r="HH48" s="7"/>
      <c r="HI48" s="7">
        <f t="shared" si="72"/>
        <v>0</v>
      </c>
      <c r="HJ48" s="7">
        <v>1.0</v>
      </c>
      <c r="HK48" s="45">
        <f t="shared" si="73"/>
        <v>0</v>
      </c>
      <c r="HL48" s="7"/>
      <c r="HM48" s="7"/>
      <c r="HN48" s="7"/>
      <c r="HO48" s="7">
        <f t="shared" si="74"/>
        <v>0</v>
      </c>
      <c r="HP48" s="7">
        <v>1.0</v>
      </c>
      <c r="HQ48" s="45">
        <f t="shared" si="75"/>
        <v>0</v>
      </c>
      <c r="HR48" s="7"/>
      <c r="HS48" s="7"/>
      <c r="HT48" s="7"/>
      <c r="HU48" s="7">
        <f t="shared" si="76"/>
        <v>0</v>
      </c>
      <c r="HV48" s="7">
        <v>1.0</v>
      </c>
      <c r="HW48" s="45">
        <f t="shared" si="77"/>
        <v>0</v>
      </c>
      <c r="HX48" s="7"/>
      <c r="HY48" s="7"/>
      <c r="HZ48" s="7"/>
      <c r="IA48" s="7">
        <f t="shared" si="78"/>
        <v>0</v>
      </c>
      <c r="IB48" s="7">
        <v>1.0</v>
      </c>
      <c r="IC48" s="45">
        <f t="shared" si="79"/>
        <v>0</v>
      </c>
      <c r="ID48" s="7"/>
      <c r="IE48" s="7"/>
      <c r="IF48" s="7"/>
      <c r="IG48" s="7">
        <f t="shared" si="80"/>
        <v>0</v>
      </c>
      <c r="IH48" s="7">
        <v>1.0</v>
      </c>
      <c r="II48" s="45">
        <f t="shared" si="81"/>
        <v>0</v>
      </c>
      <c r="IJ48" s="7"/>
      <c r="IK48" s="7"/>
      <c r="IL48" s="7"/>
      <c r="IM48" s="7">
        <f t="shared" si="82"/>
        <v>0</v>
      </c>
      <c r="IN48" s="7">
        <v>1.0</v>
      </c>
      <c r="IO48" s="45">
        <f t="shared" si="83"/>
        <v>0</v>
      </c>
    </row>
    <row r="49">
      <c r="A49" s="164" t="s">
        <v>177</v>
      </c>
      <c r="B49" s="165"/>
      <c r="C49" s="166">
        <f t="shared" si="1"/>
        <v>44</v>
      </c>
      <c r="D49" s="167">
        <f>VLOOKUP(A49,TDP!A:C,3,FALSE)</f>
        <v>0.04</v>
      </c>
      <c r="E49" s="168">
        <f t="shared" si="2"/>
        <v>0</v>
      </c>
      <c r="F49" s="120"/>
      <c r="G49" s="72">
        <f t="shared" si="85"/>
        <v>0</v>
      </c>
      <c r="H49" s="120"/>
      <c r="I49" s="120"/>
      <c r="J49" s="120"/>
      <c r="K49" s="120">
        <f t="shared" si="4"/>
        <v>0</v>
      </c>
      <c r="L49" s="120"/>
      <c r="M49" s="169">
        <f t="shared" si="5"/>
        <v>0</v>
      </c>
      <c r="N49" s="170"/>
      <c r="O49" s="170"/>
      <c r="P49" s="170"/>
      <c r="Q49" s="171">
        <f t="shared" si="6"/>
        <v>0</v>
      </c>
      <c r="R49" s="170"/>
      <c r="S49" s="170"/>
      <c r="T49" s="170"/>
      <c r="U49" s="171">
        <f t="shared" si="7"/>
        <v>0</v>
      </c>
      <c r="V49" s="120"/>
      <c r="W49" s="120"/>
      <c r="X49" s="120"/>
      <c r="Y49" s="120">
        <f t="shared" si="8"/>
        <v>0</v>
      </c>
      <c r="Z49" s="120"/>
      <c r="AA49" s="45">
        <f t="shared" si="9"/>
        <v>0</v>
      </c>
      <c r="AB49" s="120"/>
      <c r="AC49" s="120"/>
      <c r="AD49" s="120"/>
      <c r="AE49" s="120">
        <f t="shared" si="10"/>
        <v>0</v>
      </c>
      <c r="AF49" s="120"/>
      <c r="AG49" s="169">
        <f t="shared" si="11"/>
        <v>0</v>
      </c>
      <c r="AH49" s="120"/>
      <c r="AI49" s="120"/>
      <c r="AJ49" s="120"/>
      <c r="AK49" s="120">
        <f t="shared" si="12"/>
        <v>0</v>
      </c>
      <c r="AL49" s="120"/>
      <c r="AM49" s="169">
        <f t="shared" si="13"/>
        <v>0</v>
      </c>
      <c r="AN49" s="120"/>
      <c r="AO49" s="120"/>
      <c r="AP49" s="120"/>
      <c r="AQ49" s="120">
        <f t="shared" si="14"/>
        <v>0</v>
      </c>
      <c r="AR49" s="120"/>
      <c r="AS49" s="169">
        <f t="shared" si="15"/>
        <v>0</v>
      </c>
      <c r="AT49" s="120"/>
      <c r="AU49" s="120"/>
      <c r="AV49" s="120"/>
      <c r="AW49" s="120">
        <f t="shared" si="16"/>
        <v>0</v>
      </c>
      <c r="AX49" s="120"/>
      <c r="AY49" s="169">
        <f t="shared" si="17"/>
        <v>0</v>
      </c>
      <c r="AZ49" s="120"/>
      <c r="BA49" s="120"/>
      <c r="BB49" s="120"/>
      <c r="BC49" s="120">
        <f t="shared" si="18"/>
        <v>0</v>
      </c>
      <c r="BD49" s="120"/>
      <c r="BE49" s="169">
        <f t="shared" si="19"/>
        <v>0</v>
      </c>
      <c r="BF49" s="120"/>
      <c r="BG49" s="120"/>
      <c r="BH49" s="120"/>
      <c r="BI49" s="120">
        <f t="shared" si="20"/>
        <v>0</v>
      </c>
      <c r="BJ49" s="120"/>
      <c r="BK49" s="169">
        <f t="shared" si="21"/>
        <v>0</v>
      </c>
      <c r="BL49" s="120"/>
      <c r="BM49" s="120"/>
      <c r="BN49" s="120"/>
      <c r="BO49" s="120">
        <f t="shared" si="22"/>
        <v>0</v>
      </c>
      <c r="BP49" s="120"/>
      <c r="BQ49" s="169">
        <f t="shared" si="23"/>
        <v>0</v>
      </c>
      <c r="BR49" s="120"/>
      <c r="BS49" s="120"/>
      <c r="BT49" s="120"/>
      <c r="BU49" s="120">
        <f t="shared" si="24"/>
        <v>0</v>
      </c>
      <c r="BV49" s="120"/>
      <c r="BW49" s="169">
        <f t="shared" si="25"/>
        <v>0</v>
      </c>
      <c r="BX49" s="120"/>
      <c r="BY49" s="120"/>
      <c r="BZ49" s="120"/>
      <c r="CA49" s="120">
        <f t="shared" si="26"/>
        <v>0</v>
      </c>
      <c r="CB49" s="120"/>
      <c r="CC49" s="169">
        <f t="shared" si="27"/>
        <v>0</v>
      </c>
      <c r="CD49" s="120"/>
      <c r="CE49" s="120"/>
      <c r="CF49" s="120"/>
      <c r="CG49" s="120">
        <f t="shared" si="28"/>
        <v>0</v>
      </c>
      <c r="CH49" s="120"/>
      <c r="CI49" s="169">
        <f t="shared" si="29"/>
        <v>0</v>
      </c>
      <c r="CJ49" s="120"/>
      <c r="CK49" s="120"/>
      <c r="CL49" s="120"/>
      <c r="CM49" s="120">
        <f t="shared" si="30"/>
        <v>0</v>
      </c>
      <c r="CN49" s="120"/>
      <c r="CO49" s="169">
        <f t="shared" si="31"/>
        <v>0</v>
      </c>
      <c r="CP49" s="120"/>
      <c r="CQ49" s="120"/>
      <c r="CR49" s="120"/>
      <c r="CS49" s="120">
        <f t="shared" si="32"/>
        <v>0</v>
      </c>
      <c r="CT49" s="120"/>
      <c r="CU49" s="169">
        <f t="shared" si="33"/>
        <v>0</v>
      </c>
      <c r="CV49" s="120"/>
      <c r="CW49" s="120"/>
      <c r="CX49" s="120"/>
      <c r="CY49" s="120">
        <f t="shared" si="34"/>
        <v>0</v>
      </c>
      <c r="CZ49" s="120"/>
      <c r="DA49" s="169">
        <f t="shared" si="35"/>
        <v>0</v>
      </c>
      <c r="DB49" s="120"/>
      <c r="DC49" s="120"/>
      <c r="DD49" s="120"/>
      <c r="DE49" s="120">
        <f t="shared" si="36"/>
        <v>0</v>
      </c>
      <c r="DF49" s="120">
        <v>1.0</v>
      </c>
      <c r="DG49" s="169">
        <f t="shared" si="37"/>
        <v>0</v>
      </c>
      <c r="DH49" s="120"/>
      <c r="DI49" s="120"/>
      <c r="DJ49" s="120"/>
      <c r="DK49" s="120">
        <f t="shared" si="38"/>
        <v>0</v>
      </c>
      <c r="DL49" s="120">
        <v>1.0</v>
      </c>
      <c r="DM49" s="169">
        <f t="shared" si="39"/>
        <v>0</v>
      </c>
      <c r="DN49" s="120"/>
      <c r="DO49" s="120"/>
      <c r="DP49" s="120"/>
      <c r="DQ49" s="120">
        <f t="shared" si="40"/>
        <v>0</v>
      </c>
      <c r="DR49" s="120">
        <v>1.0</v>
      </c>
      <c r="DS49" s="169">
        <f t="shared" si="41"/>
        <v>0</v>
      </c>
      <c r="DT49" s="120"/>
      <c r="DU49" s="120"/>
      <c r="DV49" s="120"/>
      <c r="DW49" s="120">
        <f t="shared" si="42"/>
        <v>0</v>
      </c>
      <c r="DX49" s="120">
        <v>1.0</v>
      </c>
      <c r="DY49" s="169">
        <f t="shared" si="43"/>
        <v>0</v>
      </c>
      <c r="DZ49" s="120"/>
      <c r="EA49" s="120"/>
      <c r="EB49" s="120"/>
      <c r="EC49" s="120">
        <f t="shared" si="44"/>
        <v>0</v>
      </c>
      <c r="ED49" s="120">
        <v>1.0</v>
      </c>
      <c r="EE49" s="169">
        <f t="shared" si="45"/>
        <v>0</v>
      </c>
      <c r="EF49" s="120"/>
      <c r="EG49" s="120"/>
      <c r="EH49" s="120"/>
      <c r="EI49" s="120">
        <f t="shared" si="46"/>
        <v>0</v>
      </c>
      <c r="EJ49" s="120">
        <v>1.0</v>
      </c>
      <c r="EK49" s="169">
        <f t="shared" si="47"/>
        <v>0</v>
      </c>
      <c r="EL49" s="120"/>
      <c r="EM49" s="120"/>
      <c r="EN49" s="120"/>
      <c r="EO49" s="120">
        <f t="shared" si="48"/>
        <v>0</v>
      </c>
      <c r="EP49" s="120">
        <v>1.0</v>
      </c>
      <c r="EQ49" s="169">
        <f t="shared" si="49"/>
        <v>0</v>
      </c>
      <c r="ER49" s="120"/>
      <c r="ES49" s="120"/>
      <c r="ET49" s="120"/>
      <c r="EU49" s="120">
        <f t="shared" si="50"/>
        <v>0</v>
      </c>
      <c r="EV49" s="120">
        <v>1.0</v>
      </c>
      <c r="EW49" s="169">
        <f t="shared" si="51"/>
        <v>0</v>
      </c>
      <c r="EX49" s="120"/>
      <c r="EY49" s="120"/>
      <c r="EZ49" s="120"/>
      <c r="FA49" s="120">
        <f t="shared" si="52"/>
        <v>0</v>
      </c>
      <c r="FB49" s="120">
        <v>1.0</v>
      </c>
      <c r="FC49" s="169">
        <f t="shared" si="53"/>
        <v>0</v>
      </c>
      <c r="FD49" s="170"/>
      <c r="FE49" s="170"/>
      <c r="FF49" s="170"/>
      <c r="FG49" s="170">
        <f t="shared" si="54"/>
        <v>0</v>
      </c>
      <c r="FH49" s="170">
        <v>1.0</v>
      </c>
      <c r="FI49" s="171">
        <f t="shared" si="55"/>
        <v>0</v>
      </c>
      <c r="FJ49" s="170"/>
      <c r="FK49" s="170"/>
      <c r="FL49" s="170"/>
      <c r="FM49" s="170">
        <f t="shared" si="56"/>
        <v>0</v>
      </c>
      <c r="FN49" s="170">
        <v>1.0</v>
      </c>
      <c r="FO49" s="171">
        <f t="shared" si="57"/>
        <v>0</v>
      </c>
      <c r="FP49" s="120"/>
      <c r="FQ49" s="120"/>
      <c r="FR49" s="120"/>
      <c r="FS49" s="120">
        <f t="shared" si="58"/>
        <v>0</v>
      </c>
      <c r="FT49" s="120">
        <v>1.0</v>
      </c>
      <c r="FU49" s="169">
        <f t="shared" si="59"/>
        <v>0</v>
      </c>
      <c r="FV49" s="120"/>
      <c r="FW49" s="120"/>
      <c r="FX49" s="120"/>
      <c r="FY49" s="120">
        <f t="shared" si="60"/>
        <v>0</v>
      </c>
      <c r="FZ49" s="120">
        <v>1.0</v>
      </c>
      <c r="GA49" s="169">
        <f t="shared" si="61"/>
        <v>0</v>
      </c>
      <c r="GB49" s="120"/>
      <c r="GC49" s="120"/>
      <c r="GD49" s="120"/>
      <c r="GE49" s="120">
        <f t="shared" si="62"/>
        <v>0</v>
      </c>
      <c r="GF49" s="120">
        <v>1.0</v>
      </c>
      <c r="GG49" s="169">
        <f t="shared" si="63"/>
        <v>0</v>
      </c>
      <c r="GH49" s="120"/>
      <c r="GI49" s="120"/>
      <c r="GJ49" s="120"/>
      <c r="GK49" s="120">
        <f t="shared" si="64"/>
        <v>0</v>
      </c>
      <c r="GL49" s="120">
        <v>1.0</v>
      </c>
      <c r="GM49" s="169">
        <f t="shared" si="65"/>
        <v>0</v>
      </c>
      <c r="GN49" s="170"/>
      <c r="GO49" s="170"/>
      <c r="GP49" s="170"/>
      <c r="GQ49" s="170">
        <f t="shared" si="66"/>
        <v>0</v>
      </c>
      <c r="GR49" s="170">
        <v>1.0</v>
      </c>
      <c r="GS49" s="171">
        <f t="shared" si="67"/>
        <v>0</v>
      </c>
      <c r="GT49" s="120"/>
      <c r="GU49" s="120"/>
      <c r="GV49" s="120"/>
      <c r="GW49" s="120">
        <f t="shared" si="68"/>
        <v>0</v>
      </c>
      <c r="GX49" s="120">
        <v>1.0</v>
      </c>
      <c r="GY49" s="169">
        <f t="shared" si="69"/>
        <v>0</v>
      </c>
      <c r="GZ49" s="120"/>
      <c r="HA49" s="120"/>
      <c r="HB49" s="120"/>
      <c r="HC49" s="120">
        <f t="shared" si="70"/>
        <v>0</v>
      </c>
      <c r="HD49" s="120">
        <v>1.0</v>
      </c>
      <c r="HE49" s="169">
        <f t="shared" si="71"/>
        <v>0</v>
      </c>
      <c r="HF49" s="120"/>
      <c r="HG49" s="120"/>
      <c r="HH49" s="120"/>
      <c r="HI49" s="120">
        <f t="shared" si="72"/>
        <v>0</v>
      </c>
      <c r="HJ49" s="120">
        <v>1.0</v>
      </c>
      <c r="HK49" s="169">
        <f t="shared" si="73"/>
        <v>0</v>
      </c>
      <c r="HL49" s="120"/>
      <c r="HM49" s="120"/>
      <c r="HN49" s="120"/>
      <c r="HO49" s="120">
        <f t="shared" si="74"/>
        <v>0</v>
      </c>
      <c r="HP49" s="120">
        <v>1.0</v>
      </c>
      <c r="HQ49" s="169">
        <f t="shared" si="75"/>
        <v>0</v>
      </c>
      <c r="HR49" s="120"/>
      <c r="HS49" s="120"/>
      <c r="HT49" s="120"/>
      <c r="HU49" s="120">
        <f t="shared" si="76"/>
        <v>0</v>
      </c>
      <c r="HV49" s="120">
        <v>1.0</v>
      </c>
      <c r="HW49" s="169">
        <f t="shared" si="77"/>
        <v>0</v>
      </c>
      <c r="HX49" s="120"/>
      <c r="HY49" s="120"/>
      <c r="HZ49" s="120"/>
      <c r="IA49" s="120">
        <f t="shared" si="78"/>
        <v>0</v>
      </c>
      <c r="IB49" s="120">
        <v>1.0</v>
      </c>
      <c r="IC49" s="169">
        <f t="shared" si="79"/>
        <v>0</v>
      </c>
      <c r="ID49" s="120"/>
      <c r="IE49" s="120"/>
      <c r="IF49" s="120"/>
      <c r="IG49" s="120">
        <f t="shared" si="80"/>
        <v>0</v>
      </c>
      <c r="IH49" s="120">
        <v>1.0</v>
      </c>
      <c r="II49" s="169">
        <f t="shared" si="81"/>
        <v>0</v>
      </c>
      <c r="IJ49" s="120"/>
      <c r="IK49" s="120"/>
      <c r="IL49" s="120"/>
      <c r="IM49" s="120">
        <f t="shared" si="82"/>
        <v>0</v>
      </c>
      <c r="IN49" s="120">
        <v>1.0</v>
      </c>
      <c r="IO49" s="169">
        <f t="shared" si="83"/>
        <v>0</v>
      </c>
    </row>
  </sheetData>
  <autoFilter ref="$A$5:$IO$49">
    <sortState ref="A5:IO49">
      <sortCondition descending="1" ref="E5:E49"/>
    </sortState>
  </autoFilter>
  <mergeCells count="45">
    <mergeCell ref="D1:E1"/>
    <mergeCell ref="D2:E2"/>
    <mergeCell ref="D3:E3"/>
    <mergeCell ref="F4:G4"/>
    <mergeCell ref="H4:M4"/>
    <mergeCell ref="N4:Q4"/>
    <mergeCell ref="R4:U4"/>
    <mergeCell ref="V4:AA4"/>
    <mergeCell ref="AB4:AG4"/>
    <mergeCell ref="AH4:AM4"/>
    <mergeCell ref="AN4:AS4"/>
    <mergeCell ref="AT4:AY4"/>
    <mergeCell ref="AZ4:BE4"/>
    <mergeCell ref="BF4:BK4"/>
    <mergeCell ref="BL4:BQ4"/>
    <mergeCell ref="BR4:BW4"/>
    <mergeCell ref="BX4:CC4"/>
    <mergeCell ref="CD4:CI4"/>
    <mergeCell ref="CJ4:CO4"/>
    <mergeCell ref="CP4:CU4"/>
    <mergeCell ref="CV4:DA4"/>
    <mergeCell ref="DB4:DG4"/>
    <mergeCell ref="DH4:DM4"/>
    <mergeCell ref="DN4:DS4"/>
    <mergeCell ref="DT4:DY4"/>
    <mergeCell ref="DZ4:EE4"/>
    <mergeCell ref="EF4:EK4"/>
    <mergeCell ref="EL4:EQ4"/>
    <mergeCell ref="ER4:EW4"/>
    <mergeCell ref="EX4:FC4"/>
    <mergeCell ref="FD4:FI4"/>
    <mergeCell ref="FJ4:FO4"/>
    <mergeCell ref="FP4:FU4"/>
    <mergeCell ref="FV4:GA4"/>
    <mergeCell ref="GB4:GG4"/>
    <mergeCell ref="HX4:IC4"/>
    <mergeCell ref="ID4:II4"/>
    <mergeCell ref="IJ4:IO4"/>
    <mergeCell ref="GH4:GM4"/>
    <mergeCell ref="GN4:GS4"/>
    <mergeCell ref="GT4:GY4"/>
    <mergeCell ref="GZ4:HE4"/>
    <mergeCell ref="HF4:HK4"/>
    <mergeCell ref="HL4:HQ4"/>
    <mergeCell ref="HR4:HW4"/>
  </mergeCells>
  <conditionalFormatting sqref="C6:C49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6:M49 AA6:AA49 AG6:AG49 AM6:AM49 AS6:AS49 AY6:AY49 BE6:BE49 BK6:BK49 BQ6:BQ49 BW6:BW49 CC6:CC49 CI6:CI12 CO6:CO49 CU6:CU49 DA6:DA49 DG6:DG49 DM6:DM49 DS6:DS49 DY6:DY49 EE6:EE49 EK6:EK49 EQ6:EQ49 IO6:IO49">
    <cfRule type="expression" dxfId="5" priority="2">
      <formula>if(I6:I49=1,if(L6:L49=0,True,False),False)</formula>
    </cfRule>
  </conditionalFormatting>
  <conditionalFormatting sqref="CK1:IO4">
    <cfRule type="notContainsBlanks" dxfId="2" priority="3">
      <formula>LEN(TRIM(CK1))&gt;0</formula>
    </cfRule>
  </conditionalFormatting>
  <conditionalFormatting sqref="DI9">
    <cfRule type="colorScale" priority="4">
      <colorScale>
        <cfvo type="min"/>
        <cfvo type="max"/>
        <color rgb="FFFFFFFF"/>
        <color rgb="FF57BB8A"/>
      </colorScale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2" max="2" width="14.25"/>
    <col customWidth="1" min="4" max="4" width="13.25"/>
    <col customWidth="1" min="6" max="6" width="9.38"/>
    <col customWidth="1" min="7" max="7" width="6.13"/>
    <col customWidth="1" min="8" max="8" width="10.75"/>
    <col customWidth="1" min="9" max="10" width="7.5"/>
    <col customWidth="1" min="11" max="11" width="6.13"/>
    <col customWidth="1" min="12" max="12" width="9.38"/>
    <col customWidth="1" min="13" max="55" width="6.13"/>
    <col customWidth="1" min="56" max="56" width="12.38"/>
    <col customWidth="1" min="57" max="59" width="6.13"/>
    <col customWidth="1" min="60" max="60" width="12.38"/>
    <col customWidth="1" min="61" max="219" width="6.13"/>
  </cols>
  <sheetData>
    <row r="1">
      <c r="A1" s="5"/>
      <c r="B1" s="5"/>
      <c r="C1" s="8"/>
      <c r="D1" s="8"/>
      <c r="E1" s="8"/>
      <c r="F1" s="10">
        <v>45631.0</v>
      </c>
      <c r="G1" s="12"/>
      <c r="H1" s="14">
        <f>F$1+7</f>
        <v>45638</v>
      </c>
      <c r="I1" s="16"/>
      <c r="J1" s="16"/>
      <c r="K1" s="12"/>
      <c r="L1" s="14">
        <f>H$1+7</f>
        <v>45645</v>
      </c>
      <c r="M1" s="16"/>
      <c r="N1" s="16"/>
      <c r="O1" s="12"/>
      <c r="P1" s="14">
        <f>L$1+7</f>
        <v>45652</v>
      </c>
      <c r="Q1" s="16"/>
      <c r="R1" s="16"/>
      <c r="S1" s="12"/>
      <c r="T1" s="14">
        <f>P$1+7</f>
        <v>45659</v>
      </c>
      <c r="U1" s="16"/>
      <c r="V1" s="16"/>
      <c r="W1" s="12"/>
      <c r="X1" s="14">
        <f>T$1+7</f>
        <v>45666</v>
      </c>
      <c r="Y1" s="16"/>
      <c r="Z1" s="16"/>
      <c r="AA1" s="12"/>
      <c r="AB1" s="14">
        <f>X$1+7</f>
        <v>45673</v>
      </c>
      <c r="AC1" s="16"/>
      <c r="AD1" s="16"/>
      <c r="AE1" s="12"/>
      <c r="AF1" s="14">
        <f>AB$1+7</f>
        <v>45680</v>
      </c>
      <c r="AG1" s="16"/>
      <c r="AH1" s="16"/>
      <c r="AI1" s="12"/>
      <c r="AJ1" s="14">
        <f>AF$1+7</f>
        <v>45687</v>
      </c>
      <c r="AK1" s="16"/>
      <c r="AL1" s="16"/>
      <c r="AM1" s="12"/>
      <c r="AN1" s="14">
        <f>AJ$1+7</f>
        <v>45694</v>
      </c>
      <c r="AO1" s="16"/>
      <c r="AP1" s="16"/>
      <c r="AQ1" s="12"/>
      <c r="AR1" s="14">
        <f>AN$1+7</f>
        <v>45701</v>
      </c>
      <c r="AS1" s="16"/>
      <c r="AT1" s="16"/>
      <c r="AU1" s="12"/>
      <c r="AV1" s="14">
        <f>AR$1+7</f>
        <v>45708</v>
      </c>
      <c r="AW1" s="16"/>
      <c r="AX1" s="16"/>
      <c r="AY1" s="12"/>
      <c r="AZ1" s="14">
        <f>AV$1+7</f>
        <v>45715</v>
      </c>
      <c r="BA1" s="16"/>
      <c r="BB1" s="16"/>
      <c r="BC1" s="12"/>
      <c r="BD1" s="14">
        <f>AZ$1+7</f>
        <v>45722</v>
      </c>
      <c r="BE1" s="16"/>
      <c r="BF1" s="16"/>
      <c r="BG1" s="12"/>
      <c r="BH1" s="14">
        <f>BD$1+7</f>
        <v>45729</v>
      </c>
      <c r="BI1" s="16"/>
      <c r="BJ1" s="16"/>
      <c r="BK1" s="12"/>
      <c r="BL1" s="14">
        <f>BH$1+7</f>
        <v>45736</v>
      </c>
      <c r="BM1" s="16"/>
      <c r="BN1" s="16"/>
      <c r="BO1" s="12"/>
      <c r="BP1" s="14">
        <f>BL$1+7</f>
        <v>45743</v>
      </c>
      <c r="BQ1" s="16"/>
      <c r="BR1" s="16"/>
      <c r="BS1" s="12"/>
      <c r="BT1" s="14">
        <f>BP$1+7</f>
        <v>45750</v>
      </c>
      <c r="BU1" s="16"/>
      <c r="BV1" s="16"/>
      <c r="BW1" s="12"/>
      <c r="BX1" s="14">
        <f>BT$1+7</f>
        <v>45757</v>
      </c>
      <c r="BY1" s="16"/>
      <c r="BZ1" s="16"/>
      <c r="CA1" s="12"/>
      <c r="CB1" s="14">
        <f>BX$1+7</f>
        <v>45764</v>
      </c>
      <c r="CC1" s="16"/>
      <c r="CD1" s="16"/>
      <c r="CE1" s="12"/>
      <c r="CF1" s="14">
        <f>CB$1+7</f>
        <v>45771</v>
      </c>
      <c r="CG1" s="16"/>
      <c r="CH1" s="16"/>
      <c r="CI1" s="12"/>
      <c r="CJ1" s="14">
        <f>CF$1+7</f>
        <v>45778</v>
      </c>
      <c r="CK1" s="16"/>
      <c r="CL1" s="16"/>
      <c r="CM1" s="12"/>
      <c r="CN1" s="14">
        <f>CJ$1+7</f>
        <v>45785</v>
      </c>
      <c r="CO1" s="16"/>
      <c r="CP1" s="16"/>
      <c r="CQ1" s="12"/>
      <c r="CR1" s="14">
        <f>CN$1+7</f>
        <v>45792</v>
      </c>
      <c r="CS1" s="16"/>
      <c r="CT1" s="16"/>
      <c r="CU1" s="12"/>
      <c r="CV1" s="14">
        <f>CR$1+7</f>
        <v>45799</v>
      </c>
      <c r="CW1" s="16"/>
      <c r="CX1" s="16"/>
      <c r="CY1" s="12"/>
      <c r="CZ1" s="14">
        <f>CV$1+7</f>
        <v>45806</v>
      </c>
      <c r="DA1" s="16"/>
      <c r="DB1" s="16"/>
      <c r="DC1" s="12"/>
      <c r="DD1" s="14">
        <f>CZ$1+7</f>
        <v>45813</v>
      </c>
      <c r="DE1" s="16"/>
      <c r="DF1" s="16"/>
      <c r="DG1" s="12"/>
      <c r="DH1" s="14">
        <f>DD$1+7</f>
        <v>45820</v>
      </c>
      <c r="DI1" s="16"/>
      <c r="DJ1" s="16"/>
      <c r="DK1" s="12"/>
      <c r="DL1" s="14">
        <f>DH$1+7</f>
        <v>45827</v>
      </c>
      <c r="DM1" s="16"/>
      <c r="DN1" s="16"/>
      <c r="DO1" s="12"/>
      <c r="DP1" s="14">
        <f>DL$1+7</f>
        <v>45834</v>
      </c>
      <c r="DQ1" s="16"/>
      <c r="DR1" s="16"/>
      <c r="DS1" s="12"/>
      <c r="DT1" s="14">
        <f>DP$1+7</f>
        <v>45841</v>
      </c>
      <c r="DU1" s="16"/>
      <c r="DV1" s="16"/>
      <c r="DW1" s="12"/>
      <c r="DX1" s="14">
        <f>DT$1+7</f>
        <v>45848</v>
      </c>
      <c r="DY1" s="16"/>
      <c r="DZ1" s="16"/>
      <c r="EA1" s="12"/>
      <c r="EB1" s="14">
        <f>DX$1+7</f>
        <v>45855</v>
      </c>
      <c r="EC1" s="16"/>
      <c r="ED1" s="16"/>
      <c r="EE1" s="12"/>
      <c r="EF1" s="14">
        <f>EB$1+7</f>
        <v>45862</v>
      </c>
      <c r="EG1" s="16"/>
      <c r="EH1" s="16"/>
      <c r="EI1" s="12"/>
      <c r="EJ1" s="14">
        <f>EF$1+7</f>
        <v>45869</v>
      </c>
      <c r="EK1" s="16"/>
      <c r="EL1" s="16"/>
      <c r="EM1" s="12"/>
      <c r="EN1" s="14">
        <f>EJ$1+7</f>
        <v>45876</v>
      </c>
      <c r="EO1" s="16"/>
      <c r="EP1" s="16"/>
      <c r="EQ1" s="12"/>
      <c r="ER1" s="14">
        <f>EN$1+7</f>
        <v>45883</v>
      </c>
      <c r="ES1" s="16"/>
      <c r="ET1" s="16"/>
      <c r="EU1" s="12"/>
      <c r="EV1" s="14">
        <f>ER$1+7</f>
        <v>45890</v>
      </c>
      <c r="EW1" s="16"/>
      <c r="EX1" s="16"/>
      <c r="EY1" s="12"/>
      <c r="EZ1" s="14">
        <f>EV$1+7</f>
        <v>45897</v>
      </c>
      <c r="FA1" s="16"/>
      <c r="FB1" s="16"/>
      <c r="FC1" s="12"/>
      <c r="FD1" s="14">
        <f>EZ$1+7</f>
        <v>45904</v>
      </c>
      <c r="FE1" s="16"/>
      <c r="FF1" s="16"/>
      <c r="FG1" s="12"/>
      <c r="FH1" s="14">
        <f>FD$1+7</f>
        <v>45911</v>
      </c>
      <c r="FI1" s="16"/>
      <c r="FJ1" s="16"/>
      <c r="FK1" s="12"/>
      <c r="FL1" s="14">
        <f>FH$1+7</f>
        <v>45918</v>
      </c>
      <c r="FM1" s="16"/>
      <c r="FN1" s="16"/>
      <c r="FO1" s="12"/>
      <c r="FP1" s="14">
        <f>FL$1+7</f>
        <v>45925</v>
      </c>
      <c r="FQ1" s="16"/>
      <c r="FR1" s="16"/>
      <c r="FS1" s="12"/>
      <c r="FT1" s="14">
        <f>FP$1+7</f>
        <v>45932</v>
      </c>
      <c r="FU1" s="16"/>
      <c r="FV1" s="16"/>
      <c r="FW1" s="12"/>
      <c r="FX1" s="14">
        <f>FT$1+7</f>
        <v>45939</v>
      </c>
      <c r="FY1" s="16"/>
      <c r="FZ1" s="16"/>
      <c r="GA1" s="12"/>
      <c r="GB1" s="14">
        <f>FX$1+7</f>
        <v>45946</v>
      </c>
      <c r="GC1" s="16"/>
      <c r="GD1" s="16"/>
      <c r="GE1" s="12"/>
      <c r="GF1" s="14">
        <f>GB$1+7</f>
        <v>45953</v>
      </c>
      <c r="GG1" s="16"/>
      <c r="GH1" s="16"/>
      <c r="GI1" s="12"/>
      <c r="GJ1" s="14">
        <f>GF$1+7</f>
        <v>45960</v>
      </c>
      <c r="GK1" s="16"/>
      <c r="GL1" s="16"/>
      <c r="GM1" s="12"/>
      <c r="GN1" s="14">
        <f>GJ$1+7</f>
        <v>45967</v>
      </c>
      <c r="GO1" s="16"/>
      <c r="GP1" s="16"/>
      <c r="GQ1" s="12"/>
      <c r="GR1" s="14">
        <f>GN$1+7</f>
        <v>45974</v>
      </c>
      <c r="GS1" s="16"/>
      <c r="GT1" s="16"/>
      <c r="GU1" s="12"/>
      <c r="GV1" s="14">
        <f>GR$1+7</f>
        <v>45981</v>
      </c>
      <c r="GW1" s="16"/>
      <c r="GX1" s="16"/>
      <c r="GY1" s="12"/>
      <c r="GZ1" s="14">
        <f>GV$1+7</f>
        <v>45988</v>
      </c>
      <c r="HA1" s="16"/>
      <c r="HB1" s="16"/>
      <c r="HC1" s="12"/>
      <c r="HD1" s="14">
        <f>GZ$1+7</f>
        <v>45995</v>
      </c>
      <c r="HE1" s="16"/>
      <c r="HF1" s="16"/>
      <c r="HG1" s="12"/>
      <c r="HH1" s="14">
        <f>HD$1+7</f>
        <v>46002</v>
      </c>
      <c r="HI1" s="16"/>
      <c r="HJ1" s="16"/>
      <c r="HK1" s="12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1" t="s">
        <v>68</v>
      </c>
      <c r="G2" s="32" t="s">
        <v>70</v>
      </c>
      <c r="H2" s="31" t="s">
        <v>74</v>
      </c>
      <c r="I2" s="31" t="s">
        <v>72</v>
      </c>
      <c r="J2" s="31" t="s">
        <v>68</v>
      </c>
      <c r="K2" s="32" t="s">
        <v>70</v>
      </c>
      <c r="L2" s="31" t="s">
        <v>74</v>
      </c>
      <c r="M2" s="31" t="s">
        <v>72</v>
      </c>
      <c r="N2" s="31" t="s">
        <v>68</v>
      </c>
      <c r="O2" s="32" t="s">
        <v>70</v>
      </c>
      <c r="P2" s="31" t="s">
        <v>74</v>
      </c>
      <c r="Q2" s="31" t="s">
        <v>72</v>
      </c>
      <c r="R2" s="31" t="s">
        <v>68</v>
      </c>
      <c r="S2" s="32" t="s">
        <v>70</v>
      </c>
      <c r="T2" s="31" t="s">
        <v>74</v>
      </c>
      <c r="U2" s="31" t="s">
        <v>72</v>
      </c>
      <c r="V2" s="31" t="s">
        <v>68</v>
      </c>
      <c r="W2" s="32" t="s">
        <v>70</v>
      </c>
      <c r="X2" s="31" t="s">
        <v>74</v>
      </c>
      <c r="Y2" s="31" t="s">
        <v>72</v>
      </c>
      <c r="Z2" s="31" t="s">
        <v>68</v>
      </c>
      <c r="AA2" s="32" t="s">
        <v>70</v>
      </c>
      <c r="AB2" s="31" t="s">
        <v>74</v>
      </c>
      <c r="AC2" s="31" t="s">
        <v>72</v>
      </c>
      <c r="AD2" s="31" t="s">
        <v>68</v>
      </c>
      <c r="AE2" s="32" t="s">
        <v>70</v>
      </c>
      <c r="AF2" s="31" t="s">
        <v>74</v>
      </c>
      <c r="AG2" s="31" t="s">
        <v>72</v>
      </c>
      <c r="AH2" s="31" t="s">
        <v>68</v>
      </c>
      <c r="AI2" s="32" t="s">
        <v>70</v>
      </c>
      <c r="AJ2" s="31" t="s">
        <v>74</v>
      </c>
      <c r="AK2" s="31" t="s">
        <v>72</v>
      </c>
      <c r="AL2" s="31" t="s">
        <v>68</v>
      </c>
      <c r="AM2" s="32" t="s">
        <v>70</v>
      </c>
      <c r="AN2" s="31" t="s">
        <v>74</v>
      </c>
      <c r="AO2" s="31" t="s">
        <v>72</v>
      </c>
      <c r="AP2" s="31" t="s">
        <v>68</v>
      </c>
      <c r="AQ2" s="32" t="s">
        <v>70</v>
      </c>
      <c r="AR2" s="31" t="s">
        <v>74</v>
      </c>
      <c r="AS2" s="31" t="s">
        <v>72</v>
      </c>
      <c r="AT2" s="31" t="s">
        <v>68</v>
      </c>
      <c r="AU2" s="32" t="s">
        <v>70</v>
      </c>
      <c r="AV2" s="31" t="s">
        <v>74</v>
      </c>
      <c r="AW2" s="31" t="s">
        <v>72</v>
      </c>
      <c r="AX2" s="31" t="s">
        <v>68</v>
      </c>
      <c r="AY2" s="32" t="s">
        <v>70</v>
      </c>
      <c r="AZ2" s="31" t="s">
        <v>74</v>
      </c>
      <c r="BA2" s="31" t="s">
        <v>72</v>
      </c>
      <c r="BB2" s="31" t="s">
        <v>68</v>
      </c>
      <c r="BC2" s="32" t="s">
        <v>70</v>
      </c>
      <c r="BD2" s="31" t="s">
        <v>74</v>
      </c>
      <c r="BE2" s="31" t="s">
        <v>72</v>
      </c>
      <c r="BF2" s="31" t="s">
        <v>68</v>
      </c>
      <c r="BG2" s="32" t="s">
        <v>70</v>
      </c>
      <c r="BH2" s="31" t="s">
        <v>74</v>
      </c>
      <c r="BI2" s="31" t="s">
        <v>72</v>
      </c>
      <c r="BJ2" s="31" t="s">
        <v>68</v>
      </c>
      <c r="BK2" s="32" t="s">
        <v>70</v>
      </c>
      <c r="BL2" s="31" t="s">
        <v>74</v>
      </c>
      <c r="BM2" s="31" t="s">
        <v>72</v>
      </c>
      <c r="BN2" s="31" t="s">
        <v>68</v>
      </c>
      <c r="BO2" s="32" t="s">
        <v>70</v>
      </c>
      <c r="BP2" s="31" t="s">
        <v>74</v>
      </c>
      <c r="BQ2" s="31" t="s">
        <v>72</v>
      </c>
      <c r="BR2" s="31" t="s">
        <v>68</v>
      </c>
      <c r="BS2" s="32" t="s">
        <v>70</v>
      </c>
      <c r="BT2" s="31" t="s">
        <v>74</v>
      </c>
      <c r="BU2" s="31" t="s">
        <v>72</v>
      </c>
      <c r="BV2" s="31" t="s">
        <v>68</v>
      </c>
      <c r="BW2" s="32" t="s">
        <v>70</v>
      </c>
      <c r="BX2" s="31" t="s">
        <v>74</v>
      </c>
      <c r="BY2" s="31" t="s">
        <v>72</v>
      </c>
      <c r="BZ2" s="31" t="s">
        <v>68</v>
      </c>
      <c r="CA2" s="32" t="s">
        <v>70</v>
      </c>
      <c r="CB2" s="31" t="s">
        <v>74</v>
      </c>
      <c r="CC2" s="31" t="s">
        <v>72</v>
      </c>
      <c r="CD2" s="31" t="s">
        <v>68</v>
      </c>
      <c r="CE2" s="32" t="s">
        <v>70</v>
      </c>
      <c r="CF2" s="31" t="s">
        <v>74</v>
      </c>
      <c r="CG2" s="31" t="s">
        <v>72</v>
      </c>
      <c r="CH2" s="31" t="s">
        <v>68</v>
      </c>
      <c r="CI2" s="32" t="s">
        <v>70</v>
      </c>
      <c r="CJ2" s="31" t="s">
        <v>74</v>
      </c>
      <c r="CK2" s="31" t="s">
        <v>72</v>
      </c>
      <c r="CL2" s="31" t="s">
        <v>68</v>
      </c>
      <c r="CM2" s="32" t="s">
        <v>70</v>
      </c>
      <c r="CN2" s="31" t="s">
        <v>74</v>
      </c>
      <c r="CO2" s="31" t="s">
        <v>72</v>
      </c>
      <c r="CP2" s="31" t="s">
        <v>68</v>
      </c>
      <c r="CQ2" s="32" t="s">
        <v>70</v>
      </c>
      <c r="CR2" s="31" t="s">
        <v>74</v>
      </c>
      <c r="CS2" s="31" t="s">
        <v>72</v>
      </c>
      <c r="CT2" s="31" t="s">
        <v>68</v>
      </c>
      <c r="CU2" s="32" t="s">
        <v>70</v>
      </c>
      <c r="CV2" s="31" t="s">
        <v>74</v>
      </c>
      <c r="CW2" s="31" t="s">
        <v>72</v>
      </c>
      <c r="CX2" s="31" t="s">
        <v>68</v>
      </c>
      <c r="CY2" s="32" t="s">
        <v>70</v>
      </c>
      <c r="CZ2" s="31" t="s">
        <v>74</v>
      </c>
      <c r="DA2" s="31" t="s">
        <v>72</v>
      </c>
      <c r="DB2" s="31" t="s">
        <v>68</v>
      </c>
      <c r="DC2" s="32" t="s">
        <v>70</v>
      </c>
      <c r="DD2" s="31" t="s">
        <v>74</v>
      </c>
      <c r="DE2" s="31" t="s">
        <v>72</v>
      </c>
      <c r="DF2" s="31" t="s">
        <v>68</v>
      </c>
      <c r="DG2" s="32" t="s">
        <v>70</v>
      </c>
      <c r="DH2" s="31" t="s">
        <v>74</v>
      </c>
      <c r="DI2" s="31" t="s">
        <v>72</v>
      </c>
      <c r="DJ2" s="31" t="s">
        <v>68</v>
      </c>
      <c r="DK2" s="32" t="s">
        <v>70</v>
      </c>
      <c r="DL2" s="31" t="s">
        <v>74</v>
      </c>
      <c r="DM2" s="31" t="s">
        <v>72</v>
      </c>
      <c r="DN2" s="31" t="s">
        <v>68</v>
      </c>
      <c r="DO2" s="32" t="s">
        <v>70</v>
      </c>
      <c r="DP2" s="31" t="s">
        <v>74</v>
      </c>
      <c r="DQ2" s="31" t="s">
        <v>72</v>
      </c>
      <c r="DR2" s="31" t="s">
        <v>68</v>
      </c>
      <c r="DS2" s="32" t="s">
        <v>70</v>
      </c>
      <c r="DT2" s="31" t="s">
        <v>74</v>
      </c>
      <c r="DU2" s="31" t="s">
        <v>72</v>
      </c>
      <c r="DV2" s="31" t="s">
        <v>68</v>
      </c>
      <c r="DW2" s="32" t="s">
        <v>70</v>
      </c>
      <c r="DX2" s="31" t="s">
        <v>74</v>
      </c>
      <c r="DY2" s="31" t="s">
        <v>72</v>
      </c>
      <c r="DZ2" s="31" t="s">
        <v>68</v>
      </c>
      <c r="EA2" s="32" t="s">
        <v>70</v>
      </c>
      <c r="EB2" s="31" t="s">
        <v>74</v>
      </c>
      <c r="EC2" s="31" t="s">
        <v>72</v>
      </c>
      <c r="ED2" s="31" t="s">
        <v>68</v>
      </c>
      <c r="EE2" s="32" t="s">
        <v>70</v>
      </c>
      <c r="EF2" s="31" t="s">
        <v>74</v>
      </c>
      <c r="EG2" s="31" t="s">
        <v>72</v>
      </c>
      <c r="EH2" s="31" t="s">
        <v>68</v>
      </c>
      <c r="EI2" s="32" t="s">
        <v>70</v>
      </c>
      <c r="EJ2" s="31" t="s">
        <v>74</v>
      </c>
      <c r="EK2" s="31" t="s">
        <v>72</v>
      </c>
      <c r="EL2" s="31" t="s">
        <v>68</v>
      </c>
      <c r="EM2" s="32" t="s">
        <v>70</v>
      </c>
      <c r="EN2" s="31" t="s">
        <v>74</v>
      </c>
      <c r="EO2" s="31" t="s">
        <v>72</v>
      </c>
      <c r="EP2" s="31" t="s">
        <v>68</v>
      </c>
      <c r="EQ2" s="32" t="s">
        <v>70</v>
      </c>
      <c r="ER2" s="31" t="s">
        <v>74</v>
      </c>
      <c r="ES2" s="31" t="s">
        <v>72</v>
      </c>
      <c r="ET2" s="31" t="s">
        <v>68</v>
      </c>
      <c r="EU2" s="32" t="s">
        <v>70</v>
      </c>
      <c r="EV2" s="31" t="s">
        <v>74</v>
      </c>
      <c r="EW2" s="31" t="s">
        <v>72</v>
      </c>
      <c r="EX2" s="31" t="s">
        <v>68</v>
      </c>
      <c r="EY2" s="32" t="s">
        <v>70</v>
      </c>
      <c r="EZ2" s="31" t="s">
        <v>74</v>
      </c>
      <c r="FA2" s="31" t="s">
        <v>72</v>
      </c>
      <c r="FB2" s="31" t="s">
        <v>68</v>
      </c>
      <c r="FC2" s="32" t="s">
        <v>70</v>
      </c>
      <c r="FD2" s="31" t="s">
        <v>74</v>
      </c>
      <c r="FE2" s="31" t="s">
        <v>72</v>
      </c>
      <c r="FF2" s="31" t="s">
        <v>68</v>
      </c>
      <c r="FG2" s="32" t="s">
        <v>70</v>
      </c>
      <c r="FH2" s="31" t="s">
        <v>74</v>
      </c>
      <c r="FI2" s="31" t="s">
        <v>72</v>
      </c>
      <c r="FJ2" s="31" t="s">
        <v>68</v>
      </c>
      <c r="FK2" s="32" t="s">
        <v>70</v>
      </c>
      <c r="FL2" s="31" t="s">
        <v>74</v>
      </c>
      <c r="FM2" s="31" t="s">
        <v>72</v>
      </c>
      <c r="FN2" s="31" t="s">
        <v>68</v>
      </c>
      <c r="FO2" s="32" t="s">
        <v>70</v>
      </c>
      <c r="FP2" s="31" t="s">
        <v>74</v>
      </c>
      <c r="FQ2" s="31" t="s">
        <v>72</v>
      </c>
      <c r="FR2" s="31" t="s">
        <v>68</v>
      </c>
      <c r="FS2" s="32" t="s">
        <v>70</v>
      </c>
      <c r="FT2" s="31" t="s">
        <v>74</v>
      </c>
      <c r="FU2" s="31" t="s">
        <v>72</v>
      </c>
      <c r="FV2" s="31" t="s">
        <v>68</v>
      </c>
      <c r="FW2" s="32" t="s">
        <v>70</v>
      </c>
      <c r="FX2" s="31" t="s">
        <v>74</v>
      </c>
      <c r="FY2" s="31" t="s">
        <v>72</v>
      </c>
      <c r="FZ2" s="31" t="s">
        <v>68</v>
      </c>
      <c r="GA2" s="32" t="s">
        <v>70</v>
      </c>
      <c r="GB2" s="31" t="s">
        <v>74</v>
      </c>
      <c r="GC2" s="31" t="s">
        <v>72</v>
      </c>
      <c r="GD2" s="31" t="s">
        <v>68</v>
      </c>
      <c r="GE2" s="32" t="s">
        <v>70</v>
      </c>
      <c r="GF2" s="31" t="s">
        <v>74</v>
      </c>
      <c r="GG2" s="31" t="s">
        <v>72</v>
      </c>
      <c r="GH2" s="31" t="s">
        <v>68</v>
      </c>
      <c r="GI2" s="32" t="s">
        <v>70</v>
      </c>
      <c r="GJ2" s="31" t="s">
        <v>74</v>
      </c>
      <c r="GK2" s="31" t="s">
        <v>72</v>
      </c>
      <c r="GL2" s="31" t="s">
        <v>68</v>
      </c>
      <c r="GM2" s="32" t="s">
        <v>70</v>
      </c>
      <c r="GN2" s="31" t="s">
        <v>74</v>
      </c>
      <c r="GO2" s="31" t="s">
        <v>72</v>
      </c>
      <c r="GP2" s="31" t="s">
        <v>68</v>
      </c>
      <c r="GQ2" s="32" t="s">
        <v>70</v>
      </c>
      <c r="GR2" s="31" t="s">
        <v>74</v>
      </c>
      <c r="GS2" s="31" t="s">
        <v>72</v>
      </c>
      <c r="GT2" s="31" t="s">
        <v>68</v>
      </c>
      <c r="GU2" s="32" t="s">
        <v>70</v>
      </c>
      <c r="GV2" s="31" t="s">
        <v>74</v>
      </c>
      <c r="GW2" s="31" t="s">
        <v>72</v>
      </c>
      <c r="GX2" s="31" t="s">
        <v>68</v>
      </c>
      <c r="GY2" s="32" t="s">
        <v>70</v>
      </c>
      <c r="GZ2" s="31" t="s">
        <v>74</v>
      </c>
      <c r="HA2" s="31" t="s">
        <v>72</v>
      </c>
      <c r="HB2" s="31" t="s">
        <v>68</v>
      </c>
      <c r="HC2" s="32" t="s">
        <v>70</v>
      </c>
      <c r="HD2" s="31" t="s">
        <v>74</v>
      </c>
      <c r="HE2" s="31" t="s">
        <v>72</v>
      </c>
      <c r="HF2" s="31" t="s">
        <v>68</v>
      </c>
      <c r="HG2" s="32" t="s">
        <v>70</v>
      </c>
      <c r="HH2" s="31" t="s">
        <v>74</v>
      </c>
      <c r="HI2" s="31" t="s">
        <v>72</v>
      </c>
      <c r="HJ2" s="31" t="s">
        <v>68</v>
      </c>
      <c r="HK2" s="32" t="s">
        <v>70</v>
      </c>
    </row>
    <row r="3">
      <c r="A3" s="20" t="s">
        <v>17</v>
      </c>
      <c r="B3" s="21" t="s">
        <v>18</v>
      </c>
      <c r="C3" s="1">
        <f t="shared" ref="C3:C45" si="1">countA($A$3:A3)</f>
        <v>1</v>
      </c>
      <c r="D3" s="15">
        <f>VLOOKUP(A3,TDP!A:C,3,FALSE)</f>
        <v>0.54</v>
      </c>
      <c r="E3" s="37">
        <f t="shared" ref="E3:E45" si="2">(1+$D3)*sum($G3,$K3,$O3,$S3,$W3,$AA3,$AE3,$AI3,$AM3,$AQ3,$AU3,$AY3,$BC3,$BG3,$BK3,$BO3,$BS3,$BW3,$CA3,$CE3,$CI3,$CM3,$CQ3,$CU3,$CY3,$DC3,$DG3,$DK3,$DO3, $DS3,$DW3,$EA3,$EE3,$EI3,$EM3,$EQ3,$EU3,$EY3,$FC3,$FG3,$FK3,$FO3,$FS3,$FW3,$GA3,$GE3,$GI3,$GM3,$GQ3,$GU3,$GY3,$HC3,$HG3,$HK3)</f>
        <v>380.38</v>
      </c>
      <c r="F3" s="7">
        <v>1.0</v>
      </c>
      <c r="G3" s="39">
        <f t="shared" ref="G3:G4" si="3">if(F3=1, 7, 0 )</f>
        <v>7</v>
      </c>
      <c r="H3" s="7">
        <v>1.0</v>
      </c>
      <c r="I3" s="7">
        <v>1.0</v>
      </c>
      <c r="J3" s="7">
        <v>1.0</v>
      </c>
      <c r="K3" s="39">
        <f t="shared" ref="K3:K45" si="4"> if( H3=1, if( I3=1, if( J3=1, 5, 3), if( J3=1, 1, -3 ) ), if(I3=1,if(J3=1, -1, -2 ), if(J3=1, 7, 0 ) ) )</f>
        <v>5</v>
      </c>
      <c r="L3" s="7">
        <v>1.0</v>
      </c>
      <c r="M3" s="7">
        <v>1.0</v>
      </c>
      <c r="N3" s="7">
        <v>1.0</v>
      </c>
      <c r="O3" s="39">
        <f t="shared" ref="O3:O24" si="5"> if( L3=1, if( M3=1, if( N3=1, 5, 3), if( N3=1, 1, -3 ) ), if(M3=1,if(N3=1, -1, -2 ), if(N3=1, 7, 0 ) ) )</f>
        <v>5</v>
      </c>
      <c r="P3" s="7">
        <v>1.0</v>
      </c>
      <c r="Q3" s="7">
        <v>1.0</v>
      </c>
      <c r="R3" s="7"/>
      <c r="S3" s="39">
        <f t="shared" ref="S3:S45" si="6"> if( P3=1, if( Q3=1, if( R3=1, 5, 3), if( R3=1, 1, -3 ) ), if(Q3=1,if(R3=1, -1, -2 ), if(R3=1, 7, 0 ) ) )</f>
        <v>3</v>
      </c>
      <c r="T3" s="7"/>
      <c r="U3" s="7"/>
      <c r="V3" s="7"/>
      <c r="W3" s="39">
        <f t="shared" ref="W3:W45" si="7"> if( T3=1, if( U3=1, if( V3=1, 5, 3), if( V3=1, 1, -3 ) ), if(U3=1,if(V3=1, -1, -2 ), if(V3=1, 7, 0 ) ) )</f>
        <v>0</v>
      </c>
      <c r="X3" s="7">
        <v>1.0</v>
      </c>
      <c r="Y3" s="7">
        <v>1.0</v>
      </c>
      <c r="Z3" s="7">
        <v>1.0</v>
      </c>
      <c r="AA3" s="39">
        <f t="shared" ref="AA3:AA45" si="8"> if( X3=1, if( Y3=1, if( Z3=1, 5, 3), if( Z3=1, 1, -3 ) ), if(Y3=1,if(Z3=1, -1, -2 ), if(Z3=1, 7, 0 ) ) )</f>
        <v>5</v>
      </c>
      <c r="AB3" s="7">
        <v>1.0</v>
      </c>
      <c r="AC3" s="7">
        <v>1.0</v>
      </c>
      <c r="AD3" s="7">
        <v>1.0</v>
      </c>
      <c r="AE3" s="39">
        <f t="shared" ref="AE3:AE45" si="9"> if( AB3=1, if( AC3=1, if( AD3=1, 5, 3), if( AD3=1, 1, -3 ) ), if(AC3=1,if(AD3=1, -1, -2 ), if(AD3=1, 7, 0 ) ) )</f>
        <v>5</v>
      </c>
      <c r="AF3" s="7">
        <v>1.0</v>
      </c>
      <c r="AG3" s="7">
        <v>1.0</v>
      </c>
      <c r="AH3" s="7">
        <v>1.0</v>
      </c>
      <c r="AI3" s="39">
        <f t="shared" ref="AI3:AI20" si="10"> if( AF3=1, if( AG3=1, if( AH3=1, 5, 3), if( AH3=1, 1, -3 ) ), if(AG3=1,if(AH3=1, -1, -2 ), if(AH3=1, 7, 0 ) ) )</f>
        <v>5</v>
      </c>
      <c r="AJ3" s="7">
        <v>1.0</v>
      </c>
      <c r="AK3" s="7">
        <v>1.0</v>
      </c>
      <c r="AL3" s="7">
        <v>1.0</v>
      </c>
      <c r="AM3" s="39">
        <f t="shared" ref="AM3:AM10" si="11"> if( AJ3=1, if( AK3=1, if( AL3=1, 5, 3), if( AL3=1, 1, -3 ) ), if(AK3=1,if(AL3=1, -1, -2 ), if(AL3=1, 7, 0 ) ) )</f>
        <v>5</v>
      </c>
      <c r="AN3" s="7">
        <v>1.0</v>
      </c>
      <c r="AO3" s="7">
        <v>1.0</v>
      </c>
      <c r="AP3" s="7"/>
      <c r="AQ3" s="39">
        <f t="shared" ref="AQ3:AQ12" si="12"> if( AN3=1, if( AO3=1, if( AP3=1, 5, 3), if( AP3=1, 1, -3 ) ), if(AO3=1,if(AP3=1, -1, -2 ), if(AP3=1, 7, 0 ) ) )</f>
        <v>3</v>
      </c>
      <c r="AR3" s="41"/>
      <c r="AS3" s="41"/>
      <c r="AT3" s="41"/>
      <c r="AU3" s="42">
        <f t="shared" ref="AU3:AU45" si="13"> if( AR3=1, if( AS3=1, if( AT3=1, 5, 3), if( AT3=1, 1, -3 ) ), if(AS3=1,if(AT3=1, -1, -2 ), if(AT3=1, 7, 0 ) ) )</f>
        <v>0</v>
      </c>
      <c r="AV3" s="7">
        <v>1.0</v>
      </c>
      <c r="AW3" s="7">
        <v>1.0</v>
      </c>
      <c r="AX3" s="7">
        <v>1.0</v>
      </c>
      <c r="AY3" s="39">
        <f t="shared" ref="AY3:AY45" si="14"> if( AV3=1, if( AW3=1, if( AX3=1, 5, 3), if( AX3=1, 1, -3 ) ), if(AW3=1,if(AX3=1, -1, -2 ), if(AX3=1, 7, 0 ) ) )</f>
        <v>5</v>
      </c>
      <c r="AZ3" s="7">
        <v>1.0</v>
      </c>
      <c r="BA3" s="7">
        <v>1.0</v>
      </c>
      <c r="BB3" s="7">
        <v>1.0</v>
      </c>
      <c r="BC3" s="39">
        <f t="shared" ref="BC3:BC9" si="15"> if( AZ3=1, if( BA3=1, if( BB3=1, 5, 3), if( BB3=1, 1, -3 ) ), if(BA3=1,if(BB3=1, -1, -2 ), if(BB3=1, 7, 0 ) ) )</f>
        <v>5</v>
      </c>
      <c r="BD3" s="7">
        <v>1.0</v>
      </c>
      <c r="BE3" s="7">
        <v>1.0</v>
      </c>
      <c r="BF3" s="7">
        <v>1.0</v>
      </c>
      <c r="BG3" s="39">
        <f t="shared" ref="BG3:BG45" si="16"> if( BD3=1, if( BE3=1, if( BF3=1, 5, 3), if( BF3=1, 1, -3 ) ), if(BE3=1,if(BF3=1, -1, -2 ), if(BF3=1, 7, 0 ) ) )</f>
        <v>5</v>
      </c>
      <c r="BH3" s="7">
        <v>1.0</v>
      </c>
      <c r="BI3" s="7">
        <v>1.0</v>
      </c>
      <c r="BJ3" s="7">
        <v>1.0</v>
      </c>
      <c r="BK3" s="39">
        <f t="shared" ref="BK3:BK45" si="17"> if( BH3=1, if( BI3=1, if( BJ3=1, 5, 3), if( BJ3=1, 1, -3 ) ), if(BI3=1,if(BJ3=1, -1, -2 ), if(BJ3=1, 7, 0 ) ) )</f>
        <v>5</v>
      </c>
      <c r="BL3" s="7">
        <v>1.0</v>
      </c>
      <c r="BM3" s="7">
        <v>1.0</v>
      </c>
      <c r="BN3" s="7">
        <v>1.0</v>
      </c>
      <c r="BO3" s="39">
        <f t="shared" ref="BO3:BO45" si="18"> if( BL3=1, if( BM3=1, if( BN3=1, 5, 3), if( BN3=1, 1, -3 ) ), if(BM3=1,if(BN3=1, -1, -2 ), if(BN3=1, 7, 0 ) ) )</f>
        <v>5</v>
      </c>
      <c r="BP3" s="7">
        <v>1.0</v>
      </c>
      <c r="BQ3" s="7">
        <v>1.0</v>
      </c>
      <c r="BR3" s="7">
        <v>1.0</v>
      </c>
      <c r="BS3" s="39">
        <f t="shared" ref="BS3:BS45" si="19"> if( BP3=1, if( BQ3=1, if( BR3=1, 5, 3), if( BR3=1, 1, -3 ) ), if(BQ3=1,if(BR3=1, -1, -2 ), if(BR3=1, 7, 0 ) ) )</f>
        <v>5</v>
      </c>
      <c r="BT3" s="7">
        <v>1.0</v>
      </c>
      <c r="BU3" s="7">
        <v>1.0</v>
      </c>
      <c r="BV3" s="7">
        <v>1.0</v>
      </c>
      <c r="BW3" s="39">
        <f t="shared" ref="BW3:BW45" si="20"> if( BT3=1, if( BU3=1, if( BV3=1, 5, 3), if( BV3=1, 1, -3 ) ), if(BU3=1,if(BV3=1, -1, -2 ), if(BV3=1, 7, 0 ) ) )</f>
        <v>5</v>
      </c>
      <c r="BX3" s="7">
        <v>1.0</v>
      </c>
      <c r="BY3" s="7">
        <v>1.0</v>
      </c>
      <c r="BZ3" s="7">
        <v>1.0</v>
      </c>
      <c r="CA3" s="39">
        <f t="shared" ref="CA3:CA45" si="21"> if( BX3=1, if( BY3=1, if( BZ3=1, 5, 3), if( BZ3=1, 1, -3 ) ), if(BY3=1,if(BZ3=1, -1, -2 ), if(BZ3=1, 7, 0 ) ) )</f>
        <v>5</v>
      </c>
      <c r="CB3" s="7">
        <v>1.0</v>
      </c>
      <c r="CC3" s="7">
        <v>1.0</v>
      </c>
      <c r="CD3" s="7">
        <v>1.0</v>
      </c>
      <c r="CE3" s="39">
        <f t="shared" ref="CE3:CE45" si="22"> if( CB3=1, if( CC3=1, if( CD3=1, 5, 3), if( CD3=1, 1, -3 ) ), if(CC3=1,if(CD3=1, -1, -2 ), if(CD3=1, 7, 0 ) ) )</f>
        <v>5</v>
      </c>
      <c r="CF3" s="7">
        <v>1.0</v>
      </c>
      <c r="CG3" s="7">
        <v>1.0</v>
      </c>
      <c r="CH3" s="7">
        <v>1.0</v>
      </c>
      <c r="CI3" s="39">
        <f t="shared" ref="CI3:CI45" si="23"> if( CF3=1, if( CG3=1, if( CH3=1, 5, 3), if( CH3=1, 1, -3 ) ), if(CG3=1,if(CH3=1, -1, -2 ), if(CH3=1, 7, 0 ) ) )</f>
        <v>5</v>
      </c>
      <c r="CJ3" s="7">
        <v>1.0</v>
      </c>
      <c r="CK3" s="7">
        <v>1.0</v>
      </c>
      <c r="CL3" s="7">
        <v>1.0</v>
      </c>
      <c r="CM3" s="39">
        <f t="shared" ref="CM3:CM45" si="24"> if( CJ3=1, if( CK3=1, if( CL3=1, 5, 3), if( CL3=1, 1, -3 ) ), if(CK3=1,if(CL3=1, -1, -2 ), if(CL3=1, 7, 0 ) ) )</f>
        <v>5</v>
      </c>
      <c r="CN3" s="7">
        <v>1.0</v>
      </c>
      <c r="CO3" s="7">
        <v>1.0</v>
      </c>
      <c r="CP3" s="7">
        <v>1.0</v>
      </c>
      <c r="CQ3" s="39">
        <f t="shared" ref="CQ3:CQ45" si="25"> if( CN3=1, if( CO3=1, if( CP3=1, 5, 3), if( CP3=1, 1, -3 ) ), if(CO3=1,if(CP3=1, -1, -2 ), if(CP3=1, 7, 0 ) ) )</f>
        <v>5</v>
      </c>
      <c r="CR3" s="7">
        <v>1.0</v>
      </c>
      <c r="CS3" s="7">
        <v>1.0</v>
      </c>
      <c r="CT3" s="7">
        <v>1.0</v>
      </c>
      <c r="CU3" s="39">
        <f t="shared" ref="CU3:CU45" si="26"> if( CR3=1, if( CS3=1, if( CT3=1, 5, 3), if( CT3=1, 1, -3 ) ), if(CS3=1,if(CT3=1, -1, -2 ), if(CT3=1, 7, 0 ) ) )</f>
        <v>5</v>
      </c>
      <c r="CV3" s="7">
        <v>1.0</v>
      </c>
      <c r="CW3" s="7">
        <v>1.0</v>
      </c>
      <c r="CX3" s="7">
        <v>1.0</v>
      </c>
      <c r="CY3" s="39">
        <f t="shared" ref="CY3:CY45" si="27"> if( CV3=1, if( CW3=1, if( CX3=1, 5, 3), if( CX3=1, 1, -3 ) ), if(CW3=1,if(CX3=1, -1, -2 ), if(CX3=1, 7, 0 ) ) )</f>
        <v>5</v>
      </c>
      <c r="CZ3" s="7">
        <v>1.0</v>
      </c>
      <c r="DA3" s="7">
        <v>1.0</v>
      </c>
      <c r="DB3" s="7">
        <v>1.0</v>
      </c>
      <c r="DC3" s="39">
        <f t="shared" ref="DC3:DC45" si="28"> if( CZ3=1, if( DA3=1, if( DB3=1, 5, 3), if( DB3=1, 1, -3 ) ), if(DA3=1,if(DB3=1, -1, -2 ), if(DB3=1, 7, 0 ) ) )</f>
        <v>5</v>
      </c>
      <c r="DD3" s="7">
        <v>1.0</v>
      </c>
      <c r="DE3" s="7">
        <v>1.0</v>
      </c>
      <c r="DF3" s="7"/>
      <c r="DG3" s="39">
        <f t="shared" ref="DG3:DG45" si="29"> if( DD3=1, if( DE3=1, if( DF3=1, 5, 3), if( DF3=1, 1, -3 ) ), if(DE3=1,if(DF3=1, -1, -2 ), if(DF3=1, 7, 0 ) ) )</f>
        <v>3</v>
      </c>
      <c r="DH3" s="7">
        <v>1.0</v>
      </c>
      <c r="DI3" s="7">
        <v>1.0</v>
      </c>
      <c r="DJ3" s="7">
        <v>1.0</v>
      </c>
      <c r="DK3" s="39">
        <f t="shared" ref="DK3:DK45" si="30"> if( DH3=1, if( DI3=1, if( DJ3=1, 5, 3), if( DJ3=1, 1, -3 ) ), if(DI3=1,if(DJ3=1, -1, -2 ), if(DJ3=1, 7, 0 ) ) )</f>
        <v>5</v>
      </c>
      <c r="DL3" s="7">
        <v>1.0</v>
      </c>
      <c r="DM3" s="7">
        <v>1.0</v>
      </c>
      <c r="DN3" s="7">
        <v>1.0</v>
      </c>
      <c r="DO3" s="39">
        <f t="shared" ref="DO3:DO45" si="31"> if( DL3=1, if( DM3=1, if( DN3=1, 5, 3), if( DN3=1, 1, -3 ) ), if(DM3=1,if(DN3=1, -1, -2 ), if(DN3=1, 7, 0 ) ) )</f>
        <v>5</v>
      </c>
      <c r="DP3" s="7">
        <v>1.0</v>
      </c>
      <c r="DQ3" s="7">
        <v>1.0</v>
      </c>
      <c r="DR3" s="7">
        <v>1.0</v>
      </c>
      <c r="DS3" s="39">
        <f t="shared" ref="DS3:DS45" si="32"> if( DP3=1, if( DQ3=1, if( DR3=1, 5, 3), if( DR3=1, 1, -3 ) ), if(DQ3=1,if(DR3=1, -1, -2 ), if(DR3=1, 7, 0 ) ) )</f>
        <v>5</v>
      </c>
      <c r="DT3" s="7">
        <v>1.0</v>
      </c>
      <c r="DU3" s="7">
        <v>1.0</v>
      </c>
      <c r="DV3" s="7">
        <v>1.0</v>
      </c>
      <c r="DW3" s="39">
        <f t="shared" ref="DW3:DW45" si="33"> if( DT3=1, if( DU3=1, if( DV3=1, 5, 3), if( DV3=1, 1, -3 ) ), if(DU3=1,if(DV3=1, -1, -2 ), if(DV3=1, 7, 0 ) ) )</f>
        <v>5</v>
      </c>
      <c r="DX3" s="7">
        <v>1.0</v>
      </c>
      <c r="DY3" s="7">
        <v>1.0</v>
      </c>
      <c r="DZ3" s="7">
        <v>1.0</v>
      </c>
      <c r="EA3" s="39">
        <f t="shared" ref="EA3:EA45" si="34"> if( DX3=1, if( DY3=1, if( DZ3=1, 5, 3), if( DZ3=1, 1, -3 ) ), if(DY3=1,if(DZ3=1, -1, -2 ), if(DZ3=1, 7, 0 ) ) )</f>
        <v>5</v>
      </c>
      <c r="EB3" s="7">
        <v>1.0</v>
      </c>
      <c r="EC3" s="7">
        <v>1.0</v>
      </c>
      <c r="ED3" s="7">
        <v>1.0</v>
      </c>
      <c r="EE3" s="39">
        <f t="shared" ref="EE3:EE45" si="35"> if( EB3=1, if( EC3=1, if( ED3=1, 5, 3), if( ED3=1, 1, -3 ) ), if(EC3=1,if(ED3=1, -1, -2 ), if(ED3=1, 7, 0 ) ) )</f>
        <v>5</v>
      </c>
      <c r="EF3" s="7">
        <v>1.0</v>
      </c>
      <c r="EG3" s="7">
        <v>1.0</v>
      </c>
      <c r="EH3" s="7">
        <v>1.0</v>
      </c>
      <c r="EI3" s="39">
        <f t="shared" ref="EI3:EI45" si="36"> if( EF3=1, if( EG3=1, if( EH3=1, 5, 3), if( EH3=1, 1, -3 ) ), if(EG3=1,if(EH3=1, -1, -2 ), if(EH3=1, 7, 0 ) ) )</f>
        <v>5</v>
      </c>
      <c r="EJ3" s="7">
        <v>1.0</v>
      </c>
      <c r="EK3" s="7">
        <v>1.0</v>
      </c>
      <c r="EL3" s="7">
        <v>1.0</v>
      </c>
      <c r="EM3" s="39">
        <f t="shared" ref="EM3:EM45" si="37"> if( EJ3=1, if( EK3=1, if( EL3=1, 5, 3), if( EL3=1, 1, -3 ) ), if(EK3=1,if(EL3=1, -1, -2 ), if(EL3=1, 7, 0 ) ) )</f>
        <v>5</v>
      </c>
      <c r="EN3" s="7">
        <v>1.0</v>
      </c>
      <c r="EO3" s="7">
        <v>1.0</v>
      </c>
      <c r="EP3" s="7">
        <v>1.0</v>
      </c>
      <c r="EQ3" s="39">
        <f t="shared" ref="EQ3:EQ45" si="38"> if( EN3=1, if( EO3=1, if( EP3=1, 5, 3), if( EP3=1, 1, -3 ) ), if(EO3=1,if(EP3=1, -1, -2 ), if(EP3=1, 7, 0 ) ) )</f>
        <v>5</v>
      </c>
      <c r="ER3" s="7">
        <v>1.0</v>
      </c>
      <c r="ES3" s="7">
        <v>1.0</v>
      </c>
      <c r="ET3" s="7">
        <v>1.0</v>
      </c>
      <c r="EU3" s="39">
        <f t="shared" ref="EU3:EU45" si="39"> if( ER3=1, if( ES3=1, if( ET3=1, 5, 3), if( ET3=1, 1, -3 ) ), if(ES3=1,if(ET3=1, -1, -2 ), if(ET3=1, 7, 0 ) ) )</f>
        <v>5</v>
      </c>
      <c r="EV3" s="7">
        <v>1.0</v>
      </c>
      <c r="EW3" s="7">
        <v>1.0</v>
      </c>
      <c r="EX3" s="7">
        <v>1.0</v>
      </c>
      <c r="EY3" s="39">
        <f t="shared" ref="EY3:EY45" si="40"> if( EV3=1, if( EW3=1, if( EX3=1, 5, 3), if( EX3=1, 1, -3 ) ), if(EW3=1,if(EX3=1, -1, -2 ), if(EX3=1, 7, 0 ) ) )</f>
        <v>5</v>
      </c>
      <c r="EZ3" s="7">
        <v>1.0</v>
      </c>
      <c r="FA3" s="7">
        <v>1.0</v>
      </c>
      <c r="FB3" s="7"/>
      <c r="FC3" s="39">
        <f t="shared" ref="FC3:FC45" si="41"> if( EZ3=1, if( FA3=1, if( FB3=1, 5, 3), if( FB3=1, 1, -3 ) ), if(FA3=1,if(FB3=1, -1, -2 ), if(FB3=1, 7, 0 ) ) )</f>
        <v>3</v>
      </c>
      <c r="FD3" s="7">
        <v>1.0</v>
      </c>
      <c r="FE3" s="7">
        <v>1.0</v>
      </c>
      <c r="FF3" s="7">
        <v>1.0</v>
      </c>
      <c r="FG3" s="39">
        <f t="shared" ref="FG3:FG45" si="42"> if( FD3=1, if( FE3=1, if( FF3=1, 5, 3), if( FF3=1, 1, -3 ) ), if(FE3=1,if(FF3=1, -1, -2 ), if(FF3=1, 7, 0 ) ) )</f>
        <v>5</v>
      </c>
      <c r="FH3" s="7"/>
      <c r="FI3" s="7"/>
      <c r="FJ3" s="7"/>
      <c r="FK3" s="39">
        <f t="shared" ref="FK3:FK45" si="43"> if( FH3=1, if( FI3=1, if( FJ3=1, 5, 3), if( FJ3=1, 1, -3 ) ), if(FI3=1,if(FJ3=1, -1, -2 ), if(FJ3=1, 7, 0 ) ) )</f>
        <v>0</v>
      </c>
      <c r="FL3" s="7">
        <v>1.0</v>
      </c>
      <c r="FM3" s="7">
        <v>1.0</v>
      </c>
      <c r="FN3" s="7">
        <v>1.0</v>
      </c>
      <c r="FO3" s="39">
        <f t="shared" ref="FO3:FO45" si="44"> if( FL3=1, if( FM3=1, if( FN3=1, 5, 3), if( FN3=1, 1, -3 ) ), if(FM3=1,if(FN3=1, -1, -2 ), if(FN3=1, 7, 0 ) ) )</f>
        <v>5</v>
      </c>
      <c r="FP3" s="7">
        <v>1.0</v>
      </c>
      <c r="FQ3" s="7">
        <v>1.0</v>
      </c>
      <c r="FR3" s="7">
        <v>1.0</v>
      </c>
      <c r="FS3" s="39">
        <f t="shared" ref="FS3:FS45" si="45"> if( FP3=1, if( FQ3=1, if( FR3=1, 5, 3), if( FR3=1, 1, -3 ) ), if(FQ3=1,if(FR3=1, -1, -2 ), if(FR3=1, 7, 0 ) ) )</f>
        <v>5</v>
      </c>
      <c r="FT3" s="7">
        <v>1.0</v>
      </c>
      <c r="FU3" s="7">
        <v>1.0</v>
      </c>
      <c r="FV3" s="7">
        <v>1.0</v>
      </c>
      <c r="FW3" s="39">
        <f t="shared" ref="FW3:FW45" si="46"> if( FT3=1, if( FU3=1, if( FV3=1, 5, 3), if( FV3=1, 1, -3 ) ), if(FU3=1,if(FV3=1, -1, -2 ), if(FV3=1, 7, 0 ) ) )</f>
        <v>5</v>
      </c>
      <c r="FX3" s="7">
        <v>1.0</v>
      </c>
      <c r="FY3" s="7">
        <v>1.0</v>
      </c>
      <c r="FZ3" s="7">
        <v>1.0</v>
      </c>
      <c r="GA3" s="39">
        <f t="shared" ref="GA3:GA45" si="47"> if( FX3=1, if( FY3=1, if( FZ3=1, 5, 3), if( FZ3=1, 1, -3 ) ), if(FY3=1,if(FZ3=1, -1, -2 ), if(FZ3=1, 7, 0 ) ) )</f>
        <v>5</v>
      </c>
      <c r="GB3" s="7">
        <v>1.0</v>
      </c>
      <c r="GC3" s="7">
        <v>1.0</v>
      </c>
      <c r="GD3" s="7">
        <v>1.0</v>
      </c>
      <c r="GE3" s="39">
        <f t="shared" ref="GE3:GE45" si="48"> if( GB3=1, if( GC3=1, if( GD3=1, 5, 3), if( GD3=1, 1, -3 ) ), if(GC3=1,if(GD3=1, -1, -2 ), if(GD3=1, 7, 0 ) ) )</f>
        <v>5</v>
      </c>
      <c r="GF3" s="7">
        <v>1.0</v>
      </c>
      <c r="GG3" s="7">
        <v>1.0</v>
      </c>
      <c r="GH3" s="7">
        <v>1.0</v>
      </c>
      <c r="GI3" s="39">
        <f t="shared" ref="GI3:GI45" si="49"> if( GF3=1, if( GG3=1, if( GH3=1, 5, 3), if( GH3=1, 1, -3 ) ), if(GG3=1,if(GH3=1, -1, -2 ), if(GH3=1, 7, 0 ) ) )</f>
        <v>5</v>
      </c>
      <c r="GJ3" s="7">
        <v>1.0</v>
      </c>
      <c r="GK3" s="7">
        <v>1.0</v>
      </c>
      <c r="GL3" s="7">
        <v>1.0</v>
      </c>
      <c r="GM3" s="39">
        <f t="shared" ref="GM3:GM45" si="50"> if( GJ3=1, if( GK3=1, if( GL3=1, 5, 3), if( GL3=1, 1, -3 ) ), if(GK3=1,if(GL3=1, -1, -2 ), if(GL3=1, 7, 0 ) ) )</f>
        <v>5</v>
      </c>
      <c r="GN3" s="7">
        <v>1.0</v>
      </c>
      <c r="GO3" s="7">
        <v>1.0</v>
      </c>
      <c r="GP3" s="7">
        <v>1.0</v>
      </c>
      <c r="GQ3" s="39">
        <f t="shared" ref="GQ3:GQ11" si="51"> if( GN3=1, if( GO3=1, if( GP3=1, 5, 3), if( GP3=1, 1, -3 ) ), if(GO3=1,if(GP3=1, -1, -2 ), if(GP3=1, 7, 0 ) ) )</f>
        <v>5</v>
      </c>
      <c r="GR3" s="7">
        <v>1.0</v>
      </c>
      <c r="GS3" s="7">
        <v>1.0</v>
      </c>
      <c r="GT3" s="7">
        <v>1.0</v>
      </c>
      <c r="GU3" s="39">
        <f t="shared" ref="GU3:GU10" si="52"> if( GR3=1, if( GS3=1, if( GT3=1, 5, 3), if( GT3=1, 1, -3 ) ), if(GS3=1,if(GT3=1, -1, -2 ), if(GT3=1, 7, 0 ) ) )</f>
        <v>5</v>
      </c>
      <c r="GV3" s="7">
        <v>1.0</v>
      </c>
      <c r="GW3" s="7">
        <v>1.0</v>
      </c>
      <c r="GX3" s="7">
        <v>1.0</v>
      </c>
      <c r="GY3" s="39">
        <f t="shared" ref="GY3:GY45" si="53"> if( GV3=1, if( GW3=1, if( GX3=1, 5, 3), if( GX3=1, 1, -3 ) ), if(GW3=1,if(GX3=1, -1, -2 ), if(GX3=1, 7, 0 ) ) )</f>
        <v>5</v>
      </c>
      <c r="GZ3" s="7">
        <v>1.0</v>
      </c>
      <c r="HA3" s="7">
        <v>1.0</v>
      </c>
      <c r="HB3" s="7"/>
      <c r="HC3" s="39">
        <f t="shared" ref="HC3:HC10" si="54"> if( GZ3=1, if( HA3=1, if( HB3=1, 5, 3), if( HB3=1, 1, -3 ) ), if(HA3=1,if(HB3=1, -1, -2 ), if(HB3=1, 7, 0 ) ) )</f>
        <v>3</v>
      </c>
      <c r="HD3" s="7">
        <v>1.0</v>
      </c>
      <c r="HE3" s="7">
        <v>1.0</v>
      </c>
      <c r="HF3" s="7">
        <v>1.0</v>
      </c>
      <c r="HG3" s="39">
        <f t="shared" ref="HG3:HG20" si="55"> if( HD3=1, if( HE3=1, if( HF3=1, 5, 3), if( HF3=1, 1, -3 ) ), if(HE3=1,if(HF3=1, -1, -2 ), if(HF3=1, 7, 0 ) ) )</f>
        <v>5</v>
      </c>
      <c r="HH3" s="7">
        <v>1.0</v>
      </c>
      <c r="HI3" s="7">
        <v>1.0</v>
      </c>
      <c r="HJ3" s="7">
        <v>1.0</v>
      </c>
      <c r="HK3" s="39">
        <f t="shared" ref="HK3:HK45" si="56"> if( HH3=1, if( HI3=1, if( HJ3=1, 5, 3), if( HJ3=1, 1, -3 ) ), if(HI3=1,if(HJ3=1, -1, -2 ), if(HJ3=1, 7, 0 ) ) )</f>
        <v>5</v>
      </c>
    </row>
    <row r="4">
      <c r="A4" s="20" t="s">
        <v>35</v>
      </c>
      <c r="B4" s="23" t="s">
        <v>43</v>
      </c>
      <c r="C4" s="1">
        <f t="shared" si="1"/>
        <v>2</v>
      </c>
      <c r="D4" s="15">
        <f>VLOOKUP(A4,TDP!A:C,3,FALSE)</f>
        <v>0.41</v>
      </c>
      <c r="E4" s="37">
        <f t="shared" si="2"/>
        <v>300.33</v>
      </c>
      <c r="F4" s="7">
        <v>1.0</v>
      </c>
      <c r="G4" s="39">
        <f t="shared" si="3"/>
        <v>7</v>
      </c>
      <c r="H4" s="7"/>
      <c r="I4" s="7"/>
      <c r="J4" s="7"/>
      <c r="K4" s="39">
        <f t="shared" si="4"/>
        <v>0</v>
      </c>
      <c r="L4" s="7">
        <v>1.0</v>
      </c>
      <c r="M4" s="7">
        <v>1.0</v>
      </c>
      <c r="N4" s="7">
        <v>1.0</v>
      </c>
      <c r="O4" s="39">
        <f t="shared" si="5"/>
        <v>5</v>
      </c>
      <c r="P4" s="7"/>
      <c r="Q4" s="7"/>
      <c r="R4" s="7"/>
      <c r="S4" s="39">
        <f t="shared" si="6"/>
        <v>0</v>
      </c>
      <c r="T4" s="7"/>
      <c r="U4" s="7"/>
      <c r="V4" s="7"/>
      <c r="W4" s="39">
        <f t="shared" si="7"/>
        <v>0</v>
      </c>
      <c r="X4" s="7"/>
      <c r="Y4" s="7"/>
      <c r="Z4" s="7"/>
      <c r="AA4" s="39">
        <f t="shared" si="8"/>
        <v>0</v>
      </c>
      <c r="AB4" s="7">
        <v>1.0</v>
      </c>
      <c r="AC4" s="7">
        <v>1.0</v>
      </c>
      <c r="AD4" s="7">
        <v>1.0</v>
      </c>
      <c r="AE4" s="39">
        <f t="shared" si="9"/>
        <v>5</v>
      </c>
      <c r="AF4" s="7">
        <v>1.0</v>
      </c>
      <c r="AG4" s="7">
        <v>1.0</v>
      </c>
      <c r="AH4" s="7">
        <v>1.0</v>
      </c>
      <c r="AI4" s="39">
        <f t="shared" si="10"/>
        <v>5</v>
      </c>
      <c r="AJ4" s="7">
        <v>1.0</v>
      </c>
      <c r="AK4" s="7">
        <v>1.0</v>
      </c>
      <c r="AL4" s="7">
        <v>1.0</v>
      </c>
      <c r="AM4" s="39">
        <f t="shared" si="11"/>
        <v>5</v>
      </c>
      <c r="AN4" s="7">
        <v>1.0</v>
      </c>
      <c r="AO4" s="7">
        <v>1.0</v>
      </c>
      <c r="AP4" s="7">
        <v>1.0</v>
      </c>
      <c r="AQ4" s="39">
        <f t="shared" si="12"/>
        <v>5</v>
      </c>
      <c r="AR4" s="41"/>
      <c r="AS4" s="41"/>
      <c r="AT4" s="41"/>
      <c r="AU4" s="42">
        <f t="shared" si="13"/>
        <v>0</v>
      </c>
      <c r="AV4" s="7">
        <v>1.0</v>
      </c>
      <c r="AW4" s="7">
        <v>1.0</v>
      </c>
      <c r="AX4" s="7">
        <v>1.0</v>
      </c>
      <c r="AY4" s="39">
        <f t="shared" si="14"/>
        <v>5</v>
      </c>
      <c r="AZ4" s="7">
        <v>1.0</v>
      </c>
      <c r="BA4" s="7">
        <v>1.0</v>
      </c>
      <c r="BB4" s="7">
        <v>1.0</v>
      </c>
      <c r="BC4" s="39">
        <f t="shared" si="15"/>
        <v>5</v>
      </c>
      <c r="BD4" s="7">
        <v>1.0</v>
      </c>
      <c r="BE4" s="7">
        <v>1.0</v>
      </c>
      <c r="BF4" s="7">
        <v>1.0</v>
      </c>
      <c r="BG4" s="39">
        <f t="shared" si="16"/>
        <v>5</v>
      </c>
      <c r="BH4" s="7">
        <v>1.0</v>
      </c>
      <c r="BI4" s="7">
        <v>1.0</v>
      </c>
      <c r="BJ4" s="7">
        <v>1.0</v>
      </c>
      <c r="BK4" s="39">
        <f t="shared" si="17"/>
        <v>5</v>
      </c>
      <c r="BL4" s="7">
        <v>1.0</v>
      </c>
      <c r="BM4" s="7">
        <v>1.0</v>
      </c>
      <c r="BN4" s="7">
        <v>1.0</v>
      </c>
      <c r="BO4" s="39">
        <f t="shared" si="18"/>
        <v>5</v>
      </c>
      <c r="BP4" s="7"/>
      <c r="BQ4" s="7"/>
      <c r="BR4" s="7"/>
      <c r="BS4" s="39">
        <f t="shared" si="19"/>
        <v>0</v>
      </c>
      <c r="BT4" s="7">
        <v>1.0</v>
      </c>
      <c r="BU4" s="7">
        <v>1.0</v>
      </c>
      <c r="BV4" s="7">
        <v>1.0</v>
      </c>
      <c r="BW4" s="39">
        <f t="shared" si="20"/>
        <v>5</v>
      </c>
      <c r="BX4" s="7">
        <v>1.0</v>
      </c>
      <c r="BY4" s="7">
        <v>1.0</v>
      </c>
      <c r="BZ4" s="7">
        <v>1.0</v>
      </c>
      <c r="CA4" s="39">
        <f t="shared" si="21"/>
        <v>5</v>
      </c>
      <c r="CB4" s="7">
        <v>1.0</v>
      </c>
      <c r="CC4" s="7">
        <v>1.0</v>
      </c>
      <c r="CD4" s="7">
        <v>1.0</v>
      </c>
      <c r="CE4" s="39">
        <f t="shared" si="22"/>
        <v>5</v>
      </c>
      <c r="CF4" s="7">
        <v>1.0</v>
      </c>
      <c r="CG4" s="7">
        <v>1.0</v>
      </c>
      <c r="CH4" s="7">
        <v>1.0</v>
      </c>
      <c r="CI4" s="39">
        <f t="shared" si="23"/>
        <v>5</v>
      </c>
      <c r="CJ4" s="7">
        <v>1.0</v>
      </c>
      <c r="CK4" s="7">
        <v>1.0</v>
      </c>
      <c r="CL4" s="7">
        <v>1.0</v>
      </c>
      <c r="CM4" s="39">
        <f t="shared" si="24"/>
        <v>5</v>
      </c>
      <c r="CN4" s="7">
        <v>1.0</v>
      </c>
      <c r="CO4" s="7">
        <v>1.0</v>
      </c>
      <c r="CP4" s="7">
        <v>1.0</v>
      </c>
      <c r="CQ4" s="39">
        <f t="shared" si="25"/>
        <v>5</v>
      </c>
      <c r="CR4" s="7">
        <v>1.0</v>
      </c>
      <c r="CS4" s="7">
        <v>1.0</v>
      </c>
      <c r="CT4" s="7">
        <v>1.0</v>
      </c>
      <c r="CU4" s="39">
        <f t="shared" si="26"/>
        <v>5</v>
      </c>
      <c r="CV4" s="7"/>
      <c r="CW4" s="7"/>
      <c r="CX4" s="7"/>
      <c r="CY4" s="39">
        <f t="shared" si="27"/>
        <v>0</v>
      </c>
      <c r="CZ4" s="7">
        <v>1.0</v>
      </c>
      <c r="DA4" s="7">
        <v>1.0</v>
      </c>
      <c r="DB4" s="7"/>
      <c r="DC4" s="39">
        <f t="shared" si="28"/>
        <v>3</v>
      </c>
      <c r="DD4" s="7">
        <v>1.0</v>
      </c>
      <c r="DE4" s="7">
        <v>1.0</v>
      </c>
      <c r="DF4" s="7"/>
      <c r="DG4" s="39">
        <f t="shared" si="29"/>
        <v>3</v>
      </c>
      <c r="DH4" s="7">
        <v>1.0</v>
      </c>
      <c r="DI4" s="7">
        <v>1.0</v>
      </c>
      <c r="DJ4" s="7">
        <v>1.0</v>
      </c>
      <c r="DK4" s="39">
        <f t="shared" si="30"/>
        <v>5</v>
      </c>
      <c r="DL4" s="7"/>
      <c r="DM4" s="7"/>
      <c r="DN4" s="7"/>
      <c r="DO4" s="39">
        <f t="shared" si="31"/>
        <v>0</v>
      </c>
      <c r="DP4" s="7">
        <v>1.0</v>
      </c>
      <c r="DQ4" s="7">
        <v>1.0</v>
      </c>
      <c r="DR4" s="7">
        <v>1.0</v>
      </c>
      <c r="DS4" s="39">
        <f t="shared" si="32"/>
        <v>5</v>
      </c>
      <c r="DT4" s="7">
        <v>1.0</v>
      </c>
      <c r="DU4" s="7">
        <v>1.0</v>
      </c>
      <c r="DV4" s="7">
        <v>1.0</v>
      </c>
      <c r="DW4" s="39">
        <f t="shared" si="33"/>
        <v>5</v>
      </c>
      <c r="DX4" s="7">
        <v>1.0</v>
      </c>
      <c r="DY4" s="7">
        <v>1.0</v>
      </c>
      <c r="DZ4" s="7">
        <v>1.0</v>
      </c>
      <c r="EA4" s="39">
        <f t="shared" si="34"/>
        <v>5</v>
      </c>
      <c r="EB4" s="7">
        <v>1.0</v>
      </c>
      <c r="EC4" s="7">
        <v>1.0</v>
      </c>
      <c r="ED4" s="7">
        <v>1.0</v>
      </c>
      <c r="EE4" s="39">
        <f t="shared" si="35"/>
        <v>5</v>
      </c>
      <c r="EF4" s="7">
        <v>1.0</v>
      </c>
      <c r="EG4" s="7">
        <v>1.0</v>
      </c>
      <c r="EH4" s="7">
        <v>1.0</v>
      </c>
      <c r="EI4" s="39">
        <f t="shared" si="36"/>
        <v>5</v>
      </c>
      <c r="EJ4" s="7">
        <v>1.0</v>
      </c>
      <c r="EK4" s="7">
        <v>1.0</v>
      </c>
      <c r="EL4" s="7">
        <v>1.0</v>
      </c>
      <c r="EM4" s="39">
        <f t="shared" si="37"/>
        <v>5</v>
      </c>
      <c r="EN4" s="7"/>
      <c r="EO4" s="7"/>
      <c r="EP4" s="7"/>
      <c r="EQ4" s="39">
        <f t="shared" si="38"/>
        <v>0</v>
      </c>
      <c r="ER4" s="7"/>
      <c r="ES4" s="7"/>
      <c r="ET4" s="7"/>
      <c r="EU4" s="39">
        <f t="shared" si="39"/>
        <v>0</v>
      </c>
      <c r="EV4" s="7"/>
      <c r="EW4" s="7"/>
      <c r="EX4" s="7"/>
      <c r="EY4" s="39">
        <f t="shared" si="40"/>
        <v>0</v>
      </c>
      <c r="EZ4" s="7">
        <v>1.0</v>
      </c>
      <c r="FA4" s="7">
        <v>1.0</v>
      </c>
      <c r="FB4" s="7">
        <v>1.0</v>
      </c>
      <c r="FC4" s="39">
        <f t="shared" si="41"/>
        <v>5</v>
      </c>
      <c r="FD4" s="7"/>
      <c r="FE4" s="7"/>
      <c r="FF4" s="7">
        <v>1.0</v>
      </c>
      <c r="FG4" s="39">
        <f t="shared" si="42"/>
        <v>7</v>
      </c>
      <c r="FH4" s="7">
        <v>1.0</v>
      </c>
      <c r="FI4" s="7">
        <v>1.0</v>
      </c>
      <c r="FJ4" s="7">
        <v>1.0</v>
      </c>
      <c r="FK4" s="39">
        <f t="shared" si="43"/>
        <v>5</v>
      </c>
      <c r="FL4" s="7">
        <v>1.0</v>
      </c>
      <c r="FM4" s="7">
        <v>1.0</v>
      </c>
      <c r="FN4" s="7">
        <v>1.0</v>
      </c>
      <c r="FO4" s="39">
        <f t="shared" si="44"/>
        <v>5</v>
      </c>
      <c r="FP4" s="7">
        <v>1.0</v>
      </c>
      <c r="FQ4" s="7">
        <v>1.0</v>
      </c>
      <c r="FR4" s="7">
        <v>1.0</v>
      </c>
      <c r="FS4" s="39">
        <f t="shared" si="45"/>
        <v>5</v>
      </c>
      <c r="FT4" s="7"/>
      <c r="FU4" s="7"/>
      <c r="FV4" s="7">
        <v>1.0</v>
      </c>
      <c r="FW4" s="39">
        <f t="shared" si="46"/>
        <v>7</v>
      </c>
      <c r="FX4" s="7">
        <v>1.0</v>
      </c>
      <c r="FY4" s="7">
        <v>1.0</v>
      </c>
      <c r="FZ4" s="7">
        <v>1.0</v>
      </c>
      <c r="GA4" s="39">
        <f t="shared" si="47"/>
        <v>5</v>
      </c>
      <c r="GB4" s="7">
        <v>1.0</v>
      </c>
      <c r="GC4" s="7">
        <v>1.0</v>
      </c>
      <c r="GD4" s="7">
        <v>1.0</v>
      </c>
      <c r="GE4" s="39">
        <f t="shared" si="48"/>
        <v>5</v>
      </c>
      <c r="GF4" s="7">
        <v>1.0</v>
      </c>
      <c r="GG4" s="7">
        <v>1.0</v>
      </c>
      <c r="GH4" s="7">
        <v>1.0</v>
      </c>
      <c r="GI4" s="39">
        <f t="shared" si="49"/>
        <v>5</v>
      </c>
      <c r="GJ4" s="7">
        <v>1.0</v>
      </c>
      <c r="GK4" s="7">
        <v>1.0</v>
      </c>
      <c r="GL4" s="7">
        <v>1.0</v>
      </c>
      <c r="GM4" s="39">
        <f t="shared" si="50"/>
        <v>5</v>
      </c>
      <c r="GN4" s="7">
        <v>1.0</v>
      </c>
      <c r="GO4" s="7">
        <v>1.0</v>
      </c>
      <c r="GP4" s="7">
        <v>1.0</v>
      </c>
      <c r="GQ4" s="39">
        <f t="shared" si="51"/>
        <v>5</v>
      </c>
      <c r="GR4" s="7">
        <v>1.0</v>
      </c>
      <c r="GS4" s="7">
        <v>1.0</v>
      </c>
      <c r="GT4" s="7">
        <v>1.0</v>
      </c>
      <c r="GU4" s="39">
        <f t="shared" si="52"/>
        <v>5</v>
      </c>
      <c r="GV4" s="7">
        <v>1.0</v>
      </c>
      <c r="GW4" s="7">
        <v>1.0</v>
      </c>
      <c r="GX4" s="7">
        <v>1.0</v>
      </c>
      <c r="GY4" s="39">
        <f t="shared" si="53"/>
        <v>5</v>
      </c>
      <c r="GZ4" s="7">
        <v>1.0</v>
      </c>
      <c r="HA4" s="7">
        <v>1.0</v>
      </c>
      <c r="HB4" s="7"/>
      <c r="HC4" s="39">
        <f t="shared" si="54"/>
        <v>3</v>
      </c>
      <c r="HD4" s="7">
        <v>1.0</v>
      </c>
      <c r="HE4" s="7">
        <v>1.0</v>
      </c>
      <c r="HF4" s="7"/>
      <c r="HG4" s="39">
        <f t="shared" si="55"/>
        <v>3</v>
      </c>
      <c r="HH4" s="7">
        <v>1.0</v>
      </c>
      <c r="HI4" s="7">
        <v>1.0</v>
      </c>
      <c r="HJ4" s="7">
        <v>1.0</v>
      </c>
      <c r="HK4" s="39">
        <f t="shared" si="56"/>
        <v>5</v>
      </c>
    </row>
    <row r="5">
      <c r="A5" s="4" t="s">
        <v>12</v>
      </c>
      <c r="B5" s="7" t="s">
        <v>13</v>
      </c>
      <c r="C5" s="1">
        <f t="shared" si="1"/>
        <v>3</v>
      </c>
      <c r="D5" s="15">
        <f>VLOOKUP(A5,TDP!A:C,3,FALSE)</f>
        <v>0.56</v>
      </c>
      <c r="E5" s="37">
        <f t="shared" si="2"/>
        <v>268.32</v>
      </c>
      <c r="F5" s="7"/>
      <c r="G5" s="39">
        <f t="shared" ref="G5:G6" si="57">if($F5=1, 7, 0 )</f>
        <v>0</v>
      </c>
      <c r="H5" s="7">
        <v>1.0</v>
      </c>
      <c r="I5" s="7">
        <v>1.0</v>
      </c>
      <c r="J5" s="7">
        <v>1.0</v>
      </c>
      <c r="K5" s="39">
        <f t="shared" si="4"/>
        <v>5</v>
      </c>
      <c r="L5" s="7"/>
      <c r="M5" s="7"/>
      <c r="N5" s="7"/>
      <c r="O5" s="39">
        <f t="shared" si="5"/>
        <v>0</v>
      </c>
      <c r="P5" s="7">
        <v>1.0</v>
      </c>
      <c r="Q5" s="7">
        <v>1.0</v>
      </c>
      <c r="R5" s="7">
        <v>1.0</v>
      </c>
      <c r="S5" s="39">
        <f t="shared" si="6"/>
        <v>5</v>
      </c>
      <c r="T5" s="7"/>
      <c r="U5" s="7"/>
      <c r="V5" s="7"/>
      <c r="W5" s="39">
        <f t="shared" si="7"/>
        <v>0</v>
      </c>
      <c r="X5" s="7"/>
      <c r="Y5" s="7"/>
      <c r="Z5" s="7">
        <v>1.0</v>
      </c>
      <c r="AA5" s="39">
        <f t="shared" si="8"/>
        <v>7</v>
      </c>
      <c r="AB5" s="7"/>
      <c r="AC5" s="7"/>
      <c r="AD5" s="7"/>
      <c r="AE5" s="39">
        <f t="shared" si="9"/>
        <v>0</v>
      </c>
      <c r="AF5" s="7">
        <v>1.0</v>
      </c>
      <c r="AG5" s="7">
        <v>1.0</v>
      </c>
      <c r="AH5" s="7"/>
      <c r="AI5" s="39">
        <f t="shared" si="10"/>
        <v>3</v>
      </c>
      <c r="AJ5" s="7">
        <v>1.0</v>
      </c>
      <c r="AK5" s="7">
        <v>1.0</v>
      </c>
      <c r="AL5" s="7"/>
      <c r="AM5" s="39">
        <f t="shared" si="11"/>
        <v>3</v>
      </c>
      <c r="AN5" s="7">
        <v>1.0</v>
      </c>
      <c r="AO5" s="7">
        <v>1.0</v>
      </c>
      <c r="AP5" s="7"/>
      <c r="AQ5" s="39">
        <f t="shared" si="12"/>
        <v>3</v>
      </c>
      <c r="AR5" s="41"/>
      <c r="AS5" s="41"/>
      <c r="AT5" s="41"/>
      <c r="AU5" s="42">
        <f t="shared" si="13"/>
        <v>0</v>
      </c>
      <c r="AV5" s="7">
        <v>1.0</v>
      </c>
      <c r="AW5" s="7">
        <v>1.0</v>
      </c>
      <c r="AX5" s="7">
        <v>1.0</v>
      </c>
      <c r="AY5" s="39">
        <f t="shared" si="14"/>
        <v>5</v>
      </c>
      <c r="AZ5" s="7">
        <v>1.0</v>
      </c>
      <c r="BA5" s="7">
        <v>1.0</v>
      </c>
      <c r="BB5" s="7"/>
      <c r="BC5" s="39">
        <f t="shared" si="15"/>
        <v>3</v>
      </c>
      <c r="BD5" s="7">
        <v>1.0</v>
      </c>
      <c r="BE5" s="7">
        <v>1.0</v>
      </c>
      <c r="BF5" s="7"/>
      <c r="BG5" s="39">
        <f t="shared" si="16"/>
        <v>3</v>
      </c>
      <c r="BH5" s="7">
        <v>1.0</v>
      </c>
      <c r="BI5" s="7">
        <v>1.0</v>
      </c>
      <c r="BJ5" s="7"/>
      <c r="BK5" s="39">
        <f t="shared" si="17"/>
        <v>3</v>
      </c>
      <c r="BL5" s="7">
        <v>1.0</v>
      </c>
      <c r="BM5" s="7">
        <v>1.0</v>
      </c>
      <c r="BN5" s="7"/>
      <c r="BO5" s="39">
        <f t="shared" si="18"/>
        <v>3</v>
      </c>
      <c r="BP5" s="7">
        <v>1.0</v>
      </c>
      <c r="BQ5" s="7">
        <v>1.0</v>
      </c>
      <c r="BR5" s="7"/>
      <c r="BS5" s="39">
        <f t="shared" si="19"/>
        <v>3</v>
      </c>
      <c r="BT5" s="7">
        <v>1.0</v>
      </c>
      <c r="BU5" s="7">
        <v>1.0</v>
      </c>
      <c r="BV5" s="7">
        <v>1.0</v>
      </c>
      <c r="BW5" s="39">
        <f t="shared" si="20"/>
        <v>5</v>
      </c>
      <c r="BX5" s="7"/>
      <c r="BY5" s="7"/>
      <c r="BZ5" s="7"/>
      <c r="CA5" s="39">
        <f t="shared" si="21"/>
        <v>0</v>
      </c>
      <c r="CB5" s="7">
        <v>1.0</v>
      </c>
      <c r="CC5" s="7">
        <v>1.0</v>
      </c>
      <c r="CD5" s="7">
        <v>1.0</v>
      </c>
      <c r="CE5" s="39">
        <f t="shared" si="22"/>
        <v>5</v>
      </c>
      <c r="CF5" s="7">
        <v>1.0</v>
      </c>
      <c r="CG5" s="7">
        <v>1.0</v>
      </c>
      <c r="CH5" s="7"/>
      <c r="CI5" s="39">
        <f t="shared" si="23"/>
        <v>3</v>
      </c>
      <c r="CJ5" s="7">
        <v>1.0</v>
      </c>
      <c r="CK5" s="7">
        <v>1.0</v>
      </c>
      <c r="CL5" s="7">
        <v>1.0</v>
      </c>
      <c r="CM5" s="39">
        <f t="shared" si="24"/>
        <v>5</v>
      </c>
      <c r="CN5" s="7">
        <v>1.0</v>
      </c>
      <c r="CO5" s="7">
        <v>1.0</v>
      </c>
      <c r="CP5" s="7"/>
      <c r="CQ5" s="39">
        <f t="shared" si="25"/>
        <v>3</v>
      </c>
      <c r="CR5" s="7">
        <v>1.0</v>
      </c>
      <c r="CS5" s="7">
        <v>1.0</v>
      </c>
      <c r="CT5" s="7"/>
      <c r="CU5" s="39">
        <f t="shared" si="26"/>
        <v>3</v>
      </c>
      <c r="CV5" s="7">
        <v>1.0</v>
      </c>
      <c r="CW5" s="7">
        <v>1.0</v>
      </c>
      <c r="CX5" s="7">
        <v>1.0</v>
      </c>
      <c r="CY5" s="39">
        <f t="shared" si="27"/>
        <v>5</v>
      </c>
      <c r="CZ5" s="7">
        <v>1.0</v>
      </c>
      <c r="DA5" s="7">
        <v>1.0</v>
      </c>
      <c r="DB5" s="7"/>
      <c r="DC5" s="39">
        <f t="shared" si="28"/>
        <v>3</v>
      </c>
      <c r="DD5" s="7"/>
      <c r="DE5" s="7"/>
      <c r="DF5" s="7"/>
      <c r="DG5" s="39">
        <f t="shared" si="29"/>
        <v>0</v>
      </c>
      <c r="DH5" s="7"/>
      <c r="DI5" s="7"/>
      <c r="DJ5" s="7">
        <v>1.0</v>
      </c>
      <c r="DK5" s="39">
        <f t="shared" si="30"/>
        <v>7</v>
      </c>
      <c r="DL5" s="7"/>
      <c r="DM5" s="7"/>
      <c r="DN5" s="7"/>
      <c r="DO5" s="39">
        <f t="shared" si="31"/>
        <v>0</v>
      </c>
      <c r="DP5" s="7">
        <v>1.0</v>
      </c>
      <c r="DQ5" s="7">
        <v>1.0</v>
      </c>
      <c r="DR5" s="7">
        <v>1.0</v>
      </c>
      <c r="DS5" s="39">
        <f t="shared" si="32"/>
        <v>5</v>
      </c>
      <c r="DT5" s="7">
        <v>1.0</v>
      </c>
      <c r="DU5" s="7">
        <v>1.0</v>
      </c>
      <c r="DV5" s="7">
        <v>1.0</v>
      </c>
      <c r="DW5" s="39">
        <f t="shared" si="33"/>
        <v>5</v>
      </c>
      <c r="DX5" s="7"/>
      <c r="DY5" s="7"/>
      <c r="DZ5" s="7"/>
      <c r="EA5" s="39">
        <f t="shared" si="34"/>
        <v>0</v>
      </c>
      <c r="EB5" s="7">
        <v>1.0</v>
      </c>
      <c r="EC5" s="7">
        <v>1.0</v>
      </c>
      <c r="ED5" s="7">
        <v>1.0</v>
      </c>
      <c r="EE5" s="39">
        <f t="shared" si="35"/>
        <v>5</v>
      </c>
      <c r="EF5" s="7">
        <v>1.0</v>
      </c>
      <c r="EG5" s="7">
        <v>1.0</v>
      </c>
      <c r="EH5" s="7">
        <v>1.0</v>
      </c>
      <c r="EI5" s="39">
        <f t="shared" si="36"/>
        <v>5</v>
      </c>
      <c r="EJ5" s="7"/>
      <c r="EK5" s="7"/>
      <c r="EL5" s="7"/>
      <c r="EM5" s="39">
        <f t="shared" si="37"/>
        <v>0</v>
      </c>
      <c r="EN5" s="7"/>
      <c r="EO5" s="7"/>
      <c r="EP5" s="7"/>
      <c r="EQ5" s="39">
        <f t="shared" si="38"/>
        <v>0</v>
      </c>
      <c r="ER5" s="7"/>
      <c r="ES5" s="7"/>
      <c r="ET5" s="7"/>
      <c r="EU5" s="39">
        <f t="shared" si="39"/>
        <v>0</v>
      </c>
      <c r="EV5" s="7">
        <v>1.0</v>
      </c>
      <c r="EW5" s="7">
        <v>1.0</v>
      </c>
      <c r="EX5" s="7">
        <v>1.0</v>
      </c>
      <c r="EY5" s="39">
        <f t="shared" si="40"/>
        <v>5</v>
      </c>
      <c r="EZ5" s="7"/>
      <c r="FA5" s="7"/>
      <c r="FB5" s="7"/>
      <c r="FC5" s="39">
        <f t="shared" si="41"/>
        <v>0</v>
      </c>
      <c r="FD5" s="7">
        <v>1.0</v>
      </c>
      <c r="FE5" s="7">
        <v>1.0</v>
      </c>
      <c r="FF5" s="7"/>
      <c r="FG5" s="39">
        <f t="shared" si="42"/>
        <v>3</v>
      </c>
      <c r="FH5" s="7">
        <v>1.0</v>
      </c>
      <c r="FI5" s="7">
        <v>1.0</v>
      </c>
      <c r="FJ5" s="7"/>
      <c r="FK5" s="39">
        <f t="shared" si="43"/>
        <v>3</v>
      </c>
      <c r="FL5" s="7">
        <v>1.0</v>
      </c>
      <c r="FM5" s="7">
        <v>1.0</v>
      </c>
      <c r="FN5" s="7">
        <v>1.0</v>
      </c>
      <c r="FO5" s="39">
        <f t="shared" si="44"/>
        <v>5</v>
      </c>
      <c r="FP5" s="7">
        <v>1.0</v>
      </c>
      <c r="FQ5" s="7">
        <v>1.0</v>
      </c>
      <c r="FR5" s="7"/>
      <c r="FS5" s="39">
        <f t="shared" si="45"/>
        <v>3</v>
      </c>
      <c r="FT5" s="7">
        <v>1.0</v>
      </c>
      <c r="FU5" s="7">
        <v>1.0</v>
      </c>
      <c r="FV5" s="7">
        <v>1.0</v>
      </c>
      <c r="FW5" s="39">
        <f t="shared" si="46"/>
        <v>5</v>
      </c>
      <c r="FX5" s="7">
        <v>1.0</v>
      </c>
      <c r="FY5" s="7">
        <v>1.0</v>
      </c>
      <c r="FZ5" s="7">
        <v>1.0</v>
      </c>
      <c r="GA5" s="39">
        <f t="shared" si="47"/>
        <v>5</v>
      </c>
      <c r="GB5" s="7">
        <v>1.0</v>
      </c>
      <c r="GC5" s="7">
        <v>1.0</v>
      </c>
      <c r="GD5" s="7">
        <v>1.0</v>
      </c>
      <c r="GE5" s="39">
        <f t="shared" si="48"/>
        <v>5</v>
      </c>
      <c r="GF5" s="7">
        <v>1.0</v>
      </c>
      <c r="GG5" s="7">
        <v>1.0</v>
      </c>
      <c r="GH5" s="7">
        <v>1.0</v>
      </c>
      <c r="GI5" s="39">
        <f t="shared" si="49"/>
        <v>5</v>
      </c>
      <c r="GJ5" s="7">
        <v>1.0</v>
      </c>
      <c r="GK5" s="7">
        <v>1.0</v>
      </c>
      <c r="GL5" s="7">
        <v>1.0</v>
      </c>
      <c r="GM5" s="39">
        <f t="shared" si="50"/>
        <v>5</v>
      </c>
      <c r="GN5" s="7">
        <v>1.0</v>
      </c>
      <c r="GO5" s="7">
        <v>1.0</v>
      </c>
      <c r="GP5" s="7">
        <v>1.0</v>
      </c>
      <c r="GQ5" s="39">
        <f t="shared" si="51"/>
        <v>5</v>
      </c>
      <c r="GR5" s="7">
        <v>1.0</v>
      </c>
      <c r="GS5" s="7">
        <v>1.0</v>
      </c>
      <c r="GT5" s="7">
        <v>1.0</v>
      </c>
      <c r="GU5" s="39">
        <f t="shared" si="52"/>
        <v>5</v>
      </c>
      <c r="GV5" s="7">
        <v>1.0</v>
      </c>
      <c r="GW5" s="7">
        <v>1.0</v>
      </c>
      <c r="GX5" s="7">
        <v>1.0</v>
      </c>
      <c r="GY5" s="39">
        <f t="shared" si="53"/>
        <v>5</v>
      </c>
      <c r="GZ5" s="7">
        <v>1.0</v>
      </c>
      <c r="HA5" s="7">
        <v>1.0</v>
      </c>
      <c r="HB5" s="7"/>
      <c r="HC5" s="39">
        <f t="shared" si="54"/>
        <v>3</v>
      </c>
      <c r="HD5" s="7"/>
      <c r="HE5" s="7"/>
      <c r="HF5" s="7"/>
      <c r="HG5" s="39">
        <f t="shared" si="55"/>
        <v>0</v>
      </c>
      <c r="HH5" s="7">
        <v>1.0</v>
      </c>
      <c r="HI5" s="7">
        <v>1.0</v>
      </c>
      <c r="HJ5" s="7">
        <v>1.0</v>
      </c>
      <c r="HK5" s="39">
        <f t="shared" si="56"/>
        <v>5</v>
      </c>
    </row>
    <row r="6">
      <c r="A6" s="20" t="s">
        <v>22</v>
      </c>
      <c r="B6" s="21" t="s">
        <v>23</v>
      </c>
      <c r="C6" s="1">
        <f t="shared" si="1"/>
        <v>4</v>
      </c>
      <c r="D6" s="15">
        <f>VLOOKUP(A6,TDP!A:C,3,FALSE)</f>
        <v>0.51</v>
      </c>
      <c r="E6" s="37">
        <f t="shared" si="2"/>
        <v>238.58</v>
      </c>
      <c r="F6" s="7"/>
      <c r="G6" s="39">
        <f t="shared" si="57"/>
        <v>0</v>
      </c>
      <c r="H6" s="7">
        <v>1.0</v>
      </c>
      <c r="I6" s="7">
        <v>1.0</v>
      </c>
      <c r="J6" s="7"/>
      <c r="K6" s="39">
        <f t="shared" si="4"/>
        <v>3</v>
      </c>
      <c r="L6" s="7"/>
      <c r="M6" s="7"/>
      <c r="N6" s="7"/>
      <c r="O6" s="39">
        <f t="shared" si="5"/>
        <v>0</v>
      </c>
      <c r="P6" s="7">
        <v>1.0</v>
      </c>
      <c r="Q6" s="7">
        <v>1.0</v>
      </c>
      <c r="R6" s="7"/>
      <c r="S6" s="39">
        <f t="shared" si="6"/>
        <v>3</v>
      </c>
      <c r="T6" s="7"/>
      <c r="U6" s="7"/>
      <c r="V6" s="7"/>
      <c r="W6" s="39">
        <f t="shared" si="7"/>
        <v>0</v>
      </c>
      <c r="X6" s="7">
        <v>1.0</v>
      </c>
      <c r="Y6" s="7">
        <v>1.0</v>
      </c>
      <c r="Z6" s="7"/>
      <c r="AA6" s="39">
        <f t="shared" si="8"/>
        <v>3</v>
      </c>
      <c r="AB6" s="7">
        <v>1.0</v>
      </c>
      <c r="AC6" s="7">
        <v>1.0</v>
      </c>
      <c r="AD6" s="7">
        <v>1.0</v>
      </c>
      <c r="AE6" s="39">
        <f t="shared" si="9"/>
        <v>5</v>
      </c>
      <c r="AF6" s="7"/>
      <c r="AG6" s="7"/>
      <c r="AH6" s="7"/>
      <c r="AI6" s="39">
        <f t="shared" si="10"/>
        <v>0</v>
      </c>
      <c r="AJ6" s="7">
        <v>1.0</v>
      </c>
      <c r="AK6" s="7">
        <v>1.0</v>
      </c>
      <c r="AL6" s="7"/>
      <c r="AM6" s="39">
        <f t="shared" si="11"/>
        <v>3</v>
      </c>
      <c r="AN6" s="7">
        <v>1.0</v>
      </c>
      <c r="AO6" s="7">
        <v>1.0</v>
      </c>
      <c r="AP6" s="7"/>
      <c r="AQ6" s="39">
        <f t="shared" si="12"/>
        <v>3</v>
      </c>
      <c r="AR6" s="41"/>
      <c r="AS6" s="41"/>
      <c r="AT6" s="41"/>
      <c r="AU6" s="42">
        <f t="shared" si="13"/>
        <v>0</v>
      </c>
      <c r="AV6" s="7">
        <v>1.0</v>
      </c>
      <c r="AW6" s="7">
        <v>1.0</v>
      </c>
      <c r="AX6" s="7"/>
      <c r="AY6" s="39">
        <f t="shared" si="14"/>
        <v>3</v>
      </c>
      <c r="AZ6" s="7">
        <v>1.0</v>
      </c>
      <c r="BA6" s="7">
        <v>1.0</v>
      </c>
      <c r="BB6" s="7"/>
      <c r="BC6" s="39">
        <f t="shared" si="15"/>
        <v>3</v>
      </c>
      <c r="BD6" s="7">
        <v>1.0</v>
      </c>
      <c r="BE6" s="7">
        <v>1.0</v>
      </c>
      <c r="BF6" s="7"/>
      <c r="BG6" s="39">
        <f t="shared" si="16"/>
        <v>3</v>
      </c>
      <c r="BH6" s="7">
        <v>1.0</v>
      </c>
      <c r="BI6" s="7">
        <v>1.0</v>
      </c>
      <c r="BJ6" s="7"/>
      <c r="BK6" s="39">
        <f t="shared" si="17"/>
        <v>3</v>
      </c>
      <c r="BL6" s="7">
        <v>1.0</v>
      </c>
      <c r="BM6" s="7">
        <v>1.0</v>
      </c>
      <c r="BN6" s="7"/>
      <c r="BO6" s="39">
        <f t="shared" si="18"/>
        <v>3</v>
      </c>
      <c r="BP6" s="7"/>
      <c r="BQ6" s="7"/>
      <c r="BR6" s="7"/>
      <c r="BS6" s="39">
        <f t="shared" si="19"/>
        <v>0</v>
      </c>
      <c r="BT6" s="7">
        <v>1.0</v>
      </c>
      <c r="BU6" s="7">
        <v>1.0</v>
      </c>
      <c r="BV6" s="7">
        <v>1.0</v>
      </c>
      <c r="BW6" s="39">
        <f t="shared" si="20"/>
        <v>5</v>
      </c>
      <c r="BX6" s="7">
        <v>1.0</v>
      </c>
      <c r="BY6" s="7">
        <v>1.0</v>
      </c>
      <c r="BZ6" s="7"/>
      <c r="CA6" s="39">
        <f t="shared" si="21"/>
        <v>3</v>
      </c>
      <c r="CB6" s="7">
        <v>1.0</v>
      </c>
      <c r="CC6" s="7">
        <v>1.0</v>
      </c>
      <c r="CD6" s="7">
        <v>1.0</v>
      </c>
      <c r="CE6" s="39">
        <f t="shared" si="22"/>
        <v>5</v>
      </c>
      <c r="CF6" s="7">
        <v>1.0</v>
      </c>
      <c r="CG6" s="7">
        <v>1.0</v>
      </c>
      <c r="CH6" s="7">
        <v>1.0</v>
      </c>
      <c r="CI6" s="39">
        <f t="shared" si="23"/>
        <v>5</v>
      </c>
      <c r="CJ6" s="7"/>
      <c r="CK6" s="7"/>
      <c r="CL6" s="7"/>
      <c r="CM6" s="39">
        <f t="shared" si="24"/>
        <v>0</v>
      </c>
      <c r="CN6" s="7">
        <v>1.0</v>
      </c>
      <c r="CO6" s="7">
        <v>1.0</v>
      </c>
      <c r="CP6" s="7">
        <v>1.0</v>
      </c>
      <c r="CQ6" s="39">
        <f t="shared" si="25"/>
        <v>5</v>
      </c>
      <c r="CR6" s="7"/>
      <c r="CS6" s="7"/>
      <c r="CT6" s="7"/>
      <c r="CU6" s="39">
        <f t="shared" si="26"/>
        <v>0</v>
      </c>
      <c r="CV6" s="7">
        <v>1.0</v>
      </c>
      <c r="CW6" s="7">
        <v>1.0</v>
      </c>
      <c r="CX6" s="7">
        <v>1.0</v>
      </c>
      <c r="CY6" s="39">
        <f t="shared" si="27"/>
        <v>5</v>
      </c>
      <c r="CZ6" s="7"/>
      <c r="DA6" s="7"/>
      <c r="DB6" s="7"/>
      <c r="DC6" s="39">
        <f t="shared" si="28"/>
        <v>0</v>
      </c>
      <c r="DD6" s="7"/>
      <c r="DE6" s="7"/>
      <c r="DF6" s="7"/>
      <c r="DG6" s="39">
        <f t="shared" si="29"/>
        <v>0</v>
      </c>
      <c r="DH6" s="7">
        <v>1.0</v>
      </c>
      <c r="DI6" s="7">
        <v>1.0</v>
      </c>
      <c r="DJ6" s="7">
        <v>1.0</v>
      </c>
      <c r="DK6" s="39">
        <f t="shared" si="30"/>
        <v>5</v>
      </c>
      <c r="DL6" s="7">
        <v>1.0</v>
      </c>
      <c r="DM6" s="7">
        <v>1.0</v>
      </c>
      <c r="DN6" s="7">
        <v>1.0</v>
      </c>
      <c r="DO6" s="39">
        <f t="shared" si="31"/>
        <v>5</v>
      </c>
      <c r="DP6" s="7"/>
      <c r="DQ6" s="7"/>
      <c r="DR6" s="7"/>
      <c r="DS6" s="39">
        <f t="shared" si="32"/>
        <v>0</v>
      </c>
      <c r="DT6" s="7"/>
      <c r="DU6" s="7"/>
      <c r="DV6" s="7"/>
      <c r="DW6" s="39">
        <f t="shared" si="33"/>
        <v>0</v>
      </c>
      <c r="DX6" s="7"/>
      <c r="DY6" s="7"/>
      <c r="DZ6" s="7"/>
      <c r="EA6" s="39">
        <f t="shared" si="34"/>
        <v>0</v>
      </c>
      <c r="EB6" s="7">
        <v>1.0</v>
      </c>
      <c r="EC6" s="7">
        <v>1.0</v>
      </c>
      <c r="ED6" s="7">
        <v>1.0</v>
      </c>
      <c r="EE6" s="39">
        <f t="shared" si="35"/>
        <v>5</v>
      </c>
      <c r="EF6" s="7">
        <v>1.0</v>
      </c>
      <c r="EG6" s="7">
        <v>1.0</v>
      </c>
      <c r="EH6" s="7">
        <v>1.0</v>
      </c>
      <c r="EI6" s="39">
        <f t="shared" si="36"/>
        <v>5</v>
      </c>
      <c r="EJ6" s="7">
        <v>1.0</v>
      </c>
      <c r="EK6" s="7">
        <v>1.0</v>
      </c>
      <c r="EL6" s="7">
        <v>1.0</v>
      </c>
      <c r="EM6" s="39">
        <f t="shared" si="37"/>
        <v>5</v>
      </c>
      <c r="EN6" s="7"/>
      <c r="EO6" s="7"/>
      <c r="EP6" s="7"/>
      <c r="EQ6" s="39">
        <f t="shared" si="38"/>
        <v>0</v>
      </c>
      <c r="ER6" s="7">
        <v>1.0</v>
      </c>
      <c r="ES6" s="7">
        <v>1.0</v>
      </c>
      <c r="ET6" s="7"/>
      <c r="EU6" s="39">
        <f t="shared" si="39"/>
        <v>3</v>
      </c>
      <c r="EV6" s="7">
        <v>1.0</v>
      </c>
      <c r="EW6" s="7">
        <v>1.0</v>
      </c>
      <c r="EX6" s="7">
        <v>1.0</v>
      </c>
      <c r="EY6" s="39">
        <f t="shared" si="40"/>
        <v>5</v>
      </c>
      <c r="EZ6" s="7">
        <v>1.0</v>
      </c>
      <c r="FA6" s="7">
        <v>1.0</v>
      </c>
      <c r="FB6" s="7"/>
      <c r="FC6" s="39">
        <f t="shared" si="41"/>
        <v>3</v>
      </c>
      <c r="FD6" s="7">
        <v>1.0</v>
      </c>
      <c r="FE6" s="7">
        <v>1.0</v>
      </c>
      <c r="FF6" s="7">
        <v>1.0</v>
      </c>
      <c r="FG6" s="39">
        <f t="shared" si="42"/>
        <v>5</v>
      </c>
      <c r="FH6" s="7">
        <v>1.0</v>
      </c>
      <c r="FI6" s="7">
        <v>1.0</v>
      </c>
      <c r="FJ6" s="7">
        <v>1.0</v>
      </c>
      <c r="FK6" s="39">
        <f t="shared" si="43"/>
        <v>5</v>
      </c>
      <c r="FL6" s="7">
        <v>1.0</v>
      </c>
      <c r="FM6" s="7">
        <v>1.0</v>
      </c>
      <c r="FN6" s="7">
        <v>1.0</v>
      </c>
      <c r="FO6" s="39">
        <f t="shared" si="44"/>
        <v>5</v>
      </c>
      <c r="FP6" s="7">
        <v>1.0</v>
      </c>
      <c r="FQ6" s="7">
        <v>1.0</v>
      </c>
      <c r="FR6" s="7">
        <v>1.0</v>
      </c>
      <c r="FS6" s="39">
        <f t="shared" si="45"/>
        <v>5</v>
      </c>
      <c r="FT6" s="7">
        <v>1.0</v>
      </c>
      <c r="FU6" s="7">
        <v>1.0</v>
      </c>
      <c r="FV6" s="7">
        <v>1.0</v>
      </c>
      <c r="FW6" s="39">
        <f t="shared" si="46"/>
        <v>5</v>
      </c>
      <c r="FX6" s="7">
        <v>1.0</v>
      </c>
      <c r="FY6" s="7">
        <v>1.0</v>
      </c>
      <c r="FZ6" s="7">
        <v>1.0</v>
      </c>
      <c r="GA6" s="39">
        <f t="shared" si="47"/>
        <v>5</v>
      </c>
      <c r="GB6" s="7">
        <v>1.0</v>
      </c>
      <c r="GC6" s="7">
        <v>1.0</v>
      </c>
      <c r="GD6" s="7">
        <v>1.0</v>
      </c>
      <c r="GE6" s="39">
        <f t="shared" si="48"/>
        <v>5</v>
      </c>
      <c r="GF6" s="7"/>
      <c r="GG6" s="7"/>
      <c r="GH6" s="7"/>
      <c r="GI6" s="39">
        <f t="shared" si="49"/>
        <v>0</v>
      </c>
      <c r="GJ6" s="7">
        <v>1.0</v>
      </c>
      <c r="GK6" s="7">
        <v>1.0</v>
      </c>
      <c r="GL6" s="7">
        <v>1.0</v>
      </c>
      <c r="GM6" s="39">
        <f t="shared" si="50"/>
        <v>5</v>
      </c>
      <c r="GN6" s="7">
        <v>1.0</v>
      </c>
      <c r="GO6" s="7">
        <v>1.0</v>
      </c>
      <c r="GP6" s="7">
        <v>1.0</v>
      </c>
      <c r="GQ6" s="39">
        <f t="shared" si="51"/>
        <v>5</v>
      </c>
      <c r="GR6" s="7">
        <v>1.0</v>
      </c>
      <c r="GS6" s="7">
        <v>1.0</v>
      </c>
      <c r="GT6" s="7">
        <v>1.0</v>
      </c>
      <c r="GU6" s="39">
        <f t="shared" si="52"/>
        <v>5</v>
      </c>
      <c r="GV6" s="7">
        <v>1.0</v>
      </c>
      <c r="GW6" s="7">
        <v>1.0</v>
      </c>
      <c r="GX6" s="7"/>
      <c r="GY6" s="39">
        <f t="shared" si="53"/>
        <v>3</v>
      </c>
      <c r="GZ6" s="7">
        <v>1.0</v>
      </c>
      <c r="HA6" s="7">
        <v>1.0</v>
      </c>
      <c r="HB6" s="7"/>
      <c r="HC6" s="39">
        <f t="shared" si="54"/>
        <v>3</v>
      </c>
      <c r="HD6" s="7">
        <v>1.0</v>
      </c>
      <c r="HE6" s="7">
        <v>1.0</v>
      </c>
      <c r="HF6" s="7"/>
      <c r="HG6" s="39">
        <f t="shared" si="55"/>
        <v>3</v>
      </c>
      <c r="HH6" s="7"/>
      <c r="HI6" s="7"/>
      <c r="HJ6" s="7"/>
      <c r="HK6" s="39">
        <f t="shared" si="56"/>
        <v>0</v>
      </c>
    </row>
    <row r="7">
      <c r="A7" s="4" t="s">
        <v>101</v>
      </c>
      <c r="B7" s="7" t="s">
        <v>166</v>
      </c>
      <c r="C7" s="1">
        <f t="shared" si="1"/>
        <v>5</v>
      </c>
      <c r="D7" s="15">
        <f>VLOOKUP(A7,TDP!A:C,3,FALSE)</f>
        <v>0.19</v>
      </c>
      <c r="E7" s="37">
        <f t="shared" si="2"/>
        <v>233.24</v>
      </c>
      <c r="F7" s="7">
        <v>1.0</v>
      </c>
      <c r="G7" s="39">
        <f t="shared" ref="G7:G8" si="58">if(F7=1, 7, 0 )</f>
        <v>7</v>
      </c>
      <c r="H7" s="7"/>
      <c r="I7" s="7"/>
      <c r="J7" s="7">
        <v>1.0</v>
      </c>
      <c r="K7" s="39">
        <f t="shared" si="4"/>
        <v>7</v>
      </c>
      <c r="L7" s="7"/>
      <c r="M7" s="7"/>
      <c r="N7" s="7">
        <v>1.0</v>
      </c>
      <c r="O7" s="39">
        <f t="shared" si="5"/>
        <v>7</v>
      </c>
      <c r="P7" s="7"/>
      <c r="Q7" s="7"/>
      <c r="R7" s="7">
        <v>1.0</v>
      </c>
      <c r="S7" s="39">
        <f t="shared" si="6"/>
        <v>7</v>
      </c>
      <c r="T7" s="7"/>
      <c r="U7" s="7"/>
      <c r="V7" s="7">
        <v>1.0</v>
      </c>
      <c r="W7" s="39">
        <f t="shared" si="7"/>
        <v>7</v>
      </c>
      <c r="X7" s="7"/>
      <c r="Y7" s="7"/>
      <c r="Z7" s="7">
        <v>1.0</v>
      </c>
      <c r="AA7" s="39">
        <f t="shared" si="8"/>
        <v>7</v>
      </c>
      <c r="AB7" s="7"/>
      <c r="AC7" s="7"/>
      <c r="AD7" s="7">
        <v>1.0</v>
      </c>
      <c r="AE7" s="39">
        <f t="shared" si="9"/>
        <v>7</v>
      </c>
      <c r="AF7" s="7"/>
      <c r="AG7" s="7"/>
      <c r="AH7" s="7">
        <v>1.0</v>
      </c>
      <c r="AI7" s="39">
        <f t="shared" si="10"/>
        <v>7</v>
      </c>
      <c r="AJ7" s="7"/>
      <c r="AK7" s="7"/>
      <c r="AL7" s="7"/>
      <c r="AM7" s="39">
        <f t="shared" si="11"/>
        <v>0</v>
      </c>
      <c r="AN7" s="7"/>
      <c r="AO7" s="7"/>
      <c r="AP7" s="7">
        <v>1.0</v>
      </c>
      <c r="AQ7" s="39">
        <f t="shared" si="12"/>
        <v>7</v>
      </c>
      <c r="AR7" s="41"/>
      <c r="AS7" s="41"/>
      <c r="AT7" s="41"/>
      <c r="AU7" s="42">
        <f t="shared" si="13"/>
        <v>0</v>
      </c>
      <c r="AV7" s="7"/>
      <c r="AW7" s="7"/>
      <c r="AX7" s="7"/>
      <c r="AY7" s="39">
        <f t="shared" si="14"/>
        <v>0</v>
      </c>
      <c r="AZ7" s="7"/>
      <c r="BA7" s="7"/>
      <c r="BB7" s="7">
        <v>1.0</v>
      </c>
      <c r="BC7" s="39">
        <f t="shared" si="15"/>
        <v>7</v>
      </c>
      <c r="BD7" s="7">
        <v>1.0</v>
      </c>
      <c r="BE7" s="7">
        <v>1.0</v>
      </c>
      <c r="BF7" s="7">
        <v>1.0</v>
      </c>
      <c r="BG7" s="39">
        <f t="shared" si="16"/>
        <v>5</v>
      </c>
      <c r="BH7" s="7">
        <v>1.0</v>
      </c>
      <c r="BI7" s="7">
        <v>1.0</v>
      </c>
      <c r="BJ7" s="7">
        <v>1.0</v>
      </c>
      <c r="BK7" s="39">
        <f t="shared" si="17"/>
        <v>5</v>
      </c>
      <c r="BL7" s="7">
        <v>1.0</v>
      </c>
      <c r="BM7" s="7">
        <v>1.0</v>
      </c>
      <c r="BN7" s="7">
        <v>1.0</v>
      </c>
      <c r="BO7" s="39">
        <f t="shared" si="18"/>
        <v>5</v>
      </c>
      <c r="BP7" s="7">
        <v>1.0</v>
      </c>
      <c r="BQ7" s="7">
        <v>1.0</v>
      </c>
      <c r="BR7" s="7">
        <v>1.0</v>
      </c>
      <c r="BS7" s="39">
        <f t="shared" si="19"/>
        <v>5</v>
      </c>
      <c r="BT7" s="7">
        <v>1.0</v>
      </c>
      <c r="BU7" s="7">
        <v>1.0</v>
      </c>
      <c r="BV7" s="7">
        <v>1.0</v>
      </c>
      <c r="BW7" s="39">
        <f t="shared" si="20"/>
        <v>5</v>
      </c>
      <c r="BX7" s="7">
        <v>1.0</v>
      </c>
      <c r="BY7" s="7">
        <v>1.0</v>
      </c>
      <c r="BZ7" s="7">
        <v>1.0</v>
      </c>
      <c r="CA7" s="39">
        <f t="shared" si="21"/>
        <v>5</v>
      </c>
      <c r="CB7" s="7">
        <v>1.0</v>
      </c>
      <c r="CC7" s="7">
        <v>1.0</v>
      </c>
      <c r="CD7" s="7"/>
      <c r="CE7" s="39">
        <f t="shared" si="22"/>
        <v>3</v>
      </c>
      <c r="CF7" s="7"/>
      <c r="CG7" s="7"/>
      <c r="CH7" s="7"/>
      <c r="CI7" s="39">
        <f t="shared" si="23"/>
        <v>0</v>
      </c>
      <c r="CJ7" s="7">
        <v>1.0</v>
      </c>
      <c r="CK7" s="7">
        <v>1.0</v>
      </c>
      <c r="CL7" s="7">
        <v>1.0</v>
      </c>
      <c r="CM7" s="39">
        <f t="shared" si="24"/>
        <v>5</v>
      </c>
      <c r="CN7" s="7"/>
      <c r="CO7" s="7"/>
      <c r="CP7" s="7"/>
      <c r="CQ7" s="39">
        <f t="shared" si="25"/>
        <v>0</v>
      </c>
      <c r="CR7" s="7"/>
      <c r="CS7" s="7"/>
      <c r="CT7" s="7"/>
      <c r="CU7" s="39">
        <f t="shared" si="26"/>
        <v>0</v>
      </c>
      <c r="CV7" s="7"/>
      <c r="CW7" s="7"/>
      <c r="CX7" s="7"/>
      <c r="CY7" s="39">
        <f t="shared" si="27"/>
        <v>0</v>
      </c>
      <c r="CZ7" s="7">
        <v>1.0</v>
      </c>
      <c r="DA7" s="7">
        <v>1.0</v>
      </c>
      <c r="DB7" s="7"/>
      <c r="DC7" s="39">
        <f t="shared" si="28"/>
        <v>3</v>
      </c>
      <c r="DD7" s="7">
        <v>1.0</v>
      </c>
      <c r="DE7" s="7">
        <v>1.0</v>
      </c>
      <c r="DF7" s="7"/>
      <c r="DG7" s="39">
        <f t="shared" si="29"/>
        <v>3</v>
      </c>
      <c r="DH7" s="7">
        <v>1.0</v>
      </c>
      <c r="DI7" s="7">
        <v>1.0</v>
      </c>
      <c r="DJ7" s="7">
        <v>1.0</v>
      </c>
      <c r="DK7" s="39">
        <f t="shared" si="30"/>
        <v>5</v>
      </c>
      <c r="DL7" s="7">
        <v>1.0</v>
      </c>
      <c r="DM7" s="7">
        <v>1.0</v>
      </c>
      <c r="DN7" s="7">
        <v>1.0</v>
      </c>
      <c r="DO7" s="39">
        <f t="shared" si="31"/>
        <v>5</v>
      </c>
      <c r="DP7" s="7"/>
      <c r="DQ7" s="7"/>
      <c r="DR7" s="7"/>
      <c r="DS7" s="39">
        <f t="shared" si="32"/>
        <v>0</v>
      </c>
      <c r="DT7" s="7">
        <v>1.0</v>
      </c>
      <c r="DU7" s="7">
        <v>1.0</v>
      </c>
      <c r="DV7" s="7"/>
      <c r="DW7" s="39">
        <f t="shared" si="33"/>
        <v>3</v>
      </c>
      <c r="DX7" s="7"/>
      <c r="DY7" s="7"/>
      <c r="DZ7" s="7"/>
      <c r="EA7" s="39">
        <f t="shared" si="34"/>
        <v>0</v>
      </c>
      <c r="EB7" s="7"/>
      <c r="EC7" s="7"/>
      <c r="ED7" s="7"/>
      <c r="EE7" s="39">
        <f t="shared" si="35"/>
        <v>0</v>
      </c>
      <c r="EF7" s="7"/>
      <c r="EG7" s="7"/>
      <c r="EH7" s="7"/>
      <c r="EI7" s="39">
        <f t="shared" si="36"/>
        <v>0</v>
      </c>
      <c r="EJ7" s="7">
        <v>1.0</v>
      </c>
      <c r="EK7" s="7">
        <v>1.0</v>
      </c>
      <c r="EL7" s="7">
        <v>1.0</v>
      </c>
      <c r="EM7" s="39">
        <f t="shared" si="37"/>
        <v>5</v>
      </c>
      <c r="EN7" s="7"/>
      <c r="EO7" s="7"/>
      <c r="EP7" s="7"/>
      <c r="EQ7" s="39">
        <f t="shared" si="38"/>
        <v>0</v>
      </c>
      <c r="ER7" s="7"/>
      <c r="ES7" s="7"/>
      <c r="ET7" s="7"/>
      <c r="EU7" s="39">
        <f t="shared" si="39"/>
        <v>0</v>
      </c>
      <c r="EV7" s="7">
        <v>1.0</v>
      </c>
      <c r="EW7" s="7">
        <v>1.0</v>
      </c>
      <c r="EX7" s="7">
        <v>1.0</v>
      </c>
      <c r="EY7" s="39">
        <f t="shared" si="40"/>
        <v>5</v>
      </c>
      <c r="EZ7" s="7">
        <v>1.0</v>
      </c>
      <c r="FA7" s="7">
        <v>1.0</v>
      </c>
      <c r="FB7" s="7">
        <v>1.0</v>
      </c>
      <c r="FC7" s="39">
        <f t="shared" si="41"/>
        <v>5</v>
      </c>
      <c r="FD7" s="7">
        <v>1.0</v>
      </c>
      <c r="FE7" s="7">
        <v>1.0</v>
      </c>
      <c r="FF7" s="7">
        <v>1.0</v>
      </c>
      <c r="FG7" s="39">
        <f t="shared" si="42"/>
        <v>5</v>
      </c>
      <c r="FH7" s="7"/>
      <c r="FI7" s="7"/>
      <c r="FJ7" s="7"/>
      <c r="FK7" s="39">
        <f t="shared" si="43"/>
        <v>0</v>
      </c>
      <c r="FL7" s="7">
        <v>1.0</v>
      </c>
      <c r="FM7" s="7">
        <v>1.0</v>
      </c>
      <c r="FN7" s="7">
        <v>1.0</v>
      </c>
      <c r="FO7" s="39">
        <f t="shared" si="44"/>
        <v>5</v>
      </c>
      <c r="FP7" s="7">
        <v>1.0</v>
      </c>
      <c r="FQ7" s="7">
        <v>1.0</v>
      </c>
      <c r="FR7" s="7">
        <v>1.0</v>
      </c>
      <c r="FS7" s="39">
        <f t="shared" si="45"/>
        <v>5</v>
      </c>
      <c r="FT7" s="7">
        <v>1.0</v>
      </c>
      <c r="FU7" s="7">
        <v>1.0</v>
      </c>
      <c r="FV7" s="7">
        <v>1.0</v>
      </c>
      <c r="FW7" s="39">
        <f t="shared" si="46"/>
        <v>5</v>
      </c>
      <c r="FX7" s="7">
        <v>1.0</v>
      </c>
      <c r="FY7" s="7">
        <v>1.0</v>
      </c>
      <c r="FZ7" s="7">
        <v>1.0</v>
      </c>
      <c r="GA7" s="39">
        <f t="shared" si="47"/>
        <v>5</v>
      </c>
      <c r="GB7" s="7">
        <v>1.0</v>
      </c>
      <c r="GC7" s="7">
        <v>1.0</v>
      </c>
      <c r="GD7" s="7"/>
      <c r="GE7" s="39">
        <f t="shared" si="48"/>
        <v>3</v>
      </c>
      <c r="GF7" s="7"/>
      <c r="GG7" s="7"/>
      <c r="GH7" s="7"/>
      <c r="GI7" s="39">
        <f t="shared" si="49"/>
        <v>0</v>
      </c>
      <c r="GJ7" s="7">
        <v>1.0</v>
      </c>
      <c r="GK7" s="7">
        <v>1.0</v>
      </c>
      <c r="GL7" s="7">
        <v>1.0</v>
      </c>
      <c r="GM7" s="39">
        <f t="shared" si="50"/>
        <v>5</v>
      </c>
      <c r="GN7" s="7">
        <v>1.0</v>
      </c>
      <c r="GO7" s="7">
        <v>1.0</v>
      </c>
      <c r="GP7" s="7">
        <v>1.0</v>
      </c>
      <c r="GQ7" s="39">
        <f t="shared" si="51"/>
        <v>5</v>
      </c>
      <c r="GR7" s="7">
        <v>1.0</v>
      </c>
      <c r="GS7" s="7">
        <v>1.0</v>
      </c>
      <c r="GT7" s="7">
        <v>1.0</v>
      </c>
      <c r="GU7" s="39">
        <f t="shared" si="52"/>
        <v>5</v>
      </c>
      <c r="GV7" s="7">
        <v>1.0</v>
      </c>
      <c r="GW7" s="7">
        <v>1.0</v>
      </c>
      <c r="GX7" s="7"/>
      <c r="GY7" s="39">
        <f t="shared" si="53"/>
        <v>3</v>
      </c>
      <c r="GZ7" s="7"/>
      <c r="HA7" s="7"/>
      <c r="HB7" s="7"/>
      <c r="HC7" s="39">
        <f t="shared" si="54"/>
        <v>0</v>
      </c>
      <c r="HD7" s="7">
        <v>1.0</v>
      </c>
      <c r="HE7" s="7">
        <v>1.0</v>
      </c>
      <c r="HF7" s="7"/>
      <c r="HG7" s="39">
        <f t="shared" si="55"/>
        <v>3</v>
      </c>
      <c r="HH7" s="7">
        <v>1.0</v>
      </c>
      <c r="HI7" s="7">
        <v>1.0</v>
      </c>
      <c r="HJ7" s="7">
        <v>1.0</v>
      </c>
      <c r="HK7" s="39">
        <f t="shared" si="56"/>
        <v>5</v>
      </c>
    </row>
    <row r="8">
      <c r="A8" s="4" t="s">
        <v>21</v>
      </c>
      <c r="B8" s="7" t="s">
        <v>75</v>
      </c>
      <c r="C8" s="1">
        <f t="shared" si="1"/>
        <v>6</v>
      </c>
      <c r="D8" s="15">
        <f>VLOOKUP(A8,TDP!A:C,3,FALSE)</f>
        <v>0.31</v>
      </c>
      <c r="E8" s="37">
        <f t="shared" si="2"/>
        <v>229.25</v>
      </c>
      <c r="F8" s="7">
        <v>1.0</v>
      </c>
      <c r="G8" s="39">
        <f t="shared" si="58"/>
        <v>7</v>
      </c>
      <c r="H8" s="7">
        <v>1.0</v>
      </c>
      <c r="I8" s="7">
        <v>1.0</v>
      </c>
      <c r="J8" s="7">
        <v>1.0</v>
      </c>
      <c r="K8" s="39">
        <f t="shared" si="4"/>
        <v>5</v>
      </c>
      <c r="L8" s="7">
        <v>1.0</v>
      </c>
      <c r="M8" s="7">
        <v>1.0</v>
      </c>
      <c r="N8" s="7"/>
      <c r="O8" s="39">
        <f t="shared" si="5"/>
        <v>3</v>
      </c>
      <c r="P8" s="7">
        <v>1.0</v>
      </c>
      <c r="Q8" s="7">
        <v>1.0</v>
      </c>
      <c r="R8" s="7">
        <v>1.0</v>
      </c>
      <c r="S8" s="39">
        <f t="shared" si="6"/>
        <v>5</v>
      </c>
      <c r="T8" s="7"/>
      <c r="U8" s="7"/>
      <c r="V8" s="7">
        <v>1.0</v>
      </c>
      <c r="W8" s="39">
        <f t="shared" si="7"/>
        <v>7</v>
      </c>
      <c r="X8" s="7">
        <v>1.0</v>
      </c>
      <c r="Y8" s="7">
        <v>1.0</v>
      </c>
      <c r="Z8" s="7"/>
      <c r="AA8" s="39">
        <f t="shared" si="8"/>
        <v>3</v>
      </c>
      <c r="AB8" s="7">
        <v>1.0</v>
      </c>
      <c r="AC8" s="7">
        <v>1.0</v>
      </c>
      <c r="AD8" s="7"/>
      <c r="AE8" s="39">
        <f t="shared" si="9"/>
        <v>3</v>
      </c>
      <c r="AF8" s="7">
        <v>1.0</v>
      </c>
      <c r="AG8" s="7">
        <v>1.0</v>
      </c>
      <c r="AH8" s="7"/>
      <c r="AI8" s="39">
        <f t="shared" si="10"/>
        <v>3</v>
      </c>
      <c r="AJ8" s="7">
        <v>1.0</v>
      </c>
      <c r="AK8" s="7">
        <v>1.0</v>
      </c>
      <c r="AL8" s="7"/>
      <c r="AM8" s="39">
        <f t="shared" si="11"/>
        <v>3</v>
      </c>
      <c r="AN8" s="7">
        <v>1.0</v>
      </c>
      <c r="AO8" s="7">
        <v>1.0</v>
      </c>
      <c r="AP8" s="7"/>
      <c r="AQ8" s="39">
        <f t="shared" si="12"/>
        <v>3</v>
      </c>
      <c r="AR8" s="41"/>
      <c r="AS8" s="41"/>
      <c r="AT8" s="41"/>
      <c r="AU8" s="42">
        <f t="shared" si="13"/>
        <v>0</v>
      </c>
      <c r="AV8" s="7">
        <v>1.0</v>
      </c>
      <c r="AW8" s="7">
        <v>1.0</v>
      </c>
      <c r="AX8" s="7"/>
      <c r="AY8" s="39">
        <f t="shared" si="14"/>
        <v>3</v>
      </c>
      <c r="AZ8" s="7">
        <v>1.0</v>
      </c>
      <c r="BA8" s="7">
        <v>1.0</v>
      </c>
      <c r="BB8" s="7">
        <v>1.0</v>
      </c>
      <c r="BC8" s="39">
        <f t="shared" si="15"/>
        <v>5</v>
      </c>
      <c r="BD8" s="7">
        <v>1.0</v>
      </c>
      <c r="BE8" s="7">
        <v>1.0</v>
      </c>
      <c r="BF8" s="7"/>
      <c r="BG8" s="39">
        <f t="shared" si="16"/>
        <v>3</v>
      </c>
      <c r="BH8" s="7">
        <v>1.0</v>
      </c>
      <c r="BI8" s="7">
        <v>1.0</v>
      </c>
      <c r="BJ8" s="7"/>
      <c r="BK8" s="39">
        <f t="shared" si="17"/>
        <v>3</v>
      </c>
      <c r="BL8" s="7">
        <v>1.0</v>
      </c>
      <c r="BM8" s="7">
        <v>1.0</v>
      </c>
      <c r="BN8" s="7">
        <v>1.0</v>
      </c>
      <c r="BO8" s="39">
        <f t="shared" si="18"/>
        <v>5</v>
      </c>
      <c r="BP8" s="7">
        <v>1.0</v>
      </c>
      <c r="BQ8" s="7">
        <v>1.0</v>
      </c>
      <c r="BR8" s="7"/>
      <c r="BS8" s="39">
        <f t="shared" si="19"/>
        <v>3</v>
      </c>
      <c r="BT8" s="7">
        <v>1.0</v>
      </c>
      <c r="BU8" s="7">
        <v>1.0</v>
      </c>
      <c r="BV8" s="7"/>
      <c r="BW8" s="39">
        <f t="shared" si="20"/>
        <v>3</v>
      </c>
      <c r="BX8" s="7">
        <v>1.0</v>
      </c>
      <c r="BY8" s="7">
        <v>1.0</v>
      </c>
      <c r="BZ8" s="7"/>
      <c r="CA8" s="39">
        <f t="shared" si="21"/>
        <v>3</v>
      </c>
      <c r="CB8" s="7">
        <v>1.0</v>
      </c>
      <c r="CC8" s="7">
        <v>1.0</v>
      </c>
      <c r="CD8" s="7"/>
      <c r="CE8" s="39">
        <f t="shared" si="22"/>
        <v>3</v>
      </c>
      <c r="CF8" s="7">
        <v>1.0</v>
      </c>
      <c r="CG8" s="7">
        <v>1.0</v>
      </c>
      <c r="CH8" s="7"/>
      <c r="CI8" s="39">
        <f t="shared" si="23"/>
        <v>3</v>
      </c>
      <c r="CJ8" s="7">
        <v>1.0</v>
      </c>
      <c r="CK8" s="7">
        <v>1.0</v>
      </c>
      <c r="CL8" s="7"/>
      <c r="CM8" s="39">
        <f t="shared" si="24"/>
        <v>3</v>
      </c>
      <c r="CN8" s="7">
        <v>1.0</v>
      </c>
      <c r="CO8" s="7">
        <v>1.0</v>
      </c>
      <c r="CP8" s="7"/>
      <c r="CQ8" s="39">
        <f t="shared" si="25"/>
        <v>3</v>
      </c>
      <c r="CR8" s="7"/>
      <c r="CS8" s="7"/>
      <c r="CT8" s="7"/>
      <c r="CU8" s="39">
        <f t="shared" si="26"/>
        <v>0</v>
      </c>
      <c r="CV8" s="7">
        <v>1.0</v>
      </c>
      <c r="CW8" s="7">
        <v>1.0</v>
      </c>
      <c r="CX8" s="7"/>
      <c r="CY8" s="39">
        <f t="shared" si="27"/>
        <v>3</v>
      </c>
      <c r="CZ8" s="7">
        <v>1.0</v>
      </c>
      <c r="DA8" s="7">
        <v>1.0</v>
      </c>
      <c r="DB8" s="7"/>
      <c r="DC8" s="39">
        <f t="shared" si="28"/>
        <v>3</v>
      </c>
      <c r="DD8" s="7">
        <v>1.0</v>
      </c>
      <c r="DE8" s="7">
        <v>1.0</v>
      </c>
      <c r="DF8" s="7"/>
      <c r="DG8" s="39">
        <f t="shared" si="29"/>
        <v>3</v>
      </c>
      <c r="DH8" s="7"/>
      <c r="DI8" s="7"/>
      <c r="DJ8" s="7"/>
      <c r="DK8" s="39">
        <f t="shared" si="30"/>
        <v>0</v>
      </c>
      <c r="DL8" s="7">
        <v>1.0</v>
      </c>
      <c r="DM8" s="7">
        <v>1.0</v>
      </c>
      <c r="DN8" s="7">
        <v>1.0</v>
      </c>
      <c r="DO8" s="39">
        <f t="shared" si="31"/>
        <v>5</v>
      </c>
      <c r="DP8" s="7">
        <v>1.0</v>
      </c>
      <c r="DQ8" s="7">
        <v>1.0</v>
      </c>
      <c r="DR8" s="7">
        <v>1.0</v>
      </c>
      <c r="DS8" s="39">
        <f t="shared" si="32"/>
        <v>5</v>
      </c>
      <c r="DT8" s="7">
        <v>1.0</v>
      </c>
      <c r="DU8" s="7">
        <v>1.0</v>
      </c>
      <c r="DV8" s="7">
        <v>1.0</v>
      </c>
      <c r="DW8" s="39">
        <f t="shared" si="33"/>
        <v>5</v>
      </c>
      <c r="DX8" s="7"/>
      <c r="DY8" s="7"/>
      <c r="DZ8" s="7"/>
      <c r="EA8" s="39">
        <f t="shared" si="34"/>
        <v>0</v>
      </c>
      <c r="EB8" s="7">
        <v>1.0</v>
      </c>
      <c r="EC8" s="7">
        <v>1.0</v>
      </c>
      <c r="ED8" s="7">
        <v>1.0</v>
      </c>
      <c r="EE8" s="39">
        <f t="shared" si="35"/>
        <v>5</v>
      </c>
      <c r="EF8" s="7">
        <v>1.0</v>
      </c>
      <c r="EG8" s="7"/>
      <c r="EH8" s="7">
        <v>1.0</v>
      </c>
      <c r="EI8" s="39">
        <f t="shared" si="36"/>
        <v>1</v>
      </c>
      <c r="EJ8" s="7">
        <v>1.0</v>
      </c>
      <c r="EK8" s="7">
        <v>1.0</v>
      </c>
      <c r="EL8" s="7">
        <v>1.0</v>
      </c>
      <c r="EM8" s="39">
        <f t="shared" si="37"/>
        <v>5</v>
      </c>
      <c r="EN8" s="7"/>
      <c r="EO8" s="7"/>
      <c r="EP8" s="7"/>
      <c r="EQ8" s="39">
        <f t="shared" si="38"/>
        <v>0</v>
      </c>
      <c r="ER8" s="7"/>
      <c r="ES8" s="7"/>
      <c r="ET8" s="7"/>
      <c r="EU8" s="39">
        <f t="shared" si="39"/>
        <v>0</v>
      </c>
      <c r="EV8" s="7"/>
      <c r="EW8" s="7"/>
      <c r="EX8" s="7"/>
      <c r="EY8" s="39">
        <f t="shared" si="40"/>
        <v>0</v>
      </c>
      <c r="EZ8" s="7">
        <v>1.0</v>
      </c>
      <c r="FA8" s="7">
        <v>1.0</v>
      </c>
      <c r="FB8" s="7"/>
      <c r="FC8" s="39">
        <f t="shared" si="41"/>
        <v>3</v>
      </c>
      <c r="FD8" s="7">
        <v>1.0</v>
      </c>
      <c r="FE8" s="7">
        <v>1.0</v>
      </c>
      <c r="FF8" s="7"/>
      <c r="FG8" s="39">
        <f t="shared" si="42"/>
        <v>3</v>
      </c>
      <c r="FH8" s="7">
        <v>1.0</v>
      </c>
      <c r="FI8" s="7">
        <v>1.0</v>
      </c>
      <c r="FJ8" s="7">
        <v>1.0</v>
      </c>
      <c r="FK8" s="39">
        <f t="shared" si="43"/>
        <v>5</v>
      </c>
      <c r="FL8" s="7">
        <v>1.0</v>
      </c>
      <c r="FM8" s="7">
        <v>1.0</v>
      </c>
      <c r="FN8" s="7"/>
      <c r="FO8" s="39">
        <f t="shared" si="44"/>
        <v>3</v>
      </c>
      <c r="FP8" s="7">
        <v>1.0</v>
      </c>
      <c r="FQ8" s="7">
        <v>1.0</v>
      </c>
      <c r="FR8" s="7"/>
      <c r="FS8" s="39">
        <f t="shared" si="45"/>
        <v>3</v>
      </c>
      <c r="FT8" s="7">
        <v>1.0</v>
      </c>
      <c r="FU8" s="7">
        <v>1.0</v>
      </c>
      <c r="FV8" s="7"/>
      <c r="FW8" s="39">
        <f t="shared" si="46"/>
        <v>3</v>
      </c>
      <c r="FX8" s="7">
        <v>1.0</v>
      </c>
      <c r="FY8" s="7">
        <v>1.0</v>
      </c>
      <c r="FZ8" s="7">
        <v>1.0</v>
      </c>
      <c r="GA8" s="39">
        <f t="shared" si="47"/>
        <v>5</v>
      </c>
      <c r="GB8" s="7">
        <v>1.0</v>
      </c>
      <c r="GC8" s="7">
        <v>1.0</v>
      </c>
      <c r="GD8" s="7">
        <v>1.0</v>
      </c>
      <c r="GE8" s="39">
        <f t="shared" si="48"/>
        <v>5</v>
      </c>
      <c r="GF8" s="7">
        <v>1.0</v>
      </c>
      <c r="GG8" s="7">
        <v>1.0</v>
      </c>
      <c r="GH8" s="7"/>
      <c r="GI8" s="39">
        <f t="shared" si="49"/>
        <v>3</v>
      </c>
      <c r="GJ8" s="7">
        <v>1.0</v>
      </c>
      <c r="GK8" s="7">
        <v>1.0</v>
      </c>
      <c r="GL8" s="7"/>
      <c r="GM8" s="39">
        <f t="shared" si="50"/>
        <v>3</v>
      </c>
      <c r="GN8" s="7">
        <v>1.0</v>
      </c>
      <c r="GO8" s="7">
        <v>1.0</v>
      </c>
      <c r="GP8" s="7">
        <v>1.0</v>
      </c>
      <c r="GQ8" s="39">
        <f t="shared" si="51"/>
        <v>5</v>
      </c>
      <c r="GR8" s="7">
        <v>1.0</v>
      </c>
      <c r="GS8" s="7">
        <v>1.0</v>
      </c>
      <c r="GT8" s="7"/>
      <c r="GU8" s="39">
        <f t="shared" si="52"/>
        <v>3</v>
      </c>
      <c r="GV8" s="7">
        <v>1.0</v>
      </c>
      <c r="GW8" s="7">
        <v>1.0</v>
      </c>
      <c r="GX8" s="7">
        <v>1.0</v>
      </c>
      <c r="GY8" s="39">
        <f t="shared" si="53"/>
        <v>5</v>
      </c>
      <c r="GZ8" s="7">
        <v>1.0</v>
      </c>
      <c r="HA8" s="7">
        <v>1.0</v>
      </c>
      <c r="HB8" s="7"/>
      <c r="HC8" s="39">
        <f t="shared" si="54"/>
        <v>3</v>
      </c>
      <c r="HD8" s="7">
        <v>1.0</v>
      </c>
      <c r="HE8" s="7">
        <v>1.0</v>
      </c>
      <c r="HF8" s="7"/>
      <c r="HG8" s="39">
        <f t="shared" si="55"/>
        <v>3</v>
      </c>
      <c r="HH8" s="7">
        <v>1.0</v>
      </c>
      <c r="HI8" s="7">
        <v>1.0</v>
      </c>
      <c r="HJ8" s="7"/>
      <c r="HK8" s="39">
        <f t="shared" si="56"/>
        <v>3</v>
      </c>
    </row>
    <row r="9">
      <c r="A9" s="20" t="s">
        <v>49</v>
      </c>
      <c r="B9" s="21" t="s">
        <v>50</v>
      </c>
      <c r="C9" s="1">
        <f t="shared" si="1"/>
        <v>7</v>
      </c>
      <c r="D9" s="15">
        <f>VLOOKUP(A9,TDP!A:C,3,FALSE)</f>
        <v>0.38</v>
      </c>
      <c r="E9" s="37">
        <f t="shared" si="2"/>
        <v>201.48</v>
      </c>
      <c r="F9" s="7">
        <v>1.0</v>
      </c>
      <c r="G9" s="39">
        <f>if($F9=1, 7, 0 )</f>
        <v>7</v>
      </c>
      <c r="H9" s="7">
        <v>1.0</v>
      </c>
      <c r="I9" s="7">
        <v>1.0</v>
      </c>
      <c r="J9" s="7">
        <v>1.0</v>
      </c>
      <c r="K9" s="39">
        <f t="shared" si="4"/>
        <v>5</v>
      </c>
      <c r="L9" s="7"/>
      <c r="M9" s="7"/>
      <c r="N9" s="7"/>
      <c r="O9" s="39">
        <f t="shared" si="5"/>
        <v>0</v>
      </c>
      <c r="P9" s="7"/>
      <c r="Q9" s="7"/>
      <c r="R9" s="7"/>
      <c r="S9" s="39">
        <f t="shared" si="6"/>
        <v>0</v>
      </c>
      <c r="T9" s="7"/>
      <c r="U9" s="7"/>
      <c r="V9" s="7"/>
      <c r="W9" s="39">
        <f t="shared" si="7"/>
        <v>0</v>
      </c>
      <c r="X9" s="7"/>
      <c r="Y9" s="7"/>
      <c r="Z9" s="7"/>
      <c r="AA9" s="39">
        <f t="shared" si="8"/>
        <v>0</v>
      </c>
      <c r="AB9" s="7"/>
      <c r="AC9" s="7"/>
      <c r="AD9" s="7"/>
      <c r="AE9" s="39">
        <f t="shared" si="9"/>
        <v>0</v>
      </c>
      <c r="AF9" s="7"/>
      <c r="AG9" s="7"/>
      <c r="AH9" s="7"/>
      <c r="AI9" s="39">
        <f t="shared" si="10"/>
        <v>0</v>
      </c>
      <c r="AJ9" s="7"/>
      <c r="AK9" s="7"/>
      <c r="AL9" s="7"/>
      <c r="AM9" s="39">
        <f t="shared" si="11"/>
        <v>0</v>
      </c>
      <c r="AN9" s="7"/>
      <c r="AO9" s="7"/>
      <c r="AP9" s="7"/>
      <c r="AQ9" s="39">
        <f t="shared" si="12"/>
        <v>0</v>
      </c>
      <c r="AR9" s="41"/>
      <c r="AS9" s="41"/>
      <c r="AT9" s="41"/>
      <c r="AU9" s="42">
        <f t="shared" si="13"/>
        <v>0</v>
      </c>
      <c r="AV9" s="7"/>
      <c r="AW9" s="7"/>
      <c r="AX9" s="7"/>
      <c r="AY9" s="39">
        <f t="shared" si="14"/>
        <v>0</v>
      </c>
      <c r="AZ9" s="7"/>
      <c r="BA9" s="7"/>
      <c r="BB9" s="7"/>
      <c r="BC9" s="39">
        <f t="shared" si="15"/>
        <v>0</v>
      </c>
      <c r="BD9" s="7"/>
      <c r="BE9" s="7"/>
      <c r="BF9" s="7"/>
      <c r="BG9" s="39">
        <f t="shared" si="16"/>
        <v>0</v>
      </c>
      <c r="BH9" s="7"/>
      <c r="BI9" s="7"/>
      <c r="BJ9" s="7"/>
      <c r="BK9" s="39">
        <f t="shared" si="17"/>
        <v>0</v>
      </c>
      <c r="BL9" s="7"/>
      <c r="BM9" s="7"/>
      <c r="BN9" s="7"/>
      <c r="BO9" s="39">
        <f t="shared" si="18"/>
        <v>0</v>
      </c>
      <c r="BP9" s="7"/>
      <c r="BQ9" s="7"/>
      <c r="BR9" s="7"/>
      <c r="BS9" s="39">
        <f t="shared" si="19"/>
        <v>0</v>
      </c>
      <c r="BT9" s="7">
        <v>1.0</v>
      </c>
      <c r="BU9" s="7">
        <v>1.0</v>
      </c>
      <c r="BV9" s="7">
        <v>1.0</v>
      </c>
      <c r="BW9" s="39">
        <f t="shared" si="20"/>
        <v>5</v>
      </c>
      <c r="BX9" s="7">
        <v>1.0</v>
      </c>
      <c r="BY9" s="7">
        <v>1.0</v>
      </c>
      <c r="BZ9" s="7">
        <v>1.0</v>
      </c>
      <c r="CA9" s="39">
        <f t="shared" si="21"/>
        <v>5</v>
      </c>
      <c r="CB9" s="7">
        <v>1.0</v>
      </c>
      <c r="CC9" s="7">
        <v>1.0</v>
      </c>
      <c r="CD9" s="7">
        <v>1.0</v>
      </c>
      <c r="CE9" s="39">
        <f t="shared" si="22"/>
        <v>5</v>
      </c>
      <c r="CF9" s="7">
        <v>1.0</v>
      </c>
      <c r="CG9" s="7">
        <v>1.0</v>
      </c>
      <c r="CH9" s="7"/>
      <c r="CI9" s="39">
        <f t="shared" si="23"/>
        <v>3</v>
      </c>
      <c r="CJ9" s="7"/>
      <c r="CK9" s="7"/>
      <c r="CL9" s="7"/>
      <c r="CM9" s="39">
        <f t="shared" si="24"/>
        <v>0</v>
      </c>
      <c r="CN9" s="7">
        <v>1.0</v>
      </c>
      <c r="CO9" s="7">
        <v>1.0</v>
      </c>
      <c r="CP9" s="7">
        <v>1.0</v>
      </c>
      <c r="CQ9" s="39">
        <f t="shared" si="25"/>
        <v>5</v>
      </c>
      <c r="CR9" s="7">
        <v>1.0</v>
      </c>
      <c r="CS9" s="7">
        <v>1.0</v>
      </c>
      <c r="CT9" s="7">
        <v>1.0</v>
      </c>
      <c r="CU9" s="39">
        <f t="shared" si="26"/>
        <v>5</v>
      </c>
      <c r="CV9" s="7">
        <v>1.0</v>
      </c>
      <c r="CW9" s="7">
        <v>1.0</v>
      </c>
      <c r="CX9" s="7">
        <v>1.0</v>
      </c>
      <c r="CY9" s="39">
        <f t="shared" si="27"/>
        <v>5</v>
      </c>
      <c r="CZ9" s="7"/>
      <c r="DA9" s="7"/>
      <c r="DB9" s="7"/>
      <c r="DC9" s="39">
        <f t="shared" si="28"/>
        <v>0</v>
      </c>
      <c r="DD9" s="7">
        <v>1.0</v>
      </c>
      <c r="DE9" s="7">
        <v>1.0</v>
      </c>
      <c r="DF9" s="7"/>
      <c r="DG9" s="39">
        <f t="shared" si="29"/>
        <v>3</v>
      </c>
      <c r="DH9" s="7">
        <v>1.0</v>
      </c>
      <c r="DI9" s="7">
        <v>1.0</v>
      </c>
      <c r="DJ9" s="7">
        <v>1.0</v>
      </c>
      <c r="DK9" s="39">
        <f t="shared" si="30"/>
        <v>5</v>
      </c>
      <c r="DL9" s="7">
        <v>1.0</v>
      </c>
      <c r="DM9" s="7">
        <v>1.0</v>
      </c>
      <c r="DN9" s="7">
        <v>1.0</v>
      </c>
      <c r="DO9" s="39">
        <f t="shared" si="31"/>
        <v>5</v>
      </c>
      <c r="DP9" s="7"/>
      <c r="DQ9" s="7"/>
      <c r="DR9" s="7"/>
      <c r="DS9" s="39">
        <f t="shared" si="32"/>
        <v>0</v>
      </c>
      <c r="DT9" s="7"/>
      <c r="DU9" s="7"/>
      <c r="DV9" s="7"/>
      <c r="DW9" s="39">
        <f t="shared" si="33"/>
        <v>0</v>
      </c>
      <c r="DX9" s="7">
        <v>1.0</v>
      </c>
      <c r="DY9" s="7">
        <v>1.0</v>
      </c>
      <c r="DZ9" s="7">
        <v>1.0</v>
      </c>
      <c r="EA9" s="39">
        <f t="shared" si="34"/>
        <v>5</v>
      </c>
      <c r="EB9" s="7"/>
      <c r="EC9" s="7"/>
      <c r="ED9" s="7"/>
      <c r="EE9" s="39">
        <f t="shared" si="35"/>
        <v>0</v>
      </c>
      <c r="EF9" s="7">
        <v>1.0</v>
      </c>
      <c r="EG9" s="7">
        <v>1.0</v>
      </c>
      <c r="EH9" s="7">
        <v>1.0</v>
      </c>
      <c r="EI9" s="39">
        <f t="shared" si="36"/>
        <v>5</v>
      </c>
      <c r="EJ9" s="7"/>
      <c r="EK9" s="7"/>
      <c r="EL9" s="7"/>
      <c r="EM9" s="39">
        <f t="shared" si="37"/>
        <v>0</v>
      </c>
      <c r="EN9" s="7"/>
      <c r="EO9" s="7"/>
      <c r="EP9" s="7"/>
      <c r="EQ9" s="39">
        <f t="shared" si="38"/>
        <v>0</v>
      </c>
      <c r="ER9" s="7"/>
      <c r="ES9" s="7"/>
      <c r="ET9" s="7"/>
      <c r="EU9" s="39">
        <f t="shared" si="39"/>
        <v>0</v>
      </c>
      <c r="EV9" s="7">
        <v>1.0</v>
      </c>
      <c r="EW9" s="7">
        <v>1.0</v>
      </c>
      <c r="EX9" s="7">
        <v>1.0</v>
      </c>
      <c r="EY9" s="39">
        <f t="shared" si="40"/>
        <v>5</v>
      </c>
      <c r="EZ9" s="7">
        <v>1.0</v>
      </c>
      <c r="FA9" s="7">
        <v>1.0</v>
      </c>
      <c r="FB9" s="7">
        <v>1.0</v>
      </c>
      <c r="FC9" s="39">
        <f t="shared" si="41"/>
        <v>5</v>
      </c>
      <c r="FD9" s="7">
        <v>1.0</v>
      </c>
      <c r="FE9" s="7">
        <v>1.0</v>
      </c>
      <c r="FF9" s="7">
        <v>1.0</v>
      </c>
      <c r="FG9" s="39">
        <f t="shared" si="42"/>
        <v>5</v>
      </c>
      <c r="FH9" s="7"/>
      <c r="FI9" s="7"/>
      <c r="FJ9" s="7"/>
      <c r="FK9" s="39">
        <f t="shared" si="43"/>
        <v>0</v>
      </c>
      <c r="FL9" s="7">
        <v>1.0</v>
      </c>
      <c r="FM9" s="7">
        <v>1.0</v>
      </c>
      <c r="FN9" s="7">
        <v>1.0</v>
      </c>
      <c r="FO9" s="39">
        <f t="shared" si="44"/>
        <v>5</v>
      </c>
      <c r="FP9" s="7">
        <v>1.0</v>
      </c>
      <c r="FQ9" s="7">
        <v>1.0</v>
      </c>
      <c r="FR9" s="7">
        <v>1.0</v>
      </c>
      <c r="FS9" s="39">
        <f t="shared" si="45"/>
        <v>5</v>
      </c>
      <c r="FT9" s="7">
        <v>1.0</v>
      </c>
      <c r="FU9" s="7">
        <v>1.0</v>
      </c>
      <c r="FV9" s="7">
        <v>1.0</v>
      </c>
      <c r="FW9" s="39">
        <f t="shared" si="46"/>
        <v>5</v>
      </c>
      <c r="FX9" s="7">
        <v>1.0</v>
      </c>
      <c r="FY9" s="7">
        <v>1.0</v>
      </c>
      <c r="FZ9" s="7">
        <v>1.0</v>
      </c>
      <c r="GA9" s="39">
        <f t="shared" si="47"/>
        <v>5</v>
      </c>
      <c r="GB9" s="7">
        <v>1.0</v>
      </c>
      <c r="GC9" s="7">
        <v>1.0</v>
      </c>
      <c r="GD9" s="7">
        <v>1.0</v>
      </c>
      <c r="GE9" s="39">
        <f t="shared" si="48"/>
        <v>5</v>
      </c>
      <c r="GF9" s="7">
        <v>1.0</v>
      </c>
      <c r="GG9" s="7">
        <v>1.0</v>
      </c>
      <c r="GH9" s="7">
        <v>1.0</v>
      </c>
      <c r="GI9" s="39">
        <f t="shared" si="49"/>
        <v>5</v>
      </c>
      <c r="GJ9" s="7">
        <v>1.0</v>
      </c>
      <c r="GK9" s="7">
        <v>1.0</v>
      </c>
      <c r="GL9" s="7">
        <v>1.0</v>
      </c>
      <c r="GM9" s="39">
        <f t="shared" si="50"/>
        <v>5</v>
      </c>
      <c r="GN9" s="7">
        <v>1.0</v>
      </c>
      <c r="GO9" s="7">
        <v>1.0</v>
      </c>
      <c r="GP9" s="7">
        <v>1.0</v>
      </c>
      <c r="GQ9" s="39">
        <f t="shared" si="51"/>
        <v>5</v>
      </c>
      <c r="GR9" s="7">
        <v>1.0</v>
      </c>
      <c r="GS9" s="7">
        <v>1.0</v>
      </c>
      <c r="GT9" s="7">
        <v>1.0</v>
      </c>
      <c r="GU9" s="39">
        <f t="shared" si="52"/>
        <v>5</v>
      </c>
      <c r="GV9" s="7">
        <v>1.0</v>
      </c>
      <c r="GW9" s="7">
        <v>1.0</v>
      </c>
      <c r="GX9" s="7">
        <v>1.0</v>
      </c>
      <c r="GY9" s="39">
        <f t="shared" si="53"/>
        <v>5</v>
      </c>
      <c r="GZ9" s="7">
        <v>1.0</v>
      </c>
      <c r="HA9" s="7">
        <v>1.0</v>
      </c>
      <c r="HB9" s="7"/>
      <c r="HC9" s="39">
        <f t="shared" si="54"/>
        <v>3</v>
      </c>
      <c r="HD9" s="7">
        <v>1.0</v>
      </c>
      <c r="HE9" s="7">
        <v>1.0</v>
      </c>
      <c r="HF9" s="7">
        <v>1.0</v>
      </c>
      <c r="HG9" s="39">
        <f t="shared" si="55"/>
        <v>5</v>
      </c>
      <c r="HH9" s="7">
        <v>1.0</v>
      </c>
      <c r="HI9" s="7">
        <v>1.0</v>
      </c>
      <c r="HJ9" s="7">
        <v>1.0</v>
      </c>
      <c r="HK9" s="39">
        <f t="shared" si="56"/>
        <v>5</v>
      </c>
    </row>
    <row r="10">
      <c r="A10" s="20" t="s">
        <v>126</v>
      </c>
      <c r="B10" s="21"/>
      <c r="C10" s="1">
        <f t="shared" si="1"/>
        <v>8</v>
      </c>
      <c r="D10" s="15">
        <f>VLOOKUP(A10,TDP!A:C,3,FALSE)</f>
        <v>0.12</v>
      </c>
      <c r="E10" s="37">
        <f t="shared" si="2"/>
        <v>200.48</v>
      </c>
      <c r="F10" s="7">
        <v>1.0</v>
      </c>
      <c r="G10" s="39">
        <f t="shared" ref="G10:G11" si="59">if(F10=1, 7, 0 )</f>
        <v>7</v>
      </c>
      <c r="H10" s="7">
        <v>1.0</v>
      </c>
      <c r="I10" s="7">
        <v>1.0</v>
      </c>
      <c r="J10" s="7">
        <v>1.0</v>
      </c>
      <c r="K10" s="39">
        <f t="shared" si="4"/>
        <v>5</v>
      </c>
      <c r="L10" s="7"/>
      <c r="M10" s="7"/>
      <c r="N10" s="7">
        <v>1.0</v>
      </c>
      <c r="O10" s="39">
        <f t="shared" si="5"/>
        <v>7</v>
      </c>
      <c r="P10" s="7"/>
      <c r="Q10" s="7"/>
      <c r="R10" s="7">
        <v>1.0</v>
      </c>
      <c r="S10" s="39">
        <f t="shared" si="6"/>
        <v>7</v>
      </c>
      <c r="T10" s="7"/>
      <c r="U10" s="7"/>
      <c r="V10" s="7">
        <v>1.0</v>
      </c>
      <c r="W10" s="39">
        <f t="shared" si="7"/>
        <v>7</v>
      </c>
      <c r="X10" s="7">
        <v>1.0</v>
      </c>
      <c r="Y10" s="7">
        <v>1.0</v>
      </c>
      <c r="Z10" s="7">
        <v>1.0</v>
      </c>
      <c r="AA10" s="39">
        <f t="shared" si="8"/>
        <v>5</v>
      </c>
      <c r="AB10" s="7">
        <v>1.0</v>
      </c>
      <c r="AC10" s="7">
        <v>1.0</v>
      </c>
      <c r="AD10" s="7">
        <v>1.0</v>
      </c>
      <c r="AE10" s="39">
        <f t="shared" si="9"/>
        <v>5</v>
      </c>
      <c r="AF10" s="7">
        <v>1.0</v>
      </c>
      <c r="AG10" s="7">
        <v>1.0</v>
      </c>
      <c r="AH10" s="7">
        <v>1.0</v>
      </c>
      <c r="AI10" s="39">
        <f t="shared" si="10"/>
        <v>5</v>
      </c>
      <c r="AJ10" s="7"/>
      <c r="AK10" s="7"/>
      <c r="AL10" s="7">
        <v>1.0</v>
      </c>
      <c r="AM10" s="39">
        <f t="shared" si="11"/>
        <v>7</v>
      </c>
      <c r="AN10" s="7">
        <v>1.0</v>
      </c>
      <c r="AO10" s="7">
        <v>1.0</v>
      </c>
      <c r="AP10" s="7">
        <v>1.0</v>
      </c>
      <c r="AQ10" s="39">
        <f t="shared" si="12"/>
        <v>5</v>
      </c>
      <c r="AR10" s="41"/>
      <c r="AS10" s="41"/>
      <c r="AT10" s="41"/>
      <c r="AU10" s="42">
        <f t="shared" si="13"/>
        <v>0</v>
      </c>
      <c r="AV10" s="7"/>
      <c r="AW10" s="7"/>
      <c r="AX10" s="7"/>
      <c r="AY10" s="39">
        <f t="shared" si="14"/>
        <v>0</v>
      </c>
      <c r="AZ10" s="7">
        <v>1.0</v>
      </c>
      <c r="BA10" s="7">
        <v>1.0</v>
      </c>
      <c r="BB10" s="7">
        <v>1.0</v>
      </c>
      <c r="BC10" s="93">
        <v>0.0</v>
      </c>
      <c r="BD10" s="7">
        <v>1.0</v>
      </c>
      <c r="BE10" s="7">
        <v>1.0</v>
      </c>
      <c r="BF10" s="7">
        <v>1.0</v>
      </c>
      <c r="BG10" s="39">
        <f t="shared" si="16"/>
        <v>5</v>
      </c>
      <c r="BH10" s="7">
        <v>1.0</v>
      </c>
      <c r="BI10" s="7">
        <v>1.0</v>
      </c>
      <c r="BJ10" s="7">
        <v>1.0</v>
      </c>
      <c r="BK10" s="39">
        <f t="shared" si="17"/>
        <v>5</v>
      </c>
      <c r="BL10" s="7">
        <v>1.0</v>
      </c>
      <c r="BM10" s="7">
        <v>1.0</v>
      </c>
      <c r="BN10" s="7">
        <v>1.0</v>
      </c>
      <c r="BO10" s="39">
        <f t="shared" si="18"/>
        <v>5</v>
      </c>
      <c r="BP10" s="7">
        <v>1.0</v>
      </c>
      <c r="BQ10" s="7">
        <v>1.0</v>
      </c>
      <c r="BR10" s="7">
        <v>1.0</v>
      </c>
      <c r="BS10" s="39">
        <f t="shared" si="19"/>
        <v>5</v>
      </c>
      <c r="BT10" s="7">
        <v>1.0</v>
      </c>
      <c r="BU10" s="7">
        <v>1.0</v>
      </c>
      <c r="BV10" s="7">
        <v>1.0</v>
      </c>
      <c r="BW10" s="39">
        <f t="shared" si="20"/>
        <v>5</v>
      </c>
      <c r="BX10" s="7">
        <v>1.0</v>
      </c>
      <c r="BY10" s="7">
        <v>1.0</v>
      </c>
      <c r="BZ10" s="7">
        <v>1.0</v>
      </c>
      <c r="CA10" s="39">
        <f t="shared" si="21"/>
        <v>5</v>
      </c>
      <c r="CB10" s="7">
        <v>1.0</v>
      </c>
      <c r="CC10" s="7">
        <v>1.0</v>
      </c>
      <c r="CD10" s="7"/>
      <c r="CE10" s="39">
        <f t="shared" si="22"/>
        <v>3</v>
      </c>
      <c r="CF10" s="7"/>
      <c r="CG10" s="7"/>
      <c r="CH10" s="7"/>
      <c r="CI10" s="39">
        <f t="shared" si="23"/>
        <v>0</v>
      </c>
      <c r="CJ10" s="7">
        <v>1.0</v>
      </c>
      <c r="CK10" s="7">
        <v>1.0</v>
      </c>
      <c r="CL10" s="7">
        <v>1.0</v>
      </c>
      <c r="CM10" s="39">
        <f t="shared" si="24"/>
        <v>5</v>
      </c>
      <c r="CN10" s="7"/>
      <c r="CO10" s="7"/>
      <c r="CP10" s="7"/>
      <c r="CQ10" s="39">
        <f t="shared" si="25"/>
        <v>0</v>
      </c>
      <c r="CR10" s="7"/>
      <c r="CS10" s="7"/>
      <c r="CT10" s="7"/>
      <c r="CU10" s="39">
        <f t="shared" si="26"/>
        <v>0</v>
      </c>
      <c r="CV10" s="7">
        <v>1.0</v>
      </c>
      <c r="CW10" s="7">
        <v>1.0</v>
      </c>
      <c r="CX10" s="7">
        <v>1.0</v>
      </c>
      <c r="CY10" s="39">
        <f t="shared" si="27"/>
        <v>5</v>
      </c>
      <c r="CZ10" s="7">
        <v>1.0</v>
      </c>
      <c r="DA10" s="7">
        <v>1.0</v>
      </c>
      <c r="DB10" s="7"/>
      <c r="DC10" s="39">
        <f t="shared" si="28"/>
        <v>3</v>
      </c>
      <c r="DD10" s="7">
        <v>1.0</v>
      </c>
      <c r="DE10" s="7">
        <v>1.0</v>
      </c>
      <c r="DF10" s="7"/>
      <c r="DG10" s="39">
        <f t="shared" si="29"/>
        <v>3</v>
      </c>
      <c r="DH10" s="7">
        <v>1.0</v>
      </c>
      <c r="DI10" s="7">
        <v>1.0</v>
      </c>
      <c r="DJ10" s="7">
        <v>1.0</v>
      </c>
      <c r="DK10" s="39">
        <f t="shared" si="30"/>
        <v>5</v>
      </c>
      <c r="DL10" s="7">
        <v>1.0</v>
      </c>
      <c r="DM10" s="7">
        <v>1.0</v>
      </c>
      <c r="DN10" s="7">
        <v>1.0</v>
      </c>
      <c r="DO10" s="39">
        <f t="shared" si="31"/>
        <v>5</v>
      </c>
      <c r="DP10" s="7"/>
      <c r="DQ10" s="7"/>
      <c r="DR10" s="7"/>
      <c r="DS10" s="39">
        <f t="shared" si="32"/>
        <v>0</v>
      </c>
      <c r="DT10" s="7"/>
      <c r="DU10" s="7"/>
      <c r="DV10" s="7"/>
      <c r="DW10" s="39">
        <f t="shared" si="33"/>
        <v>0</v>
      </c>
      <c r="DX10" s="7"/>
      <c r="DY10" s="7"/>
      <c r="DZ10" s="7"/>
      <c r="EA10" s="39">
        <f t="shared" si="34"/>
        <v>0</v>
      </c>
      <c r="EB10" s="7"/>
      <c r="EC10" s="7"/>
      <c r="ED10" s="7"/>
      <c r="EE10" s="39">
        <f t="shared" si="35"/>
        <v>0</v>
      </c>
      <c r="EF10" s="7"/>
      <c r="EG10" s="7"/>
      <c r="EH10" s="7"/>
      <c r="EI10" s="39">
        <f t="shared" si="36"/>
        <v>0</v>
      </c>
      <c r="EJ10" s="7"/>
      <c r="EK10" s="7"/>
      <c r="EL10" s="7"/>
      <c r="EM10" s="39">
        <f t="shared" si="37"/>
        <v>0</v>
      </c>
      <c r="EN10" s="7"/>
      <c r="EO10" s="7"/>
      <c r="EP10" s="7"/>
      <c r="EQ10" s="39">
        <f t="shared" si="38"/>
        <v>0</v>
      </c>
      <c r="ER10" s="7"/>
      <c r="ES10" s="7"/>
      <c r="ET10" s="7"/>
      <c r="EU10" s="39">
        <f t="shared" si="39"/>
        <v>0</v>
      </c>
      <c r="EV10" s="7"/>
      <c r="EW10" s="7"/>
      <c r="EX10" s="7"/>
      <c r="EY10" s="39">
        <f t="shared" si="40"/>
        <v>0</v>
      </c>
      <c r="EZ10" s="7">
        <v>1.0</v>
      </c>
      <c r="FA10" s="7">
        <v>1.0</v>
      </c>
      <c r="FB10" s="7">
        <v>1.0</v>
      </c>
      <c r="FC10" s="39">
        <f t="shared" si="41"/>
        <v>5</v>
      </c>
      <c r="FD10" s="7">
        <v>1.0</v>
      </c>
      <c r="FE10" s="7">
        <v>1.0</v>
      </c>
      <c r="FF10" s="7">
        <v>1.0</v>
      </c>
      <c r="FG10" s="39">
        <f t="shared" si="42"/>
        <v>5</v>
      </c>
      <c r="FH10" s="7">
        <v>1.0</v>
      </c>
      <c r="FI10" s="7">
        <v>1.0</v>
      </c>
      <c r="FJ10" s="7"/>
      <c r="FK10" s="39">
        <f t="shared" si="43"/>
        <v>3</v>
      </c>
      <c r="FL10" s="7">
        <v>1.0</v>
      </c>
      <c r="FM10" s="7">
        <v>1.0</v>
      </c>
      <c r="FN10" s="7">
        <v>1.0</v>
      </c>
      <c r="FO10" s="39">
        <f t="shared" si="44"/>
        <v>5</v>
      </c>
      <c r="FP10" s="7">
        <v>1.0</v>
      </c>
      <c r="FQ10" s="7">
        <v>1.0</v>
      </c>
      <c r="FR10" s="7">
        <v>1.0</v>
      </c>
      <c r="FS10" s="39">
        <f t="shared" si="45"/>
        <v>5</v>
      </c>
      <c r="FT10" s="7">
        <v>1.0</v>
      </c>
      <c r="FU10" s="7">
        <v>1.0</v>
      </c>
      <c r="FV10" s="7">
        <v>1.0</v>
      </c>
      <c r="FW10" s="39">
        <f t="shared" si="46"/>
        <v>5</v>
      </c>
      <c r="FX10" s="7"/>
      <c r="FY10" s="7"/>
      <c r="FZ10" s="7">
        <v>1.0</v>
      </c>
      <c r="GA10" s="39">
        <f t="shared" si="47"/>
        <v>7</v>
      </c>
      <c r="GB10" s="7"/>
      <c r="GC10" s="7"/>
      <c r="GD10" s="7"/>
      <c r="GE10" s="39">
        <f t="shared" si="48"/>
        <v>0</v>
      </c>
      <c r="GF10" s="7"/>
      <c r="GG10" s="7"/>
      <c r="GH10" s="7"/>
      <c r="GI10" s="39">
        <f t="shared" si="49"/>
        <v>0</v>
      </c>
      <c r="GJ10" s="7">
        <v>1.0</v>
      </c>
      <c r="GK10" s="7">
        <v>1.0</v>
      </c>
      <c r="GL10" s="7">
        <v>1.0</v>
      </c>
      <c r="GM10" s="39">
        <f t="shared" si="50"/>
        <v>5</v>
      </c>
      <c r="GN10" s="7">
        <v>1.0</v>
      </c>
      <c r="GO10" s="7">
        <v>1.0</v>
      </c>
      <c r="GP10" s="7">
        <v>1.0</v>
      </c>
      <c r="GQ10" s="39">
        <f t="shared" si="51"/>
        <v>5</v>
      </c>
      <c r="GR10" s="7">
        <v>1.0</v>
      </c>
      <c r="GS10" s="7">
        <v>1.0</v>
      </c>
      <c r="GT10" s="7">
        <v>1.0</v>
      </c>
      <c r="GU10" s="7">
        <f t="shared" si="52"/>
        <v>5</v>
      </c>
      <c r="GV10" s="7">
        <v>1.0</v>
      </c>
      <c r="GW10" s="7">
        <v>1.0</v>
      </c>
      <c r="GX10" s="7"/>
      <c r="GY10" s="39">
        <f t="shared" si="53"/>
        <v>3</v>
      </c>
      <c r="GZ10" s="7"/>
      <c r="HA10" s="7"/>
      <c r="HB10" s="7"/>
      <c r="HC10" s="39">
        <f t="shared" si="54"/>
        <v>0</v>
      </c>
      <c r="HD10" s="7"/>
      <c r="HE10" s="7"/>
      <c r="HF10" s="7"/>
      <c r="HG10" s="39">
        <f t="shared" si="55"/>
        <v>0</v>
      </c>
      <c r="HH10" s="7"/>
      <c r="HI10" s="7"/>
      <c r="HJ10" s="7">
        <v>1.0</v>
      </c>
      <c r="HK10" s="39">
        <f t="shared" si="56"/>
        <v>7</v>
      </c>
    </row>
    <row r="11">
      <c r="A11" s="4" t="s">
        <v>26</v>
      </c>
      <c r="B11" s="7" t="s">
        <v>85</v>
      </c>
      <c r="C11" s="1">
        <f t="shared" si="1"/>
        <v>9</v>
      </c>
      <c r="D11" s="15">
        <f>VLOOKUP(A11,TDP!A:C,3,FALSE)</f>
        <v>0.27</v>
      </c>
      <c r="E11" s="37">
        <f t="shared" si="2"/>
        <v>196.85</v>
      </c>
      <c r="F11" s="7">
        <v>1.0</v>
      </c>
      <c r="G11" s="39">
        <f t="shared" si="59"/>
        <v>7</v>
      </c>
      <c r="H11" s="7"/>
      <c r="I11" s="7"/>
      <c r="J11" s="7">
        <v>1.0</v>
      </c>
      <c r="K11" s="39">
        <f t="shared" si="4"/>
        <v>7</v>
      </c>
      <c r="L11" s="7"/>
      <c r="M11" s="7"/>
      <c r="N11" s="7"/>
      <c r="O11" s="39">
        <f t="shared" si="5"/>
        <v>0</v>
      </c>
      <c r="P11" s="7"/>
      <c r="Q11" s="7"/>
      <c r="R11" s="7"/>
      <c r="S11" s="39">
        <f t="shared" si="6"/>
        <v>0</v>
      </c>
      <c r="T11" s="7"/>
      <c r="U11" s="7"/>
      <c r="V11" s="7"/>
      <c r="W11" s="39">
        <f t="shared" si="7"/>
        <v>0</v>
      </c>
      <c r="X11" s="7"/>
      <c r="Y11" s="7"/>
      <c r="Z11" s="7"/>
      <c r="AA11" s="39">
        <f t="shared" si="8"/>
        <v>0</v>
      </c>
      <c r="AB11" s="7"/>
      <c r="AC11" s="7"/>
      <c r="AD11" s="7"/>
      <c r="AE11" s="39">
        <f t="shared" si="9"/>
        <v>0</v>
      </c>
      <c r="AF11" s="7">
        <v>1.0</v>
      </c>
      <c r="AG11" s="7">
        <v>1.0</v>
      </c>
      <c r="AH11" s="7">
        <v>1.0</v>
      </c>
      <c r="AI11" s="39">
        <f t="shared" si="10"/>
        <v>5</v>
      </c>
      <c r="AJ11" s="7">
        <v>1.0</v>
      </c>
      <c r="AK11" s="7">
        <v>1.0</v>
      </c>
      <c r="AL11" s="7">
        <v>1.0</v>
      </c>
      <c r="AM11" s="93">
        <v>0.0</v>
      </c>
      <c r="AN11" s="7"/>
      <c r="AO11" s="7"/>
      <c r="AP11" s="7">
        <v>1.0</v>
      </c>
      <c r="AQ11" s="39">
        <f t="shared" si="12"/>
        <v>7</v>
      </c>
      <c r="AR11" s="41"/>
      <c r="AS11" s="41"/>
      <c r="AT11" s="41"/>
      <c r="AU11" s="42">
        <f t="shared" si="13"/>
        <v>0</v>
      </c>
      <c r="AV11" s="7"/>
      <c r="AW11" s="7"/>
      <c r="AX11" s="7"/>
      <c r="AY11" s="39">
        <f t="shared" si="14"/>
        <v>0</v>
      </c>
      <c r="AZ11" s="7">
        <v>1.0</v>
      </c>
      <c r="BA11" s="7">
        <v>1.0</v>
      </c>
      <c r="BB11" s="7">
        <v>1.0</v>
      </c>
      <c r="BC11" s="39">
        <f t="shared" ref="BC11:BC45" si="60"> if( AZ11=1, if( BA11=1, if( BB11=1, 5, 3), if( BB11=1, 1, -3 ) ), if(BA11=1,if(BB11=1, -1, -2 ), if(BB11=1, 7, 0 ) ) )</f>
        <v>5</v>
      </c>
      <c r="BD11" s="7">
        <v>1.0</v>
      </c>
      <c r="BE11" s="7">
        <v>1.0</v>
      </c>
      <c r="BF11" s="7">
        <v>1.0</v>
      </c>
      <c r="BG11" s="39">
        <f t="shared" si="16"/>
        <v>5</v>
      </c>
      <c r="BH11" s="7">
        <v>1.0</v>
      </c>
      <c r="BI11" s="7">
        <v>1.0</v>
      </c>
      <c r="BJ11" s="7">
        <v>1.0</v>
      </c>
      <c r="BK11" s="39">
        <f t="shared" si="17"/>
        <v>5</v>
      </c>
      <c r="BL11" s="7">
        <v>1.0</v>
      </c>
      <c r="BM11" s="7">
        <v>1.0</v>
      </c>
      <c r="BN11" s="7">
        <v>1.0</v>
      </c>
      <c r="BO11" s="39">
        <f t="shared" si="18"/>
        <v>5</v>
      </c>
      <c r="BP11" s="7">
        <v>1.0</v>
      </c>
      <c r="BQ11" s="7">
        <v>1.0</v>
      </c>
      <c r="BR11" s="7">
        <v>1.0</v>
      </c>
      <c r="BS11" s="39">
        <f t="shared" si="19"/>
        <v>5</v>
      </c>
      <c r="BT11" s="7">
        <v>1.0</v>
      </c>
      <c r="BU11" s="7">
        <v>1.0</v>
      </c>
      <c r="BV11" s="7">
        <v>1.0</v>
      </c>
      <c r="BW11" s="39">
        <f t="shared" si="20"/>
        <v>5</v>
      </c>
      <c r="BX11" s="7"/>
      <c r="BY11" s="7"/>
      <c r="BZ11" s="7">
        <v>1.0</v>
      </c>
      <c r="CA11" s="39">
        <f t="shared" si="21"/>
        <v>7</v>
      </c>
      <c r="CB11" s="7"/>
      <c r="CC11" s="7"/>
      <c r="CD11" s="7">
        <v>1.0</v>
      </c>
      <c r="CE11" s="39">
        <f t="shared" si="22"/>
        <v>7</v>
      </c>
      <c r="CF11" s="7">
        <v>1.0</v>
      </c>
      <c r="CG11" s="7">
        <v>1.0</v>
      </c>
      <c r="CH11" s="7">
        <v>1.0</v>
      </c>
      <c r="CI11" s="39">
        <f t="shared" si="23"/>
        <v>5</v>
      </c>
      <c r="CJ11" s="7"/>
      <c r="CK11" s="7"/>
      <c r="CL11" s="7">
        <v>1.0</v>
      </c>
      <c r="CM11" s="39">
        <f t="shared" si="24"/>
        <v>7</v>
      </c>
      <c r="CN11" s="7"/>
      <c r="CO11" s="7"/>
      <c r="CP11" s="7"/>
      <c r="CQ11" s="39">
        <f t="shared" si="25"/>
        <v>0</v>
      </c>
      <c r="CR11" s="7"/>
      <c r="CS11" s="7"/>
      <c r="CT11" s="7"/>
      <c r="CU11" s="39">
        <f t="shared" si="26"/>
        <v>0</v>
      </c>
      <c r="CV11" s="7">
        <v>1.0</v>
      </c>
      <c r="CW11" s="7">
        <v>1.0</v>
      </c>
      <c r="CX11" s="7">
        <v>1.0</v>
      </c>
      <c r="CY11" s="39">
        <f t="shared" si="27"/>
        <v>5</v>
      </c>
      <c r="CZ11" s="7">
        <v>1.0</v>
      </c>
      <c r="DA11" s="7">
        <v>1.0</v>
      </c>
      <c r="DB11" s="7">
        <v>1.0</v>
      </c>
      <c r="DC11" s="39">
        <f t="shared" si="28"/>
        <v>5</v>
      </c>
      <c r="DD11" s="7">
        <v>1.0</v>
      </c>
      <c r="DE11" s="7">
        <v>1.0</v>
      </c>
      <c r="DF11" s="7"/>
      <c r="DG11" s="39">
        <f t="shared" si="29"/>
        <v>3</v>
      </c>
      <c r="DH11" s="7">
        <v>1.0</v>
      </c>
      <c r="DI11" s="7">
        <v>1.0</v>
      </c>
      <c r="DJ11" s="7">
        <v>1.0</v>
      </c>
      <c r="DK11" s="39">
        <f t="shared" si="30"/>
        <v>5</v>
      </c>
      <c r="DL11" s="7"/>
      <c r="DM11" s="7"/>
      <c r="DN11" s="7"/>
      <c r="DO11" s="39">
        <f t="shared" si="31"/>
        <v>0</v>
      </c>
      <c r="DP11" s="7">
        <v>1.0</v>
      </c>
      <c r="DQ11" s="7">
        <v>1.0</v>
      </c>
      <c r="DR11" s="7">
        <v>1.0</v>
      </c>
      <c r="DS11" s="39">
        <f t="shared" si="32"/>
        <v>5</v>
      </c>
      <c r="DT11" s="7"/>
      <c r="DU11" s="7"/>
      <c r="DV11" s="7"/>
      <c r="DW11" s="39">
        <f t="shared" si="33"/>
        <v>0</v>
      </c>
      <c r="DX11" s="7"/>
      <c r="DY11" s="7"/>
      <c r="DZ11" s="7"/>
      <c r="EA11" s="39">
        <f t="shared" si="34"/>
        <v>0</v>
      </c>
      <c r="EB11" s="7"/>
      <c r="EC11" s="7"/>
      <c r="ED11" s="7"/>
      <c r="EE11" s="39">
        <f t="shared" si="35"/>
        <v>0</v>
      </c>
      <c r="EF11" s="7"/>
      <c r="EG11" s="7"/>
      <c r="EH11" s="7"/>
      <c r="EI11" s="39">
        <f t="shared" si="36"/>
        <v>0</v>
      </c>
      <c r="EJ11" s="7">
        <v>1.0</v>
      </c>
      <c r="EK11" s="7">
        <v>1.0</v>
      </c>
      <c r="EL11" s="7">
        <v>1.0</v>
      </c>
      <c r="EM11" s="39">
        <f t="shared" si="37"/>
        <v>5</v>
      </c>
      <c r="EN11" s="7"/>
      <c r="EO11" s="7"/>
      <c r="EP11" s="7"/>
      <c r="EQ11" s="39">
        <f t="shared" si="38"/>
        <v>0</v>
      </c>
      <c r="ER11" s="7"/>
      <c r="ES11" s="7"/>
      <c r="ET11" s="7"/>
      <c r="EU11" s="39">
        <f t="shared" si="39"/>
        <v>0</v>
      </c>
      <c r="EV11" s="7">
        <v>1.0</v>
      </c>
      <c r="EW11" s="7">
        <v>1.0</v>
      </c>
      <c r="EX11" s="7">
        <v>1.0</v>
      </c>
      <c r="EY11" s="39">
        <f t="shared" si="40"/>
        <v>5</v>
      </c>
      <c r="EZ11" s="7">
        <v>1.0</v>
      </c>
      <c r="FA11" s="7">
        <v>1.0</v>
      </c>
      <c r="FB11" s="7">
        <v>1.0</v>
      </c>
      <c r="FC11" s="39">
        <f t="shared" si="41"/>
        <v>5</v>
      </c>
      <c r="FD11" s="7">
        <v>1.0</v>
      </c>
      <c r="FE11" s="7">
        <v>1.0</v>
      </c>
      <c r="FF11" s="7">
        <v>1.0</v>
      </c>
      <c r="FG11" s="39">
        <f t="shared" si="42"/>
        <v>5</v>
      </c>
      <c r="FH11" s="7">
        <v>1.0</v>
      </c>
      <c r="FI11" s="7">
        <v>1.0</v>
      </c>
      <c r="FJ11" s="7">
        <v>1.0</v>
      </c>
      <c r="FK11" s="39">
        <f t="shared" si="43"/>
        <v>5</v>
      </c>
      <c r="FL11" s="7">
        <v>1.0</v>
      </c>
      <c r="FM11" s="7">
        <v>1.0</v>
      </c>
      <c r="FN11" s="7">
        <v>1.0</v>
      </c>
      <c r="FO11" s="39">
        <f t="shared" si="44"/>
        <v>5</v>
      </c>
      <c r="FP11" s="7"/>
      <c r="FQ11" s="7"/>
      <c r="FR11" s="7"/>
      <c r="FS11" s="39">
        <f t="shared" si="45"/>
        <v>0</v>
      </c>
      <c r="FT11" s="7">
        <v>1.0</v>
      </c>
      <c r="FU11" s="7">
        <v>1.0</v>
      </c>
      <c r="FV11" s="7">
        <v>1.0</v>
      </c>
      <c r="FW11" s="39">
        <f t="shared" si="46"/>
        <v>5</v>
      </c>
      <c r="FX11" s="7"/>
      <c r="FY11" s="7"/>
      <c r="FZ11" s="7"/>
      <c r="GA11" s="39">
        <f t="shared" si="47"/>
        <v>0</v>
      </c>
      <c r="GB11" s="7"/>
      <c r="GC11" s="7"/>
      <c r="GD11" s="7"/>
      <c r="GE11" s="7">
        <f t="shared" si="48"/>
        <v>0</v>
      </c>
      <c r="GF11" s="7"/>
      <c r="GG11" s="7"/>
      <c r="GH11" s="7"/>
      <c r="GI11" s="39">
        <f t="shared" si="49"/>
        <v>0</v>
      </c>
      <c r="GJ11" s="7"/>
      <c r="GK11" s="7"/>
      <c r="GL11" s="7"/>
      <c r="GM11" s="39">
        <f t="shared" si="50"/>
        <v>0</v>
      </c>
      <c r="GN11" s="7"/>
      <c r="GO11" s="7"/>
      <c r="GP11" s="7"/>
      <c r="GQ11" s="39">
        <f t="shared" si="51"/>
        <v>0</v>
      </c>
      <c r="GR11" s="7">
        <v>1.0</v>
      </c>
      <c r="GS11" s="7">
        <v>1.0</v>
      </c>
      <c r="GT11" s="7">
        <v>1.0</v>
      </c>
      <c r="GU11" s="146">
        <v>0.0</v>
      </c>
      <c r="GV11" s="7">
        <v>1.0</v>
      </c>
      <c r="GW11" s="7">
        <v>1.0</v>
      </c>
      <c r="GX11" s="7"/>
      <c r="GY11" s="39">
        <f t="shared" si="53"/>
        <v>3</v>
      </c>
      <c r="GZ11" s="7">
        <v>1.0</v>
      </c>
      <c r="HA11" s="7">
        <v>1.0</v>
      </c>
      <c r="HB11" s="7"/>
      <c r="HC11" s="147">
        <v>0.0</v>
      </c>
      <c r="HD11" s="7">
        <v>1.0</v>
      </c>
      <c r="HE11" s="7">
        <v>1.0</v>
      </c>
      <c r="HF11" s="7">
        <v>1.0</v>
      </c>
      <c r="HG11" s="39">
        <f t="shared" si="55"/>
        <v>5</v>
      </c>
      <c r="HH11" s="7"/>
      <c r="HI11" s="7"/>
      <c r="HJ11" s="7">
        <v>1.0</v>
      </c>
      <c r="HK11" s="39">
        <f t="shared" si="56"/>
        <v>7</v>
      </c>
    </row>
    <row r="12">
      <c r="A12" s="4" t="s">
        <v>117</v>
      </c>
      <c r="B12" s="7"/>
      <c r="C12" s="1">
        <f t="shared" si="1"/>
        <v>10</v>
      </c>
      <c r="D12" s="15">
        <f>VLOOKUP(A12,TDP!A:C,3,FALSE)</f>
        <v>0.16</v>
      </c>
      <c r="E12" s="37">
        <f t="shared" si="2"/>
        <v>186.76</v>
      </c>
      <c r="F12" s="7">
        <v>1.0</v>
      </c>
      <c r="G12" s="39">
        <f>if($F12=1, 7, 0 )</f>
        <v>7</v>
      </c>
      <c r="H12" s="7">
        <v>1.0</v>
      </c>
      <c r="I12" s="7">
        <v>1.0</v>
      </c>
      <c r="J12" s="7"/>
      <c r="K12" s="39">
        <f t="shared" si="4"/>
        <v>3</v>
      </c>
      <c r="L12" s="7">
        <v>1.0</v>
      </c>
      <c r="M12" s="7">
        <v>1.0</v>
      </c>
      <c r="N12" s="7"/>
      <c r="O12" s="39">
        <f t="shared" si="5"/>
        <v>3</v>
      </c>
      <c r="P12" s="7"/>
      <c r="Q12" s="7"/>
      <c r="R12" s="7"/>
      <c r="S12" s="39">
        <f t="shared" si="6"/>
        <v>0</v>
      </c>
      <c r="T12" s="7"/>
      <c r="U12" s="7"/>
      <c r="V12" s="7"/>
      <c r="W12" s="39">
        <f t="shared" si="7"/>
        <v>0</v>
      </c>
      <c r="X12" s="7">
        <v>1.0</v>
      </c>
      <c r="Y12" s="7">
        <v>1.0</v>
      </c>
      <c r="Z12" s="7">
        <v>1.0</v>
      </c>
      <c r="AA12" s="39">
        <f t="shared" si="8"/>
        <v>5</v>
      </c>
      <c r="AB12" s="7">
        <v>1.0</v>
      </c>
      <c r="AC12" s="7">
        <v>1.0</v>
      </c>
      <c r="AD12" s="7">
        <v>1.0</v>
      </c>
      <c r="AE12" s="39">
        <f t="shared" si="9"/>
        <v>5</v>
      </c>
      <c r="AF12" s="7"/>
      <c r="AG12" s="7"/>
      <c r="AH12" s="7"/>
      <c r="AI12" s="39">
        <f t="shared" si="10"/>
        <v>0</v>
      </c>
      <c r="AJ12" s="7"/>
      <c r="AK12" s="7"/>
      <c r="AL12" s="7"/>
      <c r="AM12" s="93">
        <f t="shared" ref="AM12:AM45" si="61"> if( AJ12=1, if( AK12=1, if( AL12=1, 5, 3), if( AL12=1, 1, -3 ) ), if(AK12=1,if(AL12=1, -1, -2 ), if(AL12=1, 7, 0 ) ) )</f>
        <v>0</v>
      </c>
      <c r="AN12" s="7">
        <v>1.0</v>
      </c>
      <c r="AO12" s="7">
        <v>1.0</v>
      </c>
      <c r="AP12" s="7">
        <v>1.0</v>
      </c>
      <c r="AQ12" s="39">
        <f t="shared" si="12"/>
        <v>5</v>
      </c>
      <c r="AR12" s="41"/>
      <c r="AS12" s="41"/>
      <c r="AT12" s="41"/>
      <c r="AU12" s="42">
        <f t="shared" si="13"/>
        <v>0</v>
      </c>
      <c r="AV12" s="7">
        <v>1.0</v>
      </c>
      <c r="AW12" s="7">
        <v>1.0</v>
      </c>
      <c r="AX12" s="7">
        <v>1.0</v>
      </c>
      <c r="AY12" s="39">
        <f t="shared" si="14"/>
        <v>5</v>
      </c>
      <c r="AZ12" s="7">
        <v>1.0</v>
      </c>
      <c r="BA12" s="7">
        <v>1.0</v>
      </c>
      <c r="BB12" s="7"/>
      <c r="BC12" s="39">
        <f t="shared" si="60"/>
        <v>3</v>
      </c>
      <c r="BD12" s="7">
        <v>1.0</v>
      </c>
      <c r="BE12" s="7">
        <v>1.0</v>
      </c>
      <c r="BF12" s="7"/>
      <c r="BG12" s="39">
        <f t="shared" si="16"/>
        <v>3</v>
      </c>
      <c r="BH12" s="7">
        <v>1.0</v>
      </c>
      <c r="BI12" s="7">
        <v>1.0</v>
      </c>
      <c r="BJ12" s="7"/>
      <c r="BK12" s="39">
        <f t="shared" si="17"/>
        <v>3</v>
      </c>
      <c r="BL12" s="7"/>
      <c r="BM12" s="7"/>
      <c r="BN12" s="7"/>
      <c r="BO12" s="39">
        <f t="shared" si="18"/>
        <v>0</v>
      </c>
      <c r="BP12" s="7">
        <v>1.0</v>
      </c>
      <c r="BQ12" s="7">
        <v>1.0</v>
      </c>
      <c r="BR12" s="7"/>
      <c r="BS12" s="39">
        <f t="shared" si="19"/>
        <v>3</v>
      </c>
      <c r="BT12" s="7">
        <v>1.0</v>
      </c>
      <c r="BU12" s="7">
        <v>1.0</v>
      </c>
      <c r="BV12" s="7">
        <v>1.0</v>
      </c>
      <c r="BW12" s="39">
        <f t="shared" si="20"/>
        <v>5</v>
      </c>
      <c r="BX12" s="7">
        <v>1.0</v>
      </c>
      <c r="BY12" s="7">
        <v>1.0</v>
      </c>
      <c r="BZ12" s="7"/>
      <c r="CA12" s="39">
        <f t="shared" si="21"/>
        <v>3</v>
      </c>
      <c r="CB12" s="7">
        <v>1.0</v>
      </c>
      <c r="CC12" s="7">
        <v>1.0</v>
      </c>
      <c r="CD12" s="7">
        <v>1.0</v>
      </c>
      <c r="CE12" s="39">
        <f t="shared" si="22"/>
        <v>5</v>
      </c>
      <c r="CF12" s="7">
        <v>1.0</v>
      </c>
      <c r="CG12" s="7">
        <v>1.0</v>
      </c>
      <c r="CH12" s="7"/>
      <c r="CI12" s="39">
        <f t="shared" si="23"/>
        <v>3</v>
      </c>
      <c r="CJ12" s="7"/>
      <c r="CK12" s="7"/>
      <c r="CL12" s="7"/>
      <c r="CM12" s="39">
        <f t="shared" si="24"/>
        <v>0</v>
      </c>
      <c r="CN12" s="7"/>
      <c r="CO12" s="7"/>
      <c r="CP12" s="7"/>
      <c r="CQ12" s="39">
        <f t="shared" si="25"/>
        <v>0</v>
      </c>
      <c r="CR12" s="7">
        <v>1.0</v>
      </c>
      <c r="CS12" s="7">
        <v>1.0</v>
      </c>
      <c r="CT12" s="7"/>
      <c r="CU12" s="39">
        <f t="shared" si="26"/>
        <v>3</v>
      </c>
      <c r="CV12" s="7">
        <v>1.0</v>
      </c>
      <c r="CW12" s="7">
        <v>1.0</v>
      </c>
      <c r="CX12" s="7">
        <v>1.0</v>
      </c>
      <c r="CY12" s="39">
        <f t="shared" si="27"/>
        <v>5</v>
      </c>
      <c r="CZ12" s="7"/>
      <c r="DA12" s="7"/>
      <c r="DB12" s="7"/>
      <c r="DC12" s="39">
        <f t="shared" si="28"/>
        <v>0</v>
      </c>
      <c r="DD12" s="7"/>
      <c r="DE12" s="7"/>
      <c r="DF12" s="7"/>
      <c r="DG12" s="39">
        <f t="shared" si="29"/>
        <v>0</v>
      </c>
      <c r="DH12" s="7"/>
      <c r="DI12" s="7"/>
      <c r="DJ12" s="7"/>
      <c r="DK12" s="39">
        <f t="shared" si="30"/>
        <v>0</v>
      </c>
      <c r="DL12" s="7"/>
      <c r="DM12" s="7"/>
      <c r="DN12" s="7"/>
      <c r="DO12" s="39">
        <f t="shared" si="31"/>
        <v>0</v>
      </c>
      <c r="DP12" s="7">
        <v>1.0</v>
      </c>
      <c r="DQ12" s="7">
        <v>1.0</v>
      </c>
      <c r="DR12" s="7">
        <v>1.0</v>
      </c>
      <c r="DS12" s="39">
        <f t="shared" si="32"/>
        <v>5</v>
      </c>
      <c r="DT12" s="7">
        <v>1.0</v>
      </c>
      <c r="DU12" s="7">
        <v>1.0</v>
      </c>
      <c r="DV12" s="7">
        <v>1.0</v>
      </c>
      <c r="DW12" s="39">
        <f t="shared" si="33"/>
        <v>5</v>
      </c>
      <c r="DX12" s="7"/>
      <c r="DY12" s="7"/>
      <c r="DZ12" s="7"/>
      <c r="EA12" s="39">
        <f t="shared" si="34"/>
        <v>0</v>
      </c>
      <c r="EB12" s="7">
        <v>1.0</v>
      </c>
      <c r="EC12" s="7">
        <v>1.0</v>
      </c>
      <c r="ED12" s="7">
        <v>1.0</v>
      </c>
      <c r="EE12" s="39">
        <f t="shared" si="35"/>
        <v>5</v>
      </c>
      <c r="EF12" s="7">
        <v>1.0</v>
      </c>
      <c r="EG12" s="7">
        <v>1.0</v>
      </c>
      <c r="EH12" s="7"/>
      <c r="EI12" s="39">
        <f t="shared" si="36"/>
        <v>3</v>
      </c>
      <c r="EJ12" s="7">
        <v>1.0</v>
      </c>
      <c r="EK12" s="7">
        <v>1.0</v>
      </c>
      <c r="EL12" s="7">
        <v>1.0</v>
      </c>
      <c r="EM12" s="39">
        <f t="shared" si="37"/>
        <v>5</v>
      </c>
      <c r="EN12" s="7">
        <v>1.0</v>
      </c>
      <c r="EO12" s="7">
        <v>1.0</v>
      </c>
      <c r="EP12" s="7">
        <v>1.0</v>
      </c>
      <c r="EQ12" s="39">
        <f t="shared" si="38"/>
        <v>5</v>
      </c>
      <c r="ER12" s="7">
        <v>1.0</v>
      </c>
      <c r="ES12" s="7">
        <v>1.0</v>
      </c>
      <c r="ET12" s="7">
        <v>1.0</v>
      </c>
      <c r="EU12" s="39">
        <f t="shared" si="39"/>
        <v>5</v>
      </c>
      <c r="EV12" s="7">
        <v>1.0</v>
      </c>
      <c r="EW12" s="7">
        <v>1.0</v>
      </c>
      <c r="EX12" s="7">
        <v>1.0</v>
      </c>
      <c r="EY12" s="39">
        <f t="shared" si="40"/>
        <v>5</v>
      </c>
      <c r="EZ12" s="7">
        <v>1.0</v>
      </c>
      <c r="FA12" s="7">
        <v>1.0</v>
      </c>
      <c r="FB12" s="7">
        <v>1.0</v>
      </c>
      <c r="FC12" s="39">
        <f t="shared" si="41"/>
        <v>5</v>
      </c>
      <c r="FD12" s="7">
        <v>1.0</v>
      </c>
      <c r="FE12" s="7">
        <v>1.0</v>
      </c>
      <c r="FF12" s="7"/>
      <c r="FG12" s="39">
        <f t="shared" si="42"/>
        <v>3</v>
      </c>
      <c r="FH12" s="7">
        <v>1.0</v>
      </c>
      <c r="FI12" s="7">
        <v>1.0</v>
      </c>
      <c r="FJ12" s="7">
        <v>1.0</v>
      </c>
      <c r="FK12" s="39">
        <f t="shared" si="43"/>
        <v>5</v>
      </c>
      <c r="FL12" s="7">
        <v>1.0</v>
      </c>
      <c r="FM12" s="7">
        <v>1.0</v>
      </c>
      <c r="FN12" s="7"/>
      <c r="FO12" s="39">
        <f t="shared" si="44"/>
        <v>3</v>
      </c>
      <c r="FP12" s="7">
        <v>1.0</v>
      </c>
      <c r="FQ12" s="7">
        <v>1.0</v>
      </c>
      <c r="FR12" s="7">
        <v>1.0</v>
      </c>
      <c r="FS12" s="39">
        <f t="shared" si="45"/>
        <v>5</v>
      </c>
      <c r="FT12" s="7">
        <v>1.0</v>
      </c>
      <c r="FU12" s="7">
        <v>1.0</v>
      </c>
      <c r="FV12" s="7">
        <v>1.0</v>
      </c>
      <c r="FW12" s="39">
        <f t="shared" si="46"/>
        <v>5</v>
      </c>
      <c r="FX12" s="7">
        <v>1.0</v>
      </c>
      <c r="FY12" s="7">
        <v>1.0</v>
      </c>
      <c r="FZ12" s="7">
        <v>1.0</v>
      </c>
      <c r="GA12" s="39">
        <f t="shared" si="47"/>
        <v>5</v>
      </c>
      <c r="GB12" s="7"/>
      <c r="GC12" s="7"/>
      <c r="GD12" s="7"/>
      <c r="GE12" s="146">
        <f t="shared" si="48"/>
        <v>0</v>
      </c>
      <c r="GF12" s="7">
        <v>1.0</v>
      </c>
      <c r="GG12" s="7">
        <v>1.0</v>
      </c>
      <c r="GH12" s="7">
        <v>1.0</v>
      </c>
      <c r="GI12" s="39">
        <f t="shared" si="49"/>
        <v>5</v>
      </c>
      <c r="GJ12" s="7">
        <v>1.0</v>
      </c>
      <c r="GK12" s="7">
        <v>1.0</v>
      </c>
      <c r="GL12" s="7"/>
      <c r="GM12" s="39">
        <f t="shared" si="50"/>
        <v>3</v>
      </c>
      <c r="GN12" s="7">
        <v>1.0</v>
      </c>
      <c r="GO12" s="7">
        <v>1.0</v>
      </c>
      <c r="GP12" s="7">
        <v>1.0</v>
      </c>
      <c r="GQ12" s="39">
        <f> if( GN11=1, if( GO11=1, if( GP11=1, 5, 3), if( GP11=1, 1, -3 ) ), if(GO11=1,if(GP11=1, -1, -2 ), if(GP11=1, 7, 0 ) ) )</f>
        <v>0</v>
      </c>
      <c r="GR12" s="7"/>
      <c r="GS12" s="7"/>
      <c r="GT12" s="7"/>
      <c r="GU12" s="149">
        <f t="shared" ref="GU12:GU45" si="62"> if( GR12=1, if( GS12=1, if( GT12=1, 5, 3), if( GT12=1, 1, -3 ) ), if(GS12=1,if(GT12=1, -1, -2 ), if(GT12=1, 7, 0 ) ) )</f>
        <v>0</v>
      </c>
      <c r="GV12" s="7"/>
      <c r="GW12" s="7"/>
      <c r="GX12" s="7">
        <v>1.0</v>
      </c>
      <c r="GY12" s="147">
        <f t="shared" si="53"/>
        <v>7</v>
      </c>
      <c r="GZ12" s="7"/>
      <c r="HA12" s="7"/>
      <c r="HB12" s="7"/>
      <c r="HC12" s="39">
        <f t="shared" ref="HC12:HC45" si="63"> if( GZ12=1, if( HA12=1, if( HB12=1, 5, 3), if( HB12=1, 1, -3 ) ), if(HA12=1,if(HB12=1, -1, -2 ), if(HB12=1, 7, 0 ) ) )</f>
        <v>0</v>
      </c>
      <c r="HD12" s="7">
        <v>1.0</v>
      </c>
      <c r="HE12" s="7">
        <v>1.0</v>
      </c>
      <c r="HF12" s="7"/>
      <c r="HG12" s="39">
        <f t="shared" si="55"/>
        <v>3</v>
      </c>
      <c r="HH12" s="7">
        <v>1.0</v>
      </c>
      <c r="HI12" s="7">
        <v>1.0</v>
      </c>
      <c r="HJ12" s="7">
        <v>1.0</v>
      </c>
      <c r="HK12" s="39">
        <f t="shared" si="56"/>
        <v>5</v>
      </c>
    </row>
    <row r="13">
      <c r="A13" s="20" t="s">
        <v>55</v>
      </c>
      <c r="B13" s="21" t="s">
        <v>193</v>
      </c>
      <c r="C13" s="1">
        <f t="shared" si="1"/>
        <v>11</v>
      </c>
      <c r="D13" s="15">
        <f>VLOOKUP(A13,TDP!A:C,3,FALSE)</f>
        <v>0.3</v>
      </c>
      <c r="E13" s="37">
        <f t="shared" si="2"/>
        <v>172.9</v>
      </c>
      <c r="F13" s="7">
        <v>1.0</v>
      </c>
      <c r="G13" s="93">
        <v>0.0</v>
      </c>
      <c r="H13" s="7">
        <v>1.0</v>
      </c>
      <c r="I13" s="7">
        <v>1.0</v>
      </c>
      <c r="J13" s="7">
        <v>1.0</v>
      </c>
      <c r="K13" s="39">
        <f t="shared" si="4"/>
        <v>5</v>
      </c>
      <c r="L13" s="7">
        <v>1.0</v>
      </c>
      <c r="M13" s="7">
        <v>1.0</v>
      </c>
      <c r="N13" s="7"/>
      <c r="O13" s="39">
        <f t="shared" si="5"/>
        <v>3</v>
      </c>
      <c r="P13" s="7">
        <v>1.0</v>
      </c>
      <c r="Q13" s="7">
        <v>1.0</v>
      </c>
      <c r="R13" s="7"/>
      <c r="S13" s="39">
        <f t="shared" si="6"/>
        <v>3</v>
      </c>
      <c r="T13" s="7"/>
      <c r="U13" s="7"/>
      <c r="V13" s="7">
        <v>1.0</v>
      </c>
      <c r="W13" s="39">
        <f t="shared" si="7"/>
        <v>7</v>
      </c>
      <c r="X13" s="7">
        <v>1.0</v>
      </c>
      <c r="Y13" s="7">
        <v>1.0</v>
      </c>
      <c r="Z13" s="7">
        <v>1.0</v>
      </c>
      <c r="AA13" s="39">
        <f t="shared" si="8"/>
        <v>5</v>
      </c>
      <c r="AB13" s="7">
        <v>1.0</v>
      </c>
      <c r="AC13" s="7">
        <v>1.0</v>
      </c>
      <c r="AD13" s="7">
        <v>1.0</v>
      </c>
      <c r="AE13" s="39">
        <f t="shared" si="9"/>
        <v>5</v>
      </c>
      <c r="AF13" s="7">
        <v>1.0</v>
      </c>
      <c r="AG13" s="7">
        <v>1.0</v>
      </c>
      <c r="AH13" s="7">
        <v>1.0</v>
      </c>
      <c r="AI13" s="39">
        <f t="shared" si="10"/>
        <v>5</v>
      </c>
      <c r="AJ13" s="7">
        <v>1.0</v>
      </c>
      <c r="AK13" s="7">
        <v>1.0</v>
      </c>
      <c r="AL13" s="7"/>
      <c r="AM13" s="39">
        <f t="shared" si="61"/>
        <v>3</v>
      </c>
      <c r="AN13" s="7">
        <v>1.0</v>
      </c>
      <c r="AO13" s="7">
        <v>1.0</v>
      </c>
      <c r="AP13" s="7">
        <v>1.0</v>
      </c>
      <c r="AQ13" s="93">
        <v>0.0</v>
      </c>
      <c r="AR13" s="41"/>
      <c r="AS13" s="41"/>
      <c r="AT13" s="41"/>
      <c r="AU13" s="42">
        <f t="shared" si="13"/>
        <v>0</v>
      </c>
      <c r="AV13" s="7">
        <v>1.0</v>
      </c>
      <c r="AW13" s="7">
        <v>1.0</v>
      </c>
      <c r="AX13" s="7"/>
      <c r="AY13" s="39">
        <f t="shared" si="14"/>
        <v>3</v>
      </c>
      <c r="AZ13" s="7">
        <v>1.0</v>
      </c>
      <c r="BA13" s="7">
        <v>1.0</v>
      </c>
      <c r="BB13" s="7">
        <v>1.0</v>
      </c>
      <c r="BC13" s="39">
        <f t="shared" si="60"/>
        <v>5</v>
      </c>
      <c r="BD13" s="7">
        <v>1.0</v>
      </c>
      <c r="BE13" s="7">
        <v>1.0</v>
      </c>
      <c r="BF13" s="7"/>
      <c r="BG13" s="39">
        <f t="shared" si="16"/>
        <v>3</v>
      </c>
      <c r="BH13" s="7">
        <v>1.0</v>
      </c>
      <c r="BI13" s="7">
        <v>1.0</v>
      </c>
      <c r="BJ13" s="7">
        <v>1.0</v>
      </c>
      <c r="BK13" s="39">
        <f t="shared" si="17"/>
        <v>5</v>
      </c>
      <c r="BL13" s="7"/>
      <c r="BM13" s="7"/>
      <c r="BN13" s="7"/>
      <c r="BO13" s="39">
        <f t="shared" si="18"/>
        <v>0</v>
      </c>
      <c r="BP13" s="7"/>
      <c r="BQ13" s="7"/>
      <c r="BR13" s="7"/>
      <c r="BS13" s="39">
        <f t="shared" si="19"/>
        <v>0</v>
      </c>
      <c r="BT13" s="7"/>
      <c r="BU13" s="7"/>
      <c r="BV13" s="7"/>
      <c r="BW13" s="39">
        <f t="shared" si="20"/>
        <v>0</v>
      </c>
      <c r="BX13" s="7">
        <v>1.0</v>
      </c>
      <c r="BY13" s="7">
        <v>1.0</v>
      </c>
      <c r="BZ13" s="7"/>
      <c r="CA13" s="39">
        <f t="shared" si="21"/>
        <v>3</v>
      </c>
      <c r="CB13" s="7">
        <v>1.0</v>
      </c>
      <c r="CC13" s="7">
        <v>1.0</v>
      </c>
      <c r="CD13" s="7"/>
      <c r="CE13" s="39">
        <f t="shared" si="22"/>
        <v>3</v>
      </c>
      <c r="CF13" s="7">
        <v>1.0</v>
      </c>
      <c r="CG13" s="7">
        <v>1.0</v>
      </c>
      <c r="CH13" s="7"/>
      <c r="CI13" s="39">
        <f t="shared" si="23"/>
        <v>3</v>
      </c>
      <c r="CJ13" s="7"/>
      <c r="CK13" s="7"/>
      <c r="CL13" s="7"/>
      <c r="CM13" s="39">
        <f t="shared" si="24"/>
        <v>0</v>
      </c>
      <c r="CN13" s="7">
        <v>1.0</v>
      </c>
      <c r="CO13" s="7">
        <v>1.0</v>
      </c>
      <c r="CP13" s="7"/>
      <c r="CQ13" s="39">
        <f t="shared" si="25"/>
        <v>3</v>
      </c>
      <c r="CR13" s="7"/>
      <c r="CS13" s="7"/>
      <c r="CT13" s="7"/>
      <c r="CU13" s="39">
        <f t="shared" si="26"/>
        <v>0</v>
      </c>
      <c r="CV13" s="7">
        <v>1.0</v>
      </c>
      <c r="CW13" s="7">
        <v>1.0</v>
      </c>
      <c r="CX13" s="7"/>
      <c r="CY13" s="39">
        <f t="shared" si="27"/>
        <v>3</v>
      </c>
      <c r="CZ13" s="7">
        <v>1.0</v>
      </c>
      <c r="DA13" s="7">
        <v>1.0</v>
      </c>
      <c r="DB13" s="7"/>
      <c r="DC13" s="39">
        <f t="shared" si="28"/>
        <v>3</v>
      </c>
      <c r="DD13" s="7">
        <v>1.0</v>
      </c>
      <c r="DE13" s="7">
        <v>1.0</v>
      </c>
      <c r="DF13" s="7"/>
      <c r="DG13" s="39">
        <f t="shared" si="29"/>
        <v>3</v>
      </c>
      <c r="DH13" s="7">
        <v>1.0</v>
      </c>
      <c r="DI13" s="7">
        <v>1.0</v>
      </c>
      <c r="DJ13" s="7">
        <v>1.0</v>
      </c>
      <c r="DK13" s="39">
        <f t="shared" si="30"/>
        <v>5</v>
      </c>
      <c r="DL13" s="7">
        <v>1.0</v>
      </c>
      <c r="DM13" s="7">
        <v>1.0</v>
      </c>
      <c r="DN13" s="7">
        <v>1.0</v>
      </c>
      <c r="DO13" s="39">
        <f t="shared" si="31"/>
        <v>5</v>
      </c>
      <c r="DP13" s="7"/>
      <c r="DQ13" s="7"/>
      <c r="DR13" s="7"/>
      <c r="DS13" s="39">
        <f t="shared" si="32"/>
        <v>0</v>
      </c>
      <c r="DT13" s="7"/>
      <c r="DU13" s="7"/>
      <c r="DV13" s="7"/>
      <c r="DW13" s="39">
        <f t="shared" si="33"/>
        <v>0</v>
      </c>
      <c r="DX13" s="7"/>
      <c r="DY13" s="7"/>
      <c r="DZ13" s="7"/>
      <c r="EA13" s="39">
        <f t="shared" si="34"/>
        <v>0</v>
      </c>
      <c r="EB13" s="7"/>
      <c r="EC13" s="7"/>
      <c r="ED13" s="7"/>
      <c r="EE13" s="39">
        <f t="shared" si="35"/>
        <v>0</v>
      </c>
      <c r="EF13" s="7"/>
      <c r="EG13" s="7"/>
      <c r="EH13" s="7"/>
      <c r="EI13" s="39">
        <f t="shared" si="36"/>
        <v>0</v>
      </c>
      <c r="EJ13" s="7"/>
      <c r="EK13" s="7"/>
      <c r="EL13" s="7"/>
      <c r="EM13" s="39">
        <f t="shared" si="37"/>
        <v>0</v>
      </c>
      <c r="EN13" s="7"/>
      <c r="EO13" s="7"/>
      <c r="EP13" s="7"/>
      <c r="EQ13" s="39">
        <f t="shared" si="38"/>
        <v>0</v>
      </c>
      <c r="ER13" s="7">
        <v>1.0</v>
      </c>
      <c r="ES13" s="7">
        <v>1.0</v>
      </c>
      <c r="ET13" s="7"/>
      <c r="EU13" s="39">
        <f t="shared" si="39"/>
        <v>3</v>
      </c>
      <c r="EV13" s="7">
        <v>1.0</v>
      </c>
      <c r="EW13" s="7">
        <v>1.0</v>
      </c>
      <c r="EX13" s="7">
        <v>1.0</v>
      </c>
      <c r="EY13" s="39">
        <f t="shared" si="40"/>
        <v>5</v>
      </c>
      <c r="EZ13" s="7">
        <v>1.0</v>
      </c>
      <c r="FA13" s="7">
        <v>1.0</v>
      </c>
      <c r="FB13" s="7">
        <v>1.0</v>
      </c>
      <c r="FC13" s="39">
        <f t="shared" si="41"/>
        <v>5</v>
      </c>
      <c r="FD13" s="7">
        <v>1.0</v>
      </c>
      <c r="FE13" s="7">
        <v>1.0</v>
      </c>
      <c r="FF13" s="7">
        <v>1.0</v>
      </c>
      <c r="FG13" s="39">
        <f t="shared" si="42"/>
        <v>5</v>
      </c>
      <c r="FH13" s="7">
        <v>1.0</v>
      </c>
      <c r="FI13" s="7">
        <v>1.0</v>
      </c>
      <c r="FJ13" s="7"/>
      <c r="FK13" s="39">
        <f t="shared" si="43"/>
        <v>3</v>
      </c>
      <c r="FL13" s="7"/>
      <c r="FM13" s="7"/>
      <c r="FN13" s="7"/>
      <c r="FO13" s="39">
        <f t="shared" si="44"/>
        <v>0</v>
      </c>
      <c r="FP13" s="7">
        <v>1.0</v>
      </c>
      <c r="FQ13" s="7">
        <v>1.0</v>
      </c>
      <c r="FR13" s="7"/>
      <c r="FS13" s="39">
        <f t="shared" si="45"/>
        <v>3</v>
      </c>
      <c r="FT13" s="7">
        <v>1.0</v>
      </c>
      <c r="FU13" s="7">
        <v>1.0</v>
      </c>
      <c r="FV13" s="7">
        <v>1.0</v>
      </c>
      <c r="FW13" s="39">
        <f t="shared" si="46"/>
        <v>5</v>
      </c>
      <c r="FX13" s="7"/>
      <c r="FY13" s="7"/>
      <c r="FZ13" s="7">
        <v>1.0</v>
      </c>
      <c r="GA13" s="39">
        <f t="shared" si="47"/>
        <v>7</v>
      </c>
      <c r="GB13" s="7"/>
      <c r="GC13" s="7"/>
      <c r="GD13" s="7"/>
      <c r="GE13" s="7">
        <f t="shared" si="48"/>
        <v>0</v>
      </c>
      <c r="GF13" s="7"/>
      <c r="GG13" s="7"/>
      <c r="GH13" s="7"/>
      <c r="GI13" s="39">
        <f t="shared" si="49"/>
        <v>0</v>
      </c>
      <c r="GJ13" s="7"/>
      <c r="GK13" s="7"/>
      <c r="GL13" s="7">
        <v>1.0</v>
      </c>
      <c r="GM13" s="39">
        <f t="shared" si="50"/>
        <v>7</v>
      </c>
      <c r="GN13" s="7"/>
      <c r="GO13" s="7"/>
      <c r="GP13" s="7">
        <v>1.0</v>
      </c>
      <c r="GQ13" s="39">
        <f t="shared" ref="GQ13:GQ45" si="64"> if( GN13=1, if( GO13=1, if( GP13=1, 5, 3), if( GP13=1, 1, -3 ) ), if(GO13=1,if(GP13=1, -1, -2 ), if(GP13=1, 7, 0 ) ) )</f>
        <v>7</v>
      </c>
      <c r="GR13" s="7"/>
      <c r="GS13" s="7"/>
      <c r="GT13" s="7"/>
      <c r="GU13" s="39">
        <f t="shared" si="62"/>
        <v>0</v>
      </c>
      <c r="GV13" s="7"/>
      <c r="GW13" s="7"/>
      <c r="GX13" s="7"/>
      <c r="GY13" s="39">
        <f t="shared" si="53"/>
        <v>0</v>
      </c>
      <c r="GZ13" s="7"/>
      <c r="HA13" s="7"/>
      <c r="HB13" s="7"/>
      <c r="HC13" s="39">
        <f t="shared" si="63"/>
        <v>0</v>
      </c>
      <c r="HD13" s="7"/>
      <c r="HE13" s="7"/>
      <c r="HF13" s="7"/>
      <c r="HG13" s="39">
        <f t="shared" si="55"/>
        <v>0</v>
      </c>
      <c r="HH13" s="7"/>
      <c r="HI13" s="7"/>
      <c r="HJ13" s="7"/>
      <c r="HK13" s="39">
        <f t="shared" si="56"/>
        <v>0</v>
      </c>
    </row>
    <row r="14">
      <c r="A14" s="20" t="s">
        <v>42</v>
      </c>
      <c r="B14" s="21" t="s">
        <v>124</v>
      </c>
      <c r="C14" s="1">
        <f t="shared" si="1"/>
        <v>12</v>
      </c>
      <c r="D14" s="15">
        <f>VLOOKUP(A14,TDP!A:C,3,FALSE)</f>
        <v>0.17</v>
      </c>
      <c r="E14" s="37">
        <f t="shared" si="2"/>
        <v>159.12</v>
      </c>
      <c r="F14" s="7">
        <v>1.0</v>
      </c>
      <c r="G14" s="39">
        <f t="shared" ref="G14:G45" si="65">if($F14=1, 7, 0 )</f>
        <v>7</v>
      </c>
      <c r="H14" s="7"/>
      <c r="I14" s="7"/>
      <c r="J14" s="7">
        <v>1.0</v>
      </c>
      <c r="K14" s="39">
        <f t="shared" si="4"/>
        <v>7</v>
      </c>
      <c r="L14" s="7"/>
      <c r="M14" s="7"/>
      <c r="N14" s="7"/>
      <c r="O14" s="39">
        <f t="shared" si="5"/>
        <v>0</v>
      </c>
      <c r="P14" s="7"/>
      <c r="Q14" s="7"/>
      <c r="R14" s="7">
        <v>1.0</v>
      </c>
      <c r="S14" s="39">
        <f t="shared" si="6"/>
        <v>7</v>
      </c>
      <c r="T14" s="7"/>
      <c r="U14" s="7"/>
      <c r="V14" s="7"/>
      <c r="W14" s="39">
        <f t="shared" si="7"/>
        <v>0</v>
      </c>
      <c r="X14" s="7"/>
      <c r="Y14" s="7"/>
      <c r="Z14" s="7">
        <v>1.0</v>
      </c>
      <c r="AA14" s="39">
        <f t="shared" si="8"/>
        <v>7</v>
      </c>
      <c r="AB14" s="7"/>
      <c r="AC14" s="7"/>
      <c r="AD14" s="7">
        <v>1.0</v>
      </c>
      <c r="AE14" s="39">
        <f t="shared" si="9"/>
        <v>7</v>
      </c>
      <c r="AF14" s="7"/>
      <c r="AG14" s="7"/>
      <c r="AH14" s="7">
        <v>1.0</v>
      </c>
      <c r="AI14" s="39">
        <f t="shared" si="10"/>
        <v>7</v>
      </c>
      <c r="AJ14" s="7"/>
      <c r="AK14" s="7"/>
      <c r="AL14" s="7">
        <v>1.0</v>
      </c>
      <c r="AM14" s="39">
        <f t="shared" si="61"/>
        <v>7</v>
      </c>
      <c r="AN14" s="7"/>
      <c r="AO14" s="7"/>
      <c r="AP14" s="7"/>
      <c r="AQ14" s="39">
        <f t="shared" ref="AQ14:AQ16" si="66"> if( AN14=1, if( AO14=1, if( AP14=1, 5, 3), if( AP14=1, 1, -3 ) ), if(AO14=1,if(AP14=1, -1, -2 ), if(AP14=1, 7, 0 ) ) )</f>
        <v>0</v>
      </c>
      <c r="AR14" s="41"/>
      <c r="AS14" s="41"/>
      <c r="AT14" s="41"/>
      <c r="AU14" s="42">
        <f t="shared" si="13"/>
        <v>0</v>
      </c>
      <c r="AV14" s="7"/>
      <c r="AW14" s="7"/>
      <c r="AX14" s="7"/>
      <c r="AY14" s="39">
        <f t="shared" si="14"/>
        <v>0</v>
      </c>
      <c r="AZ14" s="7"/>
      <c r="BA14" s="7"/>
      <c r="BB14" s="7"/>
      <c r="BC14" s="39">
        <f t="shared" si="60"/>
        <v>0</v>
      </c>
      <c r="BD14" s="7"/>
      <c r="BE14" s="7"/>
      <c r="BF14" s="7"/>
      <c r="BG14" s="39">
        <f t="shared" si="16"/>
        <v>0</v>
      </c>
      <c r="BH14" s="7"/>
      <c r="BI14" s="7"/>
      <c r="BJ14" s="7">
        <v>1.0</v>
      </c>
      <c r="BK14" s="39">
        <f t="shared" si="17"/>
        <v>7</v>
      </c>
      <c r="BL14" s="7"/>
      <c r="BM14" s="7"/>
      <c r="BN14" s="7"/>
      <c r="BO14" s="39">
        <f t="shared" si="18"/>
        <v>0</v>
      </c>
      <c r="BP14" s="7"/>
      <c r="BQ14" s="7"/>
      <c r="BR14" s="7">
        <v>1.0</v>
      </c>
      <c r="BS14" s="39">
        <f t="shared" si="19"/>
        <v>7</v>
      </c>
      <c r="BT14" s="7"/>
      <c r="BU14" s="7"/>
      <c r="BV14" s="7"/>
      <c r="BW14" s="39">
        <f t="shared" si="20"/>
        <v>0</v>
      </c>
      <c r="BX14" s="7"/>
      <c r="BY14" s="7"/>
      <c r="BZ14" s="7"/>
      <c r="CA14" s="39">
        <f t="shared" si="21"/>
        <v>0</v>
      </c>
      <c r="CB14" s="7"/>
      <c r="CC14" s="7"/>
      <c r="CD14" s="7"/>
      <c r="CE14" s="39">
        <f t="shared" si="22"/>
        <v>0</v>
      </c>
      <c r="CF14" s="7"/>
      <c r="CG14" s="7"/>
      <c r="CH14" s="7"/>
      <c r="CI14" s="39">
        <f t="shared" si="23"/>
        <v>0</v>
      </c>
      <c r="CJ14" s="7">
        <v>1.0</v>
      </c>
      <c r="CK14" s="7">
        <v>1.0</v>
      </c>
      <c r="CL14" s="7">
        <v>1.0</v>
      </c>
      <c r="CM14" s="39">
        <f t="shared" si="24"/>
        <v>5</v>
      </c>
      <c r="CN14" s="7"/>
      <c r="CO14" s="7"/>
      <c r="CP14" s="7"/>
      <c r="CQ14" s="39">
        <f t="shared" si="25"/>
        <v>0</v>
      </c>
      <c r="CR14" s="7"/>
      <c r="CS14" s="7"/>
      <c r="CT14" s="7"/>
      <c r="CU14" s="39">
        <f t="shared" si="26"/>
        <v>0</v>
      </c>
      <c r="CV14" s="7">
        <v>1.0</v>
      </c>
      <c r="CW14" s="7">
        <v>1.0</v>
      </c>
      <c r="CX14" s="7">
        <v>1.0</v>
      </c>
      <c r="CY14" s="39">
        <f t="shared" si="27"/>
        <v>5</v>
      </c>
      <c r="CZ14" s="7">
        <v>1.0</v>
      </c>
      <c r="DA14" s="7">
        <v>1.0</v>
      </c>
      <c r="DB14" s="7"/>
      <c r="DC14" s="39">
        <f t="shared" si="28"/>
        <v>3</v>
      </c>
      <c r="DD14" s="7">
        <v>1.0</v>
      </c>
      <c r="DE14" s="7">
        <v>1.0</v>
      </c>
      <c r="DF14" s="7"/>
      <c r="DG14" s="39">
        <f t="shared" si="29"/>
        <v>3</v>
      </c>
      <c r="DH14" s="7">
        <v>1.0</v>
      </c>
      <c r="DI14" s="7">
        <v>1.0</v>
      </c>
      <c r="DJ14" s="7">
        <v>1.0</v>
      </c>
      <c r="DK14" s="39">
        <f t="shared" si="30"/>
        <v>5</v>
      </c>
      <c r="DL14" s="7"/>
      <c r="DM14" s="7"/>
      <c r="DN14" s="7"/>
      <c r="DO14" s="39">
        <f t="shared" si="31"/>
        <v>0</v>
      </c>
      <c r="DP14" s="7"/>
      <c r="DQ14" s="7"/>
      <c r="DR14" s="7"/>
      <c r="DS14" s="39">
        <f t="shared" si="32"/>
        <v>0</v>
      </c>
      <c r="DT14" s="7"/>
      <c r="DU14" s="7"/>
      <c r="DV14" s="7"/>
      <c r="DW14" s="39">
        <f t="shared" si="33"/>
        <v>0</v>
      </c>
      <c r="DX14" s="7"/>
      <c r="DY14" s="7"/>
      <c r="DZ14" s="7"/>
      <c r="EA14" s="39">
        <f t="shared" si="34"/>
        <v>0</v>
      </c>
      <c r="EB14" s="7"/>
      <c r="EC14" s="7"/>
      <c r="ED14" s="7"/>
      <c r="EE14" s="39">
        <f t="shared" si="35"/>
        <v>0</v>
      </c>
      <c r="EF14" s="7"/>
      <c r="EG14" s="7"/>
      <c r="EH14" s="7"/>
      <c r="EI14" s="39">
        <f t="shared" si="36"/>
        <v>0</v>
      </c>
      <c r="EJ14" s="7"/>
      <c r="EK14" s="7"/>
      <c r="EL14" s="7"/>
      <c r="EM14" s="39">
        <f t="shared" si="37"/>
        <v>0</v>
      </c>
      <c r="EN14" s="7"/>
      <c r="EO14" s="7"/>
      <c r="EP14" s="7"/>
      <c r="EQ14" s="39">
        <f t="shared" si="38"/>
        <v>0</v>
      </c>
      <c r="ER14" s="7"/>
      <c r="ES14" s="7"/>
      <c r="ET14" s="7"/>
      <c r="EU14" s="39">
        <f t="shared" si="39"/>
        <v>0</v>
      </c>
      <c r="EV14" s="7"/>
      <c r="EW14" s="7"/>
      <c r="EX14" s="7"/>
      <c r="EY14" s="39">
        <f t="shared" si="40"/>
        <v>0</v>
      </c>
      <c r="EZ14" s="7">
        <v>1.0</v>
      </c>
      <c r="FA14" s="7">
        <v>1.0</v>
      </c>
      <c r="FB14" s="7">
        <v>1.0</v>
      </c>
      <c r="FC14" s="39">
        <f t="shared" si="41"/>
        <v>5</v>
      </c>
      <c r="FD14" s="7"/>
      <c r="FE14" s="7"/>
      <c r="FF14" s="7"/>
      <c r="FG14" s="39">
        <f t="shared" si="42"/>
        <v>0</v>
      </c>
      <c r="FH14" s="7">
        <v>1.0</v>
      </c>
      <c r="FI14" s="7">
        <v>1.0</v>
      </c>
      <c r="FJ14" s="7"/>
      <c r="FK14" s="39">
        <f t="shared" si="43"/>
        <v>3</v>
      </c>
      <c r="FL14" s="7">
        <v>1.0</v>
      </c>
      <c r="FM14" s="7">
        <v>1.0</v>
      </c>
      <c r="FN14" s="7"/>
      <c r="FO14" s="39">
        <f t="shared" si="44"/>
        <v>3</v>
      </c>
      <c r="FP14" s="7">
        <v>1.0</v>
      </c>
      <c r="FQ14" s="7">
        <v>1.0</v>
      </c>
      <c r="FR14" s="7">
        <v>1.0</v>
      </c>
      <c r="FS14" s="39">
        <f t="shared" si="45"/>
        <v>5</v>
      </c>
      <c r="FT14" s="7">
        <v>1.0</v>
      </c>
      <c r="FU14" s="7">
        <v>1.0</v>
      </c>
      <c r="FV14" s="7">
        <v>1.0</v>
      </c>
      <c r="FW14" s="39">
        <f t="shared" si="46"/>
        <v>5</v>
      </c>
      <c r="FX14" s="7">
        <v>1.0</v>
      </c>
      <c r="FY14" s="7">
        <v>1.0</v>
      </c>
      <c r="FZ14" s="7">
        <v>1.0</v>
      </c>
      <c r="GA14" s="39">
        <f t="shared" si="47"/>
        <v>5</v>
      </c>
      <c r="GB14" s="7"/>
      <c r="GC14" s="7"/>
      <c r="GD14" s="7"/>
      <c r="GE14" s="39">
        <f t="shared" si="48"/>
        <v>0</v>
      </c>
      <c r="GF14" s="7">
        <v>1.0</v>
      </c>
      <c r="GG14" s="7">
        <v>1.0</v>
      </c>
      <c r="GH14" s="7">
        <v>1.0</v>
      </c>
      <c r="GI14" s="39">
        <f t="shared" si="49"/>
        <v>5</v>
      </c>
      <c r="GJ14" s="7">
        <v>1.0</v>
      </c>
      <c r="GK14" s="7">
        <v>1.0</v>
      </c>
      <c r="GL14" s="7">
        <v>1.0</v>
      </c>
      <c r="GM14" s="39">
        <f t="shared" si="50"/>
        <v>5</v>
      </c>
      <c r="GN14" s="7"/>
      <c r="GO14" s="7"/>
      <c r="GP14" s="7"/>
      <c r="GQ14" s="39">
        <f t="shared" si="64"/>
        <v>0</v>
      </c>
      <c r="GR14" s="7">
        <v>1.0</v>
      </c>
      <c r="GS14" s="7">
        <v>1.0</v>
      </c>
      <c r="GT14" s="7">
        <v>1.0</v>
      </c>
      <c r="GU14" s="39">
        <f t="shared" si="62"/>
        <v>5</v>
      </c>
      <c r="GV14" s="7">
        <v>1.0</v>
      </c>
      <c r="GW14" s="7">
        <v>1.0</v>
      </c>
      <c r="GX14" s="7"/>
      <c r="GY14" s="39">
        <f t="shared" si="53"/>
        <v>3</v>
      </c>
      <c r="GZ14" s="7"/>
      <c r="HA14" s="7"/>
      <c r="HB14" s="7"/>
      <c r="HC14" s="39">
        <f t="shared" si="63"/>
        <v>0</v>
      </c>
      <c r="HD14" s="7">
        <v>1.0</v>
      </c>
      <c r="HE14" s="7">
        <v>1.0</v>
      </c>
      <c r="HF14" s="7"/>
      <c r="HG14" s="39">
        <f t="shared" si="55"/>
        <v>3</v>
      </c>
      <c r="HH14" s="7">
        <v>1.0</v>
      </c>
      <c r="HI14" s="7">
        <v>1.0</v>
      </c>
      <c r="HJ14" s="7">
        <v>1.0</v>
      </c>
      <c r="HK14" s="39">
        <f t="shared" si="56"/>
        <v>5</v>
      </c>
    </row>
    <row r="15">
      <c r="A15" s="20" t="s">
        <v>27</v>
      </c>
      <c r="B15" s="21" t="s">
        <v>28</v>
      </c>
      <c r="C15" s="1">
        <f t="shared" si="1"/>
        <v>13</v>
      </c>
      <c r="D15" s="15">
        <f>VLOOKUP(A15,TDP!A:C,3,FALSE)</f>
        <v>0.46</v>
      </c>
      <c r="E15" s="37">
        <f t="shared" si="2"/>
        <v>153.3</v>
      </c>
      <c r="F15" s="7"/>
      <c r="G15" s="39">
        <f t="shared" si="65"/>
        <v>0</v>
      </c>
      <c r="H15" s="7">
        <v>1.0</v>
      </c>
      <c r="I15" s="7">
        <v>1.0</v>
      </c>
      <c r="J15" s="7">
        <v>1.0</v>
      </c>
      <c r="K15" s="39">
        <f t="shared" si="4"/>
        <v>5</v>
      </c>
      <c r="L15" s="7">
        <v>1.0</v>
      </c>
      <c r="M15" s="7">
        <v>1.0</v>
      </c>
      <c r="N15" s="7">
        <v>1.0</v>
      </c>
      <c r="O15" s="39">
        <f t="shared" si="5"/>
        <v>5</v>
      </c>
      <c r="P15" s="7">
        <v>1.0</v>
      </c>
      <c r="Q15" s="7">
        <v>1.0</v>
      </c>
      <c r="R15" s="7">
        <v>1.0</v>
      </c>
      <c r="S15" s="39">
        <f t="shared" si="6"/>
        <v>5</v>
      </c>
      <c r="T15" s="7"/>
      <c r="U15" s="7"/>
      <c r="V15" s="7"/>
      <c r="W15" s="39">
        <f t="shared" si="7"/>
        <v>0</v>
      </c>
      <c r="X15" s="7">
        <v>1.0</v>
      </c>
      <c r="Y15" s="7">
        <v>1.0</v>
      </c>
      <c r="Z15" s="7">
        <v>1.0</v>
      </c>
      <c r="AA15" s="39">
        <f t="shared" si="8"/>
        <v>5</v>
      </c>
      <c r="AB15" s="7"/>
      <c r="AC15" s="7"/>
      <c r="AD15" s="7">
        <v>1.0</v>
      </c>
      <c r="AE15" s="39">
        <f t="shared" si="9"/>
        <v>7</v>
      </c>
      <c r="AF15" s="7">
        <v>1.0</v>
      </c>
      <c r="AG15" s="7">
        <v>1.0</v>
      </c>
      <c r="AH15" s="7">
        <v>1.0</v>
      </c>
      <c r="AI15" s="39">
        <f t="shared" si="10"/>
        <v>5</v>
      </c>
      <c r="AJ15" s="7"/>
      <c r="AK15" s="7"/>
      <c r="AL15" s="7"/>
      <c r="AM15" s="39">
        <f t="shared" si="61"/>
        <v>0</v>
      </c>
      <c r="AN15" s="7">
        <v>1.0</v>
      </c>
      <c r="AO15" s="7">
        <v>1.0</v>
      </c>
      <c r="AP15" s="7"/>
      <c r="AQ15" s="39">
        <f t="shared" si="66"/>
        <v>3</v>
      </c>
      <c r="AR15" s="41"/>
      <c r="AS15" s="41"/>
      <c r="AT15" s="41"/>
      <c r="AU15" s="42">
        <f t="shared" si="13"/>
        <v>0</v>
      </c>
      <c r="AV15" s="7"/>
      <c r="AW15" s="7"/>
      <c r="AX15" s="7"/>
      <c r="AY15" s="39">
        <f t="shared" si="14"/>
        <v>0</v>
      </c>
      <c r="AZ15" s="7">
        <v>1.0</v>
      </c>
      <c r="BA15" s="7">
        <v>1.0</v>
      </c>
      <c r="BB15" s="7">
        <v>1.0</v>
      </c>
      <c r="BC15" s="39">
        <f t="shared" si="60"/>
        <v>5</v>
      </c>
      <c r="BD15" s="7">
        <v>1.0</v>
      </c>
      <c r="BE15" s="7">
        <v>1.0</v>
      </c>
      <c r="BF15" s="7"/>
      <c r="BG15" s="39">
        <f t="shared" si="16"/>
        <v>3</v>
      </c>
      <c r="BH15" s="7"/>
      <c r="BI15" s="7"/>
      <c r="BJ15" s="7">
        <v>1.0</v>
      </c>
      <c r="BK15" s="39">
        <f t="shared" si="17"/>
        <v>7</v>
      </c>
      <c r="BL15" s="7"/>
      <c r="BM15" s="7"/>
      <c r="BN15" s="7"/>
      <c r="BO15" s="39">
        <f t="shared" si="18"/>
        <v>0</v>
      </c>
      <c r="BP15" s="7"/>
      <c r="BQ15" s="7"/>
      <c r="BR15" s="7"/>
      <c r="BS15" s="39">
        <f t="shared" si="19"/>
        <v>0</v>
      </c>
      <c r="BT15" s="7"/>
      <c r="BU15" s="7"/>
      <c r="BV15" s="7"/>
      <c r="BW15" s="39">
        <f t="shared" si="20"/>
        <v>0</v>
      </c>
      <c r="BX15" s="7"/>
      <c r="BY15" s="7"/>
      <c r="BZ15" s="7"/>
      <c r="CA15" s="39">
        <f t="shared" si="21"/>
        <v>0</v>
      </c>
      <c r="CB15" s="7"/>
      <c r="CC15" s="7"/>
      <c r="CD15" s="7"/>
      <c r="CE15" s="39">
        <f t="shared" si="22"/>
        <v>0</v>
      </c>
      <c r="CF15" s="7"/>
      <c r="CG15" s="7"/>
      <c r="CH15" s="7"/>
      <c r="CI15" s="39">
        <f t="shared" si="23"/>
        <v>0</v>
      </c>
      <c r="CJ15" s="7"/>
      <c r="CK15" s="7"/>
      <c r="CL15" s="7"/>
      <c r="CM15" s="39">
        <f t="shared" si="24"/>
        <v>0</v>
      </c>
      <c r="CN15" s="7"/>
      <c r="CO15" s="7"/>
      <c r="CP15" s="7"/>
      <c r="CQ15" s="39">
        <f t="shared" si="25"/>
        <v>0</v>
      </c>
      <c r="CR15" s="7"/>
      <c r="CS15" s="7"/>
      <c r="CT15" s="7"/>
      <c r="CU15" s="39">
        <f t="shared" si="26"/>
        <v>0</v>
      </c>
      <c r="CV15" s="7"/>
      <c r="CW15" s="7"/>
      <c r="CX15" s="7"/>
      <c r="CY15" s="39">
        <f t="shared" si="27"/>
        <v>0</v>
      </c>
      <c r="CZ15" s="7"/>
      <c r="DA15" s="7"/>
      <c r="DB15" s="7"/>
      <c r="DC15" s="39">
        <f t="shared" si="28"/>
        <v>0</v>
      </c>
      <c r="DD15" s="7"/>
      <c r="DE15" s="7"/>
      <c r="DF15" s="7"/>
      <c r="DG15" s="39">
        <f t="shared" si="29"/>
        <v>0</v>
      </c>
      <c r="DH15" s="7"/>
      <c r="DI15" s="7"/>
      <c r="DJ15" s="7"/>
      <c r="DK15" s="39">
        <f t="shared" si="30"/>
        <v>0</v>
      </c>
      <c r="DL15" s="7"/>
      <c r="DM15" s="7"/>
      <c r="DN15" s="7"/>
      <c r="DO15" s="39">
        <f t="shared" si="31"/>
        <v>0</v>
      </c>
      <c r="DP15" s="7"/>
      <c r="DQ15" s="7"/>
      <c r="DR15" s="7"/>
      <c r="DS15" s="39">
        <f t="shared" si="32"/>
        <v>0</v>
      </c>
      <c r="DT15" s="7">
        <v>1.0</v>
      </c>
      <c r="DU15" s="7">
        <v>1.0</v>
      </c>
      <c r="DV15" s="7">
        <v>1.0</v>
      </c>
      <c r="DW15" s="39">
        <f t="shared" si="33"/>
        <v>5</v>
      </c>
      <c r="DX15" s="7"/>
      <c r="DY15" s="7"/>
      <c r="DZ15" s="7"/>
      <c r="EA15" s="39">
        <f t="shared" si="34"/>
        <v>0</v>
      </c>
      <c r="EB15" s="7">
        <v>1.0</v>
      </c>
      <c r="EC15" s="7">
        <v>1.0</v>
      </c>
      <c r="ED15" s="7">
        <v>1.0</v>
      </c>
      <c r="EE15" s="39">
        <f t="shared" si="35"/>
        <v>5</v>
      </c>
      <c r="EF15" s="7"/>
      <c r="EG15" s="7"/>
      <c r="EH15" s="7"/>
      <c r="EI15" s="39">
        <f t="shared" si="36"/>
        <v>0</v>
      </c>
      <c r="EJ15" s="7"/>
      <c r="EK15" s="7"/>
      <c r="EL15" s="7"/>
      <c r="EM15" s="39">
        <f t="shared" si="37"/>
        <v>0</v>
      </c>
      <c r="EN15" s="7"/>
      <c r="EO15" s="7"/>
      <c r="EP15" s="7"/>
      <c r="EQ15" s="39">
        <f t="shared" si="38"/>
        <v>0</v>
      </c>
      <c r="ER15" s="7"/>
      <c r="ES15" s="7"/>
      <c r="ET15" s="7"/>
      <c r="EU15" s="39">
        <f t="shared" si="39"/>
        <v>0</v>
      </c>
      <c r="EV15" s="7">
        <v>1.0</v>
      </c>
      <c r="EW15" s="7">
        <v>1.0</v>
      </c>
      <c r="EX15" s="7">
        <v>1.0</v>
      </c>
      <c r="EY15" s="39">
        <f t="shared" si="40"/>
        <v>5</v>
      </c>
      <c r="EZ15" s="7">
        <v>1.0</v>
      </c>
      <c r="FA15" s="7">
        <v>1.0</v>
      </c>
      <c r="FB15" s="7">
        <v>1.0</v>
      </c>
      <c r="FC15" s="39">
        <f t="shared" si="41"/>
        <v>5</v>
      </c>
      <c r="FD15" s="7"/>
      <c r="FE15" s="7"/>
      <c r="FF15" s="7"/>
      <c r="FG15" s="39">
        <f t="shared" si="42"/>
        <v>0</v>
      </c>
      <c r="FH15" s="7"/>
      <c r="FI15" s="7"/>
      <c r="FJ15" s="7"/>
      <c r="FK15" s="39">
        <f t="shared" si="43"/>
        <v>0</v>
      </c>
      <c r="FL15" s="7"/>
      <c r="FM15" s="7"/>
      <c r="FN15" s="7"/>
      <c r="FO15" s="39">
        <f t="shared" si="44"/>
        <v>0</v>
      </c>
      <c r="FP15" s="7"/>
      <c r="FQ15" s="7"/>
      <c r="FR15" s="7"/>
      <c r="FS15" s="39">
        <f t="shared" si="45"/>
        <v>0</v>
      </c>
      <c r="FT15" s="7"/>
      <c r="FU15" s="7"/>
      <c r="FV15" s="7"/>
      <c r="FW15" s="39">
        <f t="shared" si="46"/>
        <v>0</v>
      </c>
      <c r="FX15" s="7">
        <v>1.0</v>
      </c>
      <c r="FY15" s="7">
        <v>1.0</v>
      </c>
      <c r="FZ15" s="7">
        <v>1.0</v>
      </c>
      <c r="GA15" s="39">
        <f t="shared" si="47"/>
        <v>5</v>
      </c>
      <c r="GB15" s="7">
        <v>1.0</v>
      </c>
      <c r="GC15" s="7">
        <v>1.0</v>
      </c>
      <c r="GD15" s="7">
        <v>1.0</v>
      </c>
      <c r="GE15" s="39">
        <f t="shared" si="48"/>
        <v>5</v>
      </c>
      <c r="GF15" s="7">
        <v>1.0</v>
      </c>
      <c r="GG15" s="7">
        <v>1.0</v>
      </c>
      <c r="GH15" s="7">
        <v>1.0</v>
      </c>
      <c r="GI15" s="39">
        <f t="shared" si="49"/>
        <v>5</v>
      </c>
      <c r="GJ15" s="7">
        <v>1.0</v>
      </c>
      <c r="GK15" s="7">
        <v>1.0</v>
      </c>
      <c r="GL15" s="7"/>
      <c r="GM15" s="39">
        <f t="shared" si="50"/>
        <v>3</v>
      </c>
      <c r="GN15" s="7"/>
      <c r="GO15" s="7"/>
      <c r="GP15" s="7">
        <v>1.0</v>
      </c>
      <c r="GQ15" s="39">
        <f t="shared" si="64"/>
        <v>7</v>
      </c>
      <c r="GR15" s="7">
        <v>1.0</v>
      </c>
      <c r="GS15" s="7">
        <v>1.0</v>
      </c>
      <c r="GT15" s="7">
        <v>1.0</v>
      </c>
      <c r="GU15" s="39">
        <f t="shared" si="62"/>
        <v>5</v>
      </c>
      <c r="GV15" s="7"/>
      <c r="GW15" s="7"/>
      <c r="GX15" s="7"/>
      <c r="GY15" s="39">
        <f t="shared" si="53"/>
        <v>0</v>
      </c>
      <c r="GZ15" s="7"/>
      <c r="HA15" s="7"/>
      <c r="HB15" s="7"/>
      <c r="HC15" s="39">
        <f t="shared" si="63"/>
        <v>0</v>
      </c>
      <c r="HD15" s="7">
        <v>1.0</v>
      </c>
      <c r="HE15" s="7">
        <v>1.0</v>
      </c>
      <c r="HF15" s="7">
        <v>1.0</v>
      </c>
      <c r="HG15" s="39">
        <f t="shared" si="55"/>
        <v>5</v>
      </c>
      <c r="HH15" s="7"/>
      <c r="HI15" s="7"/>
      <c r="HJ15" s="7"/>
      <c r="HK15" s="39">
        <f t="shared" si="56"/>
        <v>0</v>
      </c>
    </row>
    <row r="16">
      <c r="A16" s="20" t="s">
        <v>113</v>
      </c>
      <c r="B16" s="21" t="s">
        <v>114</v>
      </c>
      <c r="C16" s="1">
        <f t="shared" si="1"/>
        <v>14</v>
      </c>
      <c r="D16" s="15">
        <f>VLOOKUP(A16,TDP!A:C,3,FALSE)</f>
        <v>0.18</v>
      </c>
      <c r="E16" s="37">
        <f t="shared" si="2"/>
        <v>153.4</v>
      </c>
      <c r="F16" s="7"/>
      <c r="G16" s="39">
        <f t="shared" si="65"/>
        <v>0</v>
      </c>
      <c r="H16" s="7"/>
      <c r="I16" s="7"/>
      <c r="J16" s="7"/>
      <c r="K16" s="39">
        <f t="shared" si="4"/>
        <v>0</v>
      </c>
      <c r="L16" s="7">
        <v>1.0</v>
      </c>
      <c r="M16" s="7">
        <v>1.0</v>
      </c>
      <c r="N16" s="7">
        <v>1.0</v>
      </c>
      <c r="O16" s="39">
        <f t="shared" si="5"/>
        <v>5</v>
      </c>
      <c r="P16" s="7">
        <v>1.0</v>
      </c>
      <c r="Q16" s="7">
        <v>1.0</v>
      </c>
      <c r="R16" s="7"/>
      <c r="S16" s="39">
        <f t="shared" si="6"/>
        <v>3</v>
      </c>
      <c r="T16" s="7"/>
      <c r="U16" s="7"/>
      <c r="V16" s="7"/>
      <c r="W16" s="39">
        <f t="shared" si="7"/>
        <v>0</v>
      </c>
      <c r="X16" s="7"/>
      <c r="Y16" s="7"/>
      <c r="Z16" s="7"/>
      <c r="AA16" s="39">
        <f t="shared" si="8"/>
        <v>0</v>
      </c>
      <c r="AB16" s="7"/>
      <c r="AC16" s="7"/>
      <c r="AD16" s="7"/>
      <c r="AE16" s="39">
        <f t="shared" si="9"/>
        <v>0</v>
      </c>
      <c r="AF16" s="7"/>
      <c r="AG16" s="7"/>
      <c r="AH16" s="7"/>
      <c r="AI16" s="39">
        <f t="shared" si="10"/>
        <v>0</v>
      </c>
      <c r="AJ16" s="7"/>
      <c r="AK16" s="7"/>
      <c r="AL16" s="7"/>
      <c r="AM16" s="39">
        <f t="shared" si="61"/>
        <v>0</v>
      </c>
      <c r="AN16" s="7">
        <v>1.0</v>
      </c>
      <c r="AO16" s="7">
        <v>1.0</v>
      </c>
      <c r="AP16" s="7"/>
      <c r="AQ16" s="39">
        <f t="shared" si="66"/>
        <v>3</v>
      </c>
      <c r="AR16" s="41"/>
      <c r="AS16" s="41"/>
      <c r="AT16" s="41"/>
      <c r="AU16" s="42">
        <f t="shared" si="13"/>
        <v>0</v>
      </c>
      <c r="AV16" s="7"/>
      <c r="AW16" s="7"/>
      <c r="AX16" s="7"/>
      <c r="AY16" s="39">
        <f t="shared" si="14"/>
        <v>0</v>
      </c>
      <c r="AZ16" s="7"/>
      <c r="BA16" s="7"/>
      <c r="BB16" s="7"/>
      <c r="BC16" s="39">
        <f t="shared" si="60"/>
        <v>0</v>
      </c>
      <c r="BD16" s="7"/>
      <c r="BE16" s="7"/>
      <c r="BF16" s="7"/>
      <c r="BG16" s="39">
        <f t="shared" si="16"/>
        <v>0</v>
      </c>
      <c r="BH16" s="7"/>
      <c r="BI16" s="7"/>
      <c r="BJ16" s="7"/>
      <c r="BK16" s="39">
        <f t="shared" si="17"/>
        <v>0</v>
      </c>
      <c r="BL16" s="7"/>
      <c r="BM16" s="7"/>
      <c r="BN16" s="7"/>
      <c r="BO16" s="39">
        <f t="shared" si="18"/>
        <v>0</v>
      </c>
      <c r="BP16" s="7"/>
      <c r="BQ16" s="7"/>
      <c r="BR16" s="7"/>
      <c r="BS16" s="39">
        <f t="shared" si="19"/>
        <v>0</v>
      </c>
      <c r="BT16" s="7">
        <v>1.0</v>
      </c>
      <c r="BU16" s="7">
        <v>1.0</v>
      </c>
      <c r="BV16" s="7">
        <v>1.0</v>
      </c>
      <c r="BW16" s="39">
        <f t="shared" si="20"/>
        <v>5</v>
      </c>
      <c r="BX16" s="7">
        <v>1.0</v>
      </c>
      <c r="BY16" s="7">
        <v>1.0</v>
      </c>
      <c r="BZ16" s="7">
        <v>1.0</v>
      </c>
      <c r="CA16" s="39">
        <f t="shared" si="21"/>
        <v>5</v>
      </c>
      <c r="CB16" s="7">
        <v>1.0</v>
      </c>
      <c r="CC16" s="7">
        <v>1.0</v>
      </c>
      <c r="CD16" s="7">
        <v>1.0</v>
      </c>
      <c r="CE16" s="39">
        <f t="shared" si="22"/>
        <v>5</v>
      </c>
      <c r="CF16" s="7">
        <v>1.0</v>
      </c>
      <c r="CG16" s="7">
        <v>1.0</v>
      </c>
      <c r="CH16" s="7">
        <v>1.0</v>
      </c>
      <c r="CI16" s="39">
        <f t="shared" si="23"/>
        <v>5</v>
      </c>
      <c r="CJ16" s="7">
        <v>1.0</v>
      </c>
      <c r="CK16" s="7">
        <v>1.0</v>
      </c>
      <c r="CL16" s="7">
        <v>1.0</v>
      </c>
      <c r="CM16" s="39">
        <f t="shared" si="24"/>
        <v>5</v>
      </c>
      <c r="CN16" s="7">
        <v>1.0</v>
      </c>
      <c r="CO16" s="7">
        <v>1.0</v>
      </c>
      <c r="CP16" s="7">
        <v>1.0</v>
      </c>
      <c r="CQ16" s="39">
        <f t="shared" si="25"/>
        <v>5</v>
      </c>
      <c r="CR16" s="7">
        <v>1.0</v>
      </c>
      <c r="CS16" s="7">
        <v>1.0</v>
      </c>
      <c r="CT16" s="7">
        <v>1.0</v>
      </c>
      <c r="CU16" s="39">
        <f t="shared" si="26"/>
        <v>5</v>
      </c>
      <c r="CV16" s="7">
        <v>1.0</v>
      </c>
      <c r="CW16" s="7">
        <v>1.0</v>
      </c>
      <c r="CX16" s="7">
        <v>1.0</v>
      </c>
      <c r="CY16" s="39">
        <f t="shared" si="27"/>
        <v>5</v>
      </c>
      <c r="CZ16" s="7">
        <v>1.0</v>
      </c>
      <c r="DA16" s="7">
        <v>1.0</v>
      </c>
      <c r="DB16" s="7">
        <v>1.0</v>
      </c>
      <c r="DC16" s="39">
        <f t="shared" si="28"/>
        <v>5</v>
      </c>
      <c r="DD16" s="7">
        <v>1.0</v>
      </c>
      <c r="DE16" s="7">
        <v>1.0</v>
      </c>
      <c r="DF16" s="7"/>
      <c r="DG16" s="39">
        <f t="shared" si="29"/>
        <v>3</v>
      </c>
      <c r="DH16" s="7">
        <v>1.0</v>
      </c>
      <c r="DI16" s="7">
        <v>1.0</v>
      </c>
      <c r="DJ16" s="7">
        <v>1.0</v>
      </c>
      <c r="DK16" s="39">
        <f t="shared" si="30"/>
        <v>5</v>
      </c>
      <c r="DL16" s="7">
        <v>1.0</v>
      </c>
      <c r="DM16" s="7">
        <v>1.0</v>
      </c>
      <c r="DN16" s="7">
        <v>1.0</v>
      </c>
      <c r="DO16" s="39">
        <f t="shared" si="31"/>
        <v>5</v>
      </c>
      <c r="DP16" s="7">
        <v>1.0</v>
      </c>
      <c r="DQ16" s="7">
        <v>1.0</v>
      </c>
      <c r="DR16" s="7">
        <v>1.0</v>
      </c>
      <c r="DS16" s="39">
        <f t="shared" si="32"/>
        <v>5</v>
      </c>
      <c r="DT16" s="7">
        <v>1.0</v>
      </c>
      <c r="DU16" s="7">
        <v>1.0</v>
      </c>
      <c r="DV16" s="7">
        <v>1.0</v>
      </c>
      <c r="DW16" s="39">
        <f t="shared" si="33"/>
        <v>5</v>
      </c>
      <c r="DX16" s="7">
        <v>1.0</v>
      </c>
      <c r="DY16" s="7">
        <v>1.0</v>
      </c>
      <c r="DZ16" s="7">
        <v>1.0</v>
      </c>
      <c r="EA16" s="39">
        <f t="shared" si="34"/>
        <v>5</v>
      </c>
      <c r="EB16" s="7">
        <v>1.0</v>
      </c>
      <c r="EC16" s="7">
        <v>1.0</v>
      </c>
      <c r="ED16" s="7">
        <v>1.0</v>
      </c>
      <c r="EE16" s="39">
        <f t="shared" si="35"/>
        <v>5</v>
      </c>
      <c r="EF16" s="7">
        <v>1.0</v>
      </c>
      <c r="EG16" s="7">
        <v>1.0</v>
      </c>
      <c r="EH16" s="7">
        <v>1.0</v>
      </c>
      <c r="EI16" s="39">
        <f t="shared" si="36"/>
        <v>5</v>
      </c>
      <c r="EJ16" s="7">
        <v>1.0</v>
      </c>
      <c r="EK16" s="7">
        <v>1.0</v>
      </c>
      <c r="EL16" s="7">
        <v>1.0</v>
      </c>
      <c r="EM16" s="39">
        <f t="shared" si="37"/>
        <v>5</v>
      </c>
      <c r="EN16" s="7">
        <v>1.0</v>
      </c>
      <c r="EO16" s="7">
        <v>1.0</v>
      </c>
      <c r="EP16" s="7">
        <v>1.0</v>
      </c>
      <c r="EQ16" s="39">
        <f t="shared" si="38"/>
        <v>5</v>
      </c>
      <c r="ER16" s="7">
        <v>1.0</v>
      </c>
      <c r="ES16" s="7">
        <v>1.0</v>
      </c>
      <c r="ET16" s="7">
        <v>1.0</v>
      </c>
      <c r="EU16" s="39">
        <f t="shared" si="39"/>
        <v>5</v>
      </c>
      <c r="EV16" s="7">
        <v>1.0</v>
      </c>
      <c r="EW16" s="7">
        <v>1.0</v>
      </c>
      <c r="EX16" s="7">
        <v>1.0</v>
      </c>
      <c r="EY16" s="39">
        <f t="shared" si="40"/>
        <v>5</v>
      </c>
      <c r="EZ16" s="7">
        <v>1.0</v>
      </c>
      <c r="FA16" s="7">
        <v>1.0</v>
      </c>
      <c r="FB16" s="7">
        <v>1.0</v>
      </c>
      <c r="FC16" s="39">
        <f t="shared" si="41"/>
        <v>5</v>
      </c>
      <c r="FD16" s="7"/>
      <c r="FE16" s="7"/>
      <c r="FF16" s="7"/>
      <c r="FG16" s="39">
        <f t="shared" si="42"/>
        <v>0</v>
      </c>
      <c r="FH16" s="7"/>
      <c r="FI16" s="7"/>
      <c r="FJ16" s="7"/>
      <c r="FK16" s="39">
        <f t="shared" si="43"/>
        <v>0</v>
      </c>
      <c r="FL16" s="7"/>
      <c r="FM16" s="7"/>
      <c r="FN16" s="7"/>
      <c r="FO16" s="39">
        <f t="shared" si="44"/>
        <v>0</v>
      </c>
      <c r="FP16" s="7"/>
      <c r="FQ16" s="7"/>
      <c r="FR16" s="7"/>
      <c r="FS16" s="39">
        <f t="shared" si="45"/>
        <v>0</v>
      </c>
      <c r="FT16" s="7">
        <v>1.0</v>
      </c>
      <c r="FU16" s="7">
        <v>1.0</v>
      </c>
      <c r="FV16" s="7"/>
      <c r="FW16" s="39">
        <f t="shared" si="46"/>
        <v>3</v>
      </c>
      <c r="FX16" s="7"/>
      <c r="FY16" s="7"/>
      <c r="FZ16" s="7"/>
      <c r="GA16" s="39">
        <f t="shared" si="47"/>
        <v>0</v>
      </c>
      <c r="GB16" s="7"/>
      <c r="GC16" s="7"/>
      <c r="GD16" s="7"/>
      <c r="GE16" s="39">
        <f t="shared" si="48"/>
        <v>0</v>
      </c>
      <c r="GF16" s="7"/>
      <c r="GG16" s="7"/>
      <c r="GH16" s="7"/>
      <c r="GI16" s="39">
        <f t="shared" si="49"/>
        <v>0</v>
      </c>
      <c r="GJ16" s="7"/>
      <c r="GK16" s="7"/>
      <c r="GL16" s="7"/>
      <c r="GM16" s="39">
        <f t="shared" si="50"/>
        <v>0</v>
      </c>
      <c r="GN16" s="7">
        <v>1.0</v>
      </c>
      <c r="GO16" s="7">
        <v>1.0</v>
      </c>
      <c r="GP16" s="7">
        <v>1.0</v>
      </c>
      <c r="GQ16" s="39">
        <f t="shared" si="64"/>
        <v>5</v>
      </c>
      <c r="GR16" s="7"/>
      <c r="GS16" s="7"/>
      <c r="GT16" s="7"/>
      <c r="GU16" s="39">
        <f t="shared" si="62"/>
        <v>0</v>
      </c>
      <c r="GV16" s="7"/>
      <c r="GW16" s="7"/>
      <c r="GX16" s="7"/>
      <c r="GY16" s="39">
        <f t="shared" si="53"/>
        <v>0</v>
      </c>
      <c r="GZ16" s="7">
        <v>1.0</v>
      </c>
      <c r="HA16" s="7">
        <v>1.0</v>
      </c>
      <c r="HB16" s="7"/>
      <c r="HC16" s="39">
        <f t="shared" si="63"/>
        <v>3</v>
      </c>
      <c r="HD16" s="7"/>
      <c r="HE16" s="7"/>
      <c r="HF16" s="7"/>
      <c r="HG16" s="39">
        <f t="shared" si="55"/>
        <v>0</v>
      </c>
      <c r="HH16" s="7"/>
      <c r="HI16" s="7"/>
      <c r="HJ16" s="7"/>
      <c r="HK16" s="39">
        <f t="shared" si="56"/>
        <v>0</v>
      </c>
    </row>
    <row r="17">
      <c r="A17" s="20" t="s">
        <v>106</v>
      </c>
      <c r="B17" s="21" t="s">
        <v>107</v>
      </c>
      <c r="C17" s="1">
        <f t="shared" si="1"/>
        <v>15</v>
      </c>
      <c r="D17" s="15">
        <f>VLOOKUP(A17,TDP!A:C,3,FALSE)</f>
        <v>0.19</v>
      </c>
      <c r="E17" s="37">
        <f t="shared" si="2"/>
        <v>129.71</v>
      </c>
      <c r="F17" s="7"/>
      <c r="G17" s="39">
        <f t="shared" si="65"/>
        <v>0</v>
      </c>
      <c r="H17" s="7"/>
      <c r="I17" s="7"/>
      <c r="J17" s="7"/>
      <c r="K17" s="39">
        <f t="shared" si="4"/>
        <v>0</v>
      </c>
      <c r="L17" s="7"/>
      <c r="M17" s="7"/>
      <c r="N17" s="7"/>
      <c r="O17" s="39">
        <f t="shared" si="5"/>
        <v>0</v>
      </c>
      <c r="P17" s="7"/>
      <c r="Q17" s="7"/>
      <c r="R17" s="7"/>
      <c r="S17" s="39">
        <f t="shared" si="6"/>
        <v>0</v>
      </c>
      <c r="T17" s="7"/>
      <c r="U17" s="7"/>
      <c r="V17" s="7">
        <v>1.0</v>
      </c>
      <c r="W17" s="39">
        <f t="shared" si="7"/>
        <v>7</v>
      </c>
      <c r="X17" s="7">
        <v>1.0</v>
      </c>
      <c r="Y17" s="7">
        <v>1.0</v>
      </c>
      <c r="Z17" s="7"/>
      <c r="AA17" s="39">
        <f t="shared" si="8"/>
        <v>3</v>
      </c>
      <c r="AB17" s="7">
        <v>1.0</v>
      </c>
      <c r="AC17" s="7">
        <v>1.0</v>
      </c>
      <c r="AD17" s="7">
        <v>1.0</v>
      </c>
      <c r="AE17" s="39">
        <f t="shared" si="9"/>
        <v>5</v>
      </c>
      <c r="AF17" s="7">
        <v>1.0</v>
      </c>
      <c r="AG17" s="7">
        <v>1.0</v>
      </c>
      <c r="AH17" s="7">
        <v>1.0</v>
      </c>
      <c r="AI17" s="39">
        <f t="shared" si="10"/>
        <v>5</v>
      </c>
      <c r="AJ17" s="7">
        <v>1.0</v>
      </c>
      <c r="AK17" s="7">
        <v>1.0</v>
      </c>
      <c r="AL17" s="7"/>
      <c r="AM17" s="39">
        <f t="shared" si="61"/>
        <v>3</v>
      </c>
      <c r="AN17" s="7">
        <v>1.0</v>
      </c>
      <c r="AO17" s="7">
        <v>1.0</v>
      </c>
      <c r="AP17" s="7">
        <v>1.0</v>
      </c>
      <c r="AQ17" s="93">
        <v>0.0</v>
      </c>
      <c r="AR17" s="41"/>
      <c r="AS17" s="41"/>
      <c r="AT17" s="41"/>
      <c r="AU17" s="42">
        <f t="shared" si="13"/>
        <v>0</v>
      </c>
      <c r="AV17" s="7">
        <v>1.0</v>
      </c>
      <c r="AW17" s="7">
        <v>1.0</v>
      </c>
      <c r="AX17" s="7"/>
      <c r="AY17" s="39">
        <f t="shared" si="14"/>
        <v>3</v>
      </c>
      <c r="AZ17" s="7"/>
      <c r="BA17" s="7"/>
      <c r="BB17" s="7"/>
      <c r="BC17" s="39">
        <f t="shared" si="60"/>
        <v>0</v>
      </c>
      <c r="BD17" s="7"/>
      <c r="BE17" s="7"/>
      <c r="BF17" s="7"/>
      <c r="BG17" s="39">
        <f t="shared" si="16"/>
        <v>0</v>
      </c>
      <c r="BH17" s="7"/>
      <c r="BI17" s="7"/>
      <c r="BJ17" s="7"/>
      <c r="BK17" s="39">
        <f t="shared" si="17"/>
        <v>0</v>
      </c>
      <c r="BL17" s="7"/>
      <c r="BM17" s="7"/>
      <c r="BN17" s="7"/>
      <c r="BO17" s="39">
        <f t="shared" si="18"/>
        <v>0</v>
      </c>
      <c r="BP17" s="7">
        <v>1.0</v>
      </c>
      <c r="BQ17" s="7">
        <v>1.0</v>
      </c>
      <c r="BR17" s="7">
        <v>1.0</v>
      </c>
      <c r="BS17" s="39">
        <f t="shared" si="19"/>
        <v>5</v>
      </c>
      <c r="BT17" s="7">
        <v>1.0</v>
      </c>
      <c r="BU17" s="7">
        <v>1.0</v>
      </c>
      <c r="BV17" s="7">
        <v>1.0</v>
      </c>
      <c r="BW17" s="39">
        <f t="shared" si="20"/>
        <v>5</v>
      </c>
      <c r="BX17" s="7">
        <v>1.0</v>
      </c>
      <c r="BY17" s="7">
        <v>1.0</v>
      </c>
      <c r="BZ17" s="7"/>
      <c r="CA17" s="39">
        <f t="shared" si="21"/>
        <v>3</v>
      </c>
      <c r="CB17" s="7">
        <v>1.0</v>
      </c>
      <c r="CC17" s="7">
        <v>1.0</v>
      </c>
      <c r="CD17" s="7"/>
      <c r="CE17" s="39">
        <f t="shared" si="22"/>
        <v>3</v>
      </c>
      <c r="CF17" s="7">
        <v>1.0</v>
      </c>
      <c r="CG17" s="7">
        <v>1.0</v>
      </c>
      <c r="CH17" s="7">
        <v>1.0</v>
      </c>
      <c r="CI17" s="39">
        <f t="shared" si="23"/>
        <v>5</v>
      </c>
      <c r="CJ17" s="7"/>
      <c r="CK17" s="7"/>
      <c r="CL17" s="7"/>
      <c r="CM17" s="39">
        <f t="shared" si="24"/>
        <v>0</v>
      </c>
      <c r="CN17" s="7"/>
      <c r="CO17" s="7"/>
      <c r="CP17" s="7"/>
      <c r="CQ17" s="39">
        <f t="shared" si="25"/>
        <v>0</v>
      </c>
      <c r="CR17" s="7">
        <v>1.0</v>
      </c>
      <c r="CS17" s="7">
        <v>1.0</v>
      </c>
      <c r="CT17" s="7">
        <v>1.0</v>
      </c>
      <c r="CU17" s="39">
        <f t="shared" si="26"/>
        <v>5</v>
      </c>
      <c r="CV17" s="7">
        <v>1.0</v>
      </c>
      <c r="CW17" s="7">
        <v>1.0</v>
      </c>
      <c r="CX17" s="7"/>
      <c r="CY17" s="39">
        <f t="shared" si="27"/>
        <v>3</v>
      </c>
      <c r="CZ17" s="7">
        <v>1.0</v>
      </c>
      <c r="DA17" s="7">
        <v>1.0</v>
      </c>
      <c r="DB17" s="7"/>
      <c r="DC17" s="39">
        <f t="shared" si="28"/>
        <v>3</v>
      </c>
      <c r="DD17" s="7"/>
      <c r="DE17" s="7"/>
      <c r="DF17" s="7"/>
      <c r="DG17" s="39">
        <f t="shared" si="29"/>
        <v>0</v>
      </c>
      <c r="DH17" s="7"/>
      <c r="DI17" s="7"/>
      <c r="DJ17" s="7"/>
      <c r="DK17" s="39">
        <f t="shared" si="30"/>
        <v>0</v>
      </c>
      <c r="DL17" s="7">
        <v>1.0</v>
      </c>
      <c r="DM17" s="7">
        <v>1.0</v>
      </c>
      <c r="DN17" s="7">
        <v>1.0</v>
      </c>
      <c r="DO17" s="39">
        <f t="shared" si="31"/>
        <v>5</v>
      </c>
      <c r="DP17" s="7"/>
      <c r="DQ17" s="7"/>
      <c r="DR17" s="7"/>
      <c r="DS17" s="39">
        <f t="shared" si="32"/>
        <v>0</v>
      </c>
      <c r="DT17" s="7"/>
      <c r="DU17" s="7"/>
      <c r="DV17" s="7"/>
      <c r="DW17" s="39">
        <f t="shared" si="33"/>
        <v>0</v>
      </c>
      <c r="DX17" s="7"/>
      <c r="DY17" s="7"/>
      <c r="DZ17" s="7"/>
      <c r="EA17" s="39">
        <f t="shared" si="34"/>
        <v>0</v>
      </c>
      <c r="EB17" s="7"/>
      <c r="EC17" s="7"/>
      <c r="ED17" s="7"/>
      <c r="EE17" s="39">
        <f t="shared" si="35"/>
        <v>0</v>
      </c>
      <c r="EF17" s="7">
        <v>1.0</v>
      </c>
      <c r="EG17" s="7">
        <v>1.0</v>
      </c>
      <c r="EH17" s="7"/>
      <c r="EI17" s="39">
        <f t="shared" si="36"/>
        <v>3</v>
      </c>
      <c r="EJ17" s="7">
        <v>1.0</v>
      </c>
      <c r="EK17" s="7">
        <v>1.0</v>
      </c>
      <c r="EL17" s="7"/>
      <c r="EM17" s="39">
        <f t="shared" si="37"/>
        <v>3</v>
      </c>
      <c r="EN17" s="7">
        <v>1.0</v>
      </c>
      <c r="EO17" s="7">
        <v>1.0</v>
      </c>
      <c r="EP17" s="7">
        <v>1.0</v>
      </c>
      <c r="EQ17" s="39">
        <f t="shared" si="38"/>
        <v>5</v>
      </c>
      <c r="ER17" s="7">
        <v>1.0</v>
      </c>
      <c r="ES17" s="7">
        <v>1.0</v>
      </c>
      <c r="ET17" s="7"/>
      <c r="EU17" s="39">
        <f t="shared" si="39"/>
        <v>3</v>
      </c>
      <c r="EV17" s="7">
        <v>1.0</v>
      </c>
      <c r="EW17" s="7">
        <v>1.0</v>
      </c>
      <c r="EX17" s="7">
        <v>1.0</v>
      </c>
      <c r="EY17" s="39">
        <f t="shared" si="40"/>
        <v>5</v>
      </c>
      <c r="EZ17" s="7">
        <v>1.0</v>
      </c>
      <c r="FA17" s="7">
        <v>1.0</v>
      </c>
      <c r="FB17" s="7"/>
      <c r="FC17" s="39">
        <f t="shared" si="41"/>
        <v>3</v>
      </c>
      <c r="FD17" s="7">
        <v>1.0</v>
      </c>
      <c r="FE17" s="7">
        <v>1.0</v>
      </c>
      <c r="FF17" s="7"/>
      <c r="FG17" s="39">
        <f t="shared" si="42"/>
        <v>3</v>
      </c>
      <c r="FH17" s="7">
        <v>1.0</v>
      </c>
      <c r="FI17" s="7">
        <v>1.0</v>
      </c>
      <c r="FJ17" s="7"/>
      <c r="FK17" s="39">
        <f t="shared" si="43"/>
        <v>3</v>
      </c>
      <c r="FL17" s="7">
        <v>1.0</v>
      </c>
      <c r="FM17" s="7">
        <v>1.0</v>
      </c>
      <c r="FN17" s="7"/>
      <c r="FO17" s="39">
        <f t="shared" si="44"/>
        <v>3</v>
      </c>
      <c r="FP17" s="7">
        <v>1.0</v>
      </c>
      <c r="FQ17" s="7">
        <v>1.0</v>
      </c>
      <c r="FR17" s="7"/>
      <c r="FS17" s="39">
        <f t="shared" si="45"/>
        <v>3</v>
      </c>
      <c r="FT17" s="7">
        <v>1.0</v>
      </c>
      <c r="FU17" s="7">
        <v>1.0</v>
      </c>
      <c r="FV17" s="7"/>
      <c r="FW17" s="39">
        <f t="shared" si="46"/>
        <v>3</v>
      </c>
      <c r="FX17" s="7"/>
      <c r="FY17" s="7"/>
      <c r="FZ17" s="7"/>
      <c r="GA17" s="39">
        <f t="shared" si="47"/>
        <v>0</v>
      </c>
      <c r="GB17" s="7"/>
      <c r="GC17" s="7"/>
      <c r="GD17" s="7"/>
      <c r="GE17" s="39">
        <f t="shared" si="48"/>
        <v>0</v>
      </c>
      <c r="GF17" s="7"/>
      <c r="GG17" s="7"/>
      <c r="GH17" s="7"/>
      <c r="GI17" s="39">
        <f t="shared" si="49"/>
        <v>0</v>
      </c>
      <c r="GJ17" s="7"/>
      <c r="GK17" s="7"/>
      <c r="GL17" s="7"/>
      <c r="GM17" s="39">
        <f t="shared" si="50"/>
        <v>0</v>
      </c>
      <c r="GN17" s="7"/>
      <c r="GO17" s="7"/>
      <c r="GP17" s="7"/>
      <c r="GQ17" s="39">
        <f t="shared" si="64"/>
        <v>0</v>
      </c>
      <c r="GR17" s="7"/>
      <c r="GS17" s="7"/>
      <c r="GT17" s="7"/>
      <c r="GU17" s="39">
        <f t="shared" si="62"/>
        <v>0</v>
      </c>
      <c r="GV17" s="7">
        <v>1.0</v>
      </c>
      <c r="GW17" s="7">
        <v>1.0</v>
      </c>
      <c r="GX17" s="7"/>
      <c r="GY17" s="39">
        <f t="shared" si="53"/>
        <v>3</v>
      </c>
      <c r="GZ17" s="7">
        <v>1.0</v>
      </c>
      <c r="HA17" s="7">
        <v>1.0</v>
      </c>
      <c r="HB17" s="7"/>
      <c r="HC17" s="39">
        <f t="shared" si="63"/>
        <v>3</v>
      </c>
      <c r="HD17" s="7"/>
      <c r="HE17" s="7"/>
      <c r="HF17" s="7"/>
      <c r="HG17" s="39">
        <f t="shared" si="55"/>
        <v>0</v>
      </c>
      <c r="HH17" s="7">
        <v>1.0</v>
      </c>
      <c r="HI17" s="7">
        <v>1.0</v>
      </c>
      <c r="HJ17" s="7"/>
      <c r="HK17" s="39">
        <f t="shared" si="56"/>
        <v>3</v>
      </c>
    </row>
    <row r="18">
      <c r="A18" s="4" t="s">
        <v>31</v>
      </c>
      <c r="B18" s="7" t="s">
        <v>40</v>
      </c>
      <c r="C18" s="1">
        <f t="shared" si="1"/>
        <v>16</v>
      </c>
      <c r="D18" s="15">
        <f>VLOOKUP(A18,TDP!A:C,3,FALSE)</f>
        <v>0.39</v>
      </c>
      <c r="E18" s="37">
        <f t="shared" si="2"/>
        <v>115.37</v>
      </c>
      <c r="F18" s="7"/>
      <c r="G18" s="39">
        <f t="shared" si="65"/>
        <v>0</v>
      </c>
      <c r="H18" s="7"/>
      <c r="I18" s="7"/>
      <c r="J18" s="7"/>
      <c r="K18" s="39">
        <f t="shared" si="4"/>
        <v>0</v>
      </c>
      <c r="L18" s="7"/>
      <c r="M18" s="7"/>
      <c r="N18" s="7"/>
      <c r="O18" s="39">
        <f t="shared" si="5"/>
        <v>0</v>
      </c>
      <c r="P18" s="7">
        <v>1.0</v>
      </c>
      <c r="Q18" s="7">
        <v>1.0</v>
      </c>
      <c r="R18" s="7">
        <v>1.0</v>
      </c>
      <c r="S18" s="39">
        <f t="shared" si="6"/>
        <v>5</v>
      </c>
      <c r="T18" s="7"/>
      <c r="U18" s="7"/>
      <c r="V18" s="7"/>
      <c r="W18" s="39">
        <f t="shared" si="7"/>
        <v>0</v>
      </c>
      <c r="X18" s="7">
        <v>1.0</v>
      </c>
      <c r="Y18" s="7">
        <v>1.0</v>
      </c>
      <c r="Z18" s="7"/>
      <c r="AA18" s="39">
        <f t="shared" si="8"/>
        <v>3</v>
      </c>
      <c r="AB18" s="7">
        <v>1.0</v>
      </c>
      <c r="AC18" s="7">
        <v>1.0</v>
      </c>
      <c r="AD18" s="7"/>
      <c r="AE18" s="39">
        <f t="shared" si="9"/>
        <v>3</v>
      </c>
      <c r="AF18" s="7"/>
      <c r="AG18" s="7"/>
      <c r="AH18" s="7"/>
      <c r="AI18" s="7">
        <f t="shared" si="10"/>
        <v>0</v>
      </c>
      <c r="AJ18" s="7"/>
      <c r="AK18" s="7"/>
      <c r="AL18" s="7"/>
      <c r="AM18" s="39">
        <f t="shared" si="61"/>
        <v>0</v>
      </c>
      <c r="AN18" s="7"/>
      <c r="AO18" s="7"/>
      <c r="AP18" s="7"/>
      <c r="AQ18" s="39">
        <f t="shared" ref="AQ18:AQ45" si="67"> if( AN18=1, if( AO18=1, if( AP18=1, 5, 3), if( AP18=1, 1, -3 ) ), if(AO18=1,if(AP18=1, -1, -2 ), if(AP18=1, 7, 0 ) ) )</f>
        <v>0</v>
      </c>
      <c r="AR18" s="41"/>
      <c r="AS18" s="41"/>
      <c r="AT18" s="41"/>
      <c r="AU18" s="42">
        <f t="shared" si="13"/>
        <v>0</v>
      </c>
      <c r="AV18" s="7">
        <v>1.0</v>
      </c>
      <c r="AW18" s="7">
        <v>1.0</v>
      </c>
      <c r="AX18" s="7">
        <v>1.0</v>
      </c>
      <c r="AY18" s="39">
        <f t="shared" si="14"/>
        <v>5</v>
      </c>
      <c r="AZ18" s="7"/>
      <c r="BA18" s="7"/>
      <c r="BB18" s="7">
        <v>1.0</v>
      </c>
      <c r="BC18" s="39">
        <f t="shared" si="60"/>
        <v>7</v>
      </c>
      <c r="BD18" s="7"/>
      <c r="BE18" s="7"/>
      <c r="BF18" s="7"/>
      <c r="BG18" s="39">
        <f t="shared" si="16"/>
        <v>0</v>
      </c>
      <c r="BH18" s="7"/>
      <c r="BI18" s="7"/>
      <c r="BJ18" s="7">
        <v>1.0</v>
      </c>
      <c r="BK18" s="39">
        <f t="shared" si="17"/>
        <v>7</v>
      </c>
      <c r="BL18" s="7">
        <v>1.0</v>
      </c>
      <c r="BM18" s="7">
        <v>1.0</v>
      </c>
      <c r="BN18" s="7"/>
      <c r="BO18" s="39">
        <f t="shared" si="18"/>
        <v>3</v>
      </c>
      <c r="BP18" s="7">
        <v>1.0</v>
      </c>
      <c r="BQ18" s="7">
        <v>1.0</v>
      </c>
      <c r="BR18" s="7">
        <v>1.0</v>
      </c>
      <c r="BS18" s="39">
        <f t="shared" si="19"/>
        <v>5</v>
      </c>
      <c r="BT18" s="7"/>
      <c r="BU18" s="7"/>
      <c r="BV18" s="7"/>
      <c r="BW18" s="39">
        <f t="shared" si="20"/>
        <v>0</v>
      </c>
      <c r="BX18" s="7"/>
      <c r="BY18" s="7"/>
      <c r="BZ18" s="7"/>
      <c r="CA18" s="39">
        <f t="shared" si="21"/>
        <v>0</v>
      </c>
      <c r="CB18" s="7"/>
      <c r="CC18" s="7"/>
      <c r="CD18" s="7"/>
      <c r="CE18" s="39">
        <f t="shared" si="22"/>
        <v>0</v>
      </c>
      <c r="CF18" s="7"/>
      <c r="CG18" s="7"/>
      <c r="CH18" s="7"/>
      <c r="CI18" s="39">
        <f t="shared" si="23"/>
        <v>0</v>
      </c>
      <c r="CJ18" s="7">
        <v>1.0</v>
      </c>
      <c r="CK18" s="7">
        <v>1.0</v>
      </c>
      <c r="CL18" s="7"/>
      <c r="CM18" s="39">
        <f t="shared" si="24"/>
        <v>3</v>
      </c>
      <c r="CN18" s="7">
        <v>1.0</v>
      </c>
      <c r="CO18" s="7">
        <v>1.0</v>
      </c>
      <c r="CP18" s="7">
        <v>1.0</v>
      </c>
      <c r="CQ18" s="39">
        <f t="shared" si="25"/>
        <v>5</v>
      </c>
      <c r="CR18" s="7">
        <v>1.0</v>
      </c>
      <c r="CS18" s="7">
        <v>1.0</v>
      </c>
      <c r="CT18" s="7"/>
      <c r="CU18" s="39">
        <f t="shared" si="26"/>
        <v>3</v>
      </c>
      <c r="CV18" s="7">
        <v>1.0</v>
      </c>
      <c r="CW18" s="7">
        <v>1.0</v>
      </c>
      <c r="CX18" s="7"/>
      <c r="CY18" s="39">
        <f t="shared" si="27"/>
        <v>3</v>
      </c>
      <c r="CZ18" s="7"/>
      <c r="DA18" s="7"/>
      <c r="DB18" s="7"/>
      <c r="DC18" s="39">
        <f t="shared" si="28"/>
        <v>0</v>
      </c>
      <c r="DD18" s="7"/>
      <c r="DE18" s="7"/>
      <c r="DF18" s="7"/>
      <c r="DG18" s="39">
        <f t="shared" si="29"/>
        <v>0</v>
      </c>
      <c r="DH18" s="7"/>
      <c r="DI18" s="7"/>
      <c r="DJ18" s="7">
        <v>1.0</v>
      </c>
      <c r="DK18" s="39">
        <f t="shared" si="30"/>
        <v>7</v>
      </c>
      <c r="DL18" s="7"/>
      <c r="DM18" s="7"/>
      <c r="DN18" s="7"/>
      <c r="DO18" s="39">
        <f t="shared" si="31"/>
        <v>0</v>
      </c>
      <c r="DP18" s="7">
        <v>1.0</v>
      </c>
      <c r="DQ18" s="7">
        <v>1.0</v>
      </c>
      <c r="DR18" s="7">
        <v>1.0</v>
      </c>
      <c r="DS18" s="39">
        <f t="shared" si="32"/>
        <v>5</v>
      </c>
      <c r="DT18" s="7"/>
      <c r="DU18" s="7"/>
      <c r="DV18" s="7"/>
      <c r="DW18" s="39">
        <f t="shared" si="33"/>
        <v>0</v>
      </c>
      <c r="DX18" s="7"/>
      <c r="DY18" s="7"/>
      <c r="DZ18" s="7"/>
      <c r="EA18" s="39">
        <f t="shared" si="34"/>
        <v>0</v>
      </c>
      <c r="EB18" s="7"/>
      <c r="EC18" s="7"/>
      <c r="ED18" s="7"/>
      <c r="EE18" s="39">
        <f t="shared" si="35"/>
        <v>0</v>
      </c>
      <c r="EF18" s="7"/>
      <c r="EG18" s="7"/>
      <c r="EH18" s="7"/>
      <c r="EI18" s="39">
        <f t="shared" si="36"/>
        <v>0</v>
      </c>
      <c r="EJ18" s="7"/>
      <c r="EK18" s="7"/>
      <c r="EL18" s="7"/>
      <c r="EM18" s="39">
        <f t="shared" si="37"/>
        <v>0</v>
      </c>
      <c r="EN18" s="7"/>
      <c r="EO18" s="7"/>
      <c r="EP18" s="7"/>
      <c r="EQ18" s="39">
        <f t="shared" si="38"/>
        <v>0</v>
      </c>
      <c r="ER18" s="7"/>
      <c r="ES18" s="7"/>
      <c r="ET18" s="7"/>
      <c r="EU18" s="39">
        <f t="shared" si="39"/>
        <v>0</v>
      </c>
      <c r="EV18" s="7">
        <v>1.0</v>
      </c>
      <c r="EW18" s="7">
        <v>1.0</v>
      </c>
      <c r="EX18" s="7">
        <v>1.0</v>
      </c>
      <c r="EY18" s="39">
        <f t="shared" si="40"/>
        <v>5</v>
      </c>
      <c r="EZ18" s="7"/>
      <c r="FA18" s="7"/>
      <c r="FB18" s="7"/>
      <c r="FC18" s="39">
        <f t="shared" si="41"/>
        <v>0</v>
      </c>
      <c r="FD18" s="7"/>
      <c r="FE18" s="7"/>
      <c r="FF18" s="7"/>
      <c r="FG18" s="39">
        <f t="shared" si="42"/>
        <v>0</v>
      </c>
      <c r="FH18" s="7">
        <v>1.0</v>
      </c>
      <c r="FI18" s="7">
        <v>1.0</v>
      </c>
      <c r="FJ18" s="7"/>
      <c r="FK18" s="39">
        <f t="shared" si="43"/>
        <v>3</v>
      </c>
      <c r="FL18" s="7"/>
      <c r="FM18" s="7"/>
      <c r="FN18" s="7"/>
      <c r="FO18" s="39">
        <f t="shared" si="44"/>
        <v>0</v>
      </c>
      <c r="FP18" s="7"/>
      <c r="FQ18" s="7"/>
      <c r="FR18" s="7"/>
      <c r="FS18" s="39">
        <f t="shared" si="45"/>
        <v>0</v>
      </c>
      <c r="FT18" s="7"/>
      <c r="FU18" s="7"/>
      <c r="FV18" s="7"/>
      <c r="FW18" s="39">
        <f t="shared" si="46"/>
        <v>0</v>
      </c>
      <c r="FX18" s="7"/>
      <c r="FY18" s="7"/>
      <c r="FZ18" s="7"/>
      <c r="GA18" s="39">
        <f t="shared" si="47"/>
        <v>0</v>
      </c>
      <c r="GB18" s="7"/>
      <c r="GC18" s="7"/>
      <c r="GD18" s="7"/>
      <c r="GE18" s="39">
        <f t="shared" si="48"/>
        <v>0</v>
      </c>
      <c r="GF18" s="7"/>
      <c r="GG18" s="7"/>
      <c r="GH18" s="7"/>
      <c r="GI18" s="39">
        <f t="shared" si="49"/>
        <v>0</v>
      </c>
      <c r="GJ18" s="7"/>
      <c r="GK18" s="7"/>
      <c r="GL18" s="7"/>
      <c r="GM18" s="39">
        <f t="shared" si="50"/>
        <v>0</v>
      </c>
      <c r="GN18" s="7"/>
      <c r="GO18" s="7"/>
      <c r="GP18" s="7"/>
      <c r="GQ18" s="39">
        <f t="shared" si="64"/>
        <v>0</v>
      </c>
      <c r="GR18" s="7"/>
      <c r="GS18" s="7"/>
      <c r="GT18" s="7"/>
      <c r="GU18" s="39">
        <f t="shared" si="62"/>
        <v>0</v>
      </c>
      <c r="GV18" s="7"/>
      <c r="GW18" s="7"/>
      <c r="GX18" s="7"/>
      <c r="GY18" s="39">
        <f t="shared" si="53"/>
        <v>0</v>
      </c>
      <c r="GZ18" s="7">
        <v>1.0</v>
      </c>
      <c r="HA18" s="7">
        <v>1.0</v>
      </c>
      <c r="HB18" s="7"/>
      <c r="HC18" s="39">
        <f t="shared" si="63"/>
        <v>3</v>
      </c>
      <c r="HD18" s="7">
        <v>1.0</v>
      </c>
      <c r="HE18" s="7">
        <v>1.0</v>
      </c>
      <c r="HF18" s="7"/>
      <c r="HG18" s="39">
        <f t="shared" si="55"/>
        <v>3</v>
      </c>
      <c r="HH18" s="7">
        <v>1.0</v>
      </c>
      <c r="HI18" s="7">
        <v>1.0</v>
      </c>
      <c r="HJ18" s="7">
        <v>1.0</v>
      </c>
      <c r="HK18" s="39">
        <f t="shared" si="56"/>
        <v>5</v>
      </c>
    </row>
    <row r="19">
      <c r="A19" s="20" t="s">
        <v>77</v>
      </c>
      <c r="B19" s="21"/>
      <c r="C19" s="1">
        <f t="shared" si="1"/>
        <v>17</v>
      </c>
      <c r="D19" s="15">
        <f>VLOOKUP(A19,TDP!A:C,3,FALSE)</f>
        <v>0.25</v>
      </c>
      <c r="E19" s="37">
        <f t="shared" si="2"/>
        <v>112.5</v>
      </c>
      <c r="F19" s="7"/>
      <c r="G19" s="39">
        <f t="shared" si="65"/>
        <v>0</v>
      </c>
      <c r="H19" s="7"/>
      <c r="I19" s="7"/>
      <c r="J19" s="7"/>
      <c r="K19" s="39">
        <f t="shared" si="4"/>
        <v>0</v>
      </c>
      <c r="L19" s="7"/>
      <c r="M19" s="7"/>
      <c r="N19" s="7"/>
      <c r="O19" s="39">
        <f t="shared" si="5"/>
        <v>0</v>
      </c>
      <c r="P19" s="7"/>
      <c r="Q19" s="7"/>
      <c r="R19" s="7"/>
      <c r="S19" s="39">
        <f t="shared" si="6"/>
        <v>0</v>
      </c>
      <c r="T19" s="7"/>
      <c r="U19" s="7"/>
      <c r="V19" s="7"/>
      <c r="W19" s="39">
        <f t="shared" si="7"/>
        <v>0</v>
      </c>
      <c r="X19" s="7"/>
      <c r="Y19" s="7"/>
      <c r="Z19" s="7"/>
      <c r="AA19" s="39">
        <f t="shared" si="8"/>
        <v>0</v>
      </c>
      <c r="AB19" s="7"/>
      <c r="AC19" s="7"/>
      <c r="AD19" s="7"/>
      <c r="AE19" s="39">
        <f t="shared" si="9"/>
        <v>0</v>
      </c>
      <c r="AF19" s="7"/>
      <c r="AG19" s="7"/>
      <c r="AH19" s="7"/>
      <c r="AI19" s="39">
        <f t="shared" si="10"/>
        <v>0</v>
      </c>
      <c r="AJ19" s="7"/>
      <c r="AK19" s="7"/>
      <c r="AL19" s="7"/>
      <c r="AM19" s="39">
        <f t="shared" si="61"/>
        <v>0</v>
      </c>
      <c r="AN19" s="7"/>
      <c r="AO19" s="7"/>
      <c r="AP19" s="7"/>
      <c r="AQ19" s="39">
        <f t="shared" si="67"/>
        <v>0</v>
      </c>
      <c r="AR19" s="41"/>
      <c r="AS19" s="41"/>
      <c r="AT19" s="41"/>
      <c r="AU19" s="42">
        <f t="shared" si="13"/>
        <v>0</v>
      </c>
      <c r="AV19" s="7"/>
      <c r="AW19" s="7"/>
      <c r="AX19" s="7"/>
      <c r="AY19" s="39">
        <f t="shared" si="14"/>
        <v>0</v>
      </c>
      <c r="AZ19" s="7"/>
      <c r="BA19" s="7"/>
      <c r="BB19" s="7"/>
      <c r="BC19" s="39">
        <f t="shared" si="60"/>
        <v>0</v>
      </c>
      <c r="BD19" s="7"/>
      <c r="BE19" s="7"/>
      <c r="BF19" s="7"/>
      <c r="BG19" s="39">
        <f t="shared" si="16"/>
        <v>0</v>
      </c>
      <c r="BH19" s="7"/>
      <c r="BI19" s="7"/>
      <c r="BJ19" s="7"/>
      <c r="BK19" s="39">
        <f t="shared" si="17"/>
        <v>0</v>
      </c>
      <c r="BL19" s="7"/>
      <c r="BM19" s="7"/>
      <c r="BN19" s="7"/>
      <c r="BO19" s="39">
        <f t="shared" si="18"/>
        <v>0</v>
      </c>
      <c r="BP19" s="7"/>
      <c r="BQ19" s="7"/>
      <c r="BR19" s="7"/>
      <c r="BS19" s="39">
        <f t="shared" si="19"/>
        <v>0</v>
      </c>
      <c r="BT19" s="7">
        <v>1.0</v>
      </c>
      <c r="BU19" s="7">
        <v>1.0</v>
      </c>
      <c r="BV19" s="7">
        <v>1.0</v>
      </c>
      <c r="BW19" s="39">
        <f t="shared" si="20"/>
        <v>5</v>
      </c>
      <c r="BX19" s="7"/>
      <c r="BY19" s="7"/>
      <c r="BZ19" s="7">
        <v>1.0</v>
      </c>
      <c r="CA19" s="39">
        <f t="shared" si="21"/>
        <v>7</v>
      </c>
      <c r="CB19" s="7">
        <v>1.0</v>
      </c>
      <c r="CC19" s="7">
        <v>1.0</v>
      </c>
      <c r="CD19" s="7">
        <v>1.0</v>
      </c>
      <c r="CE19" s="39">
        <f t="shared" si="22"/>
        <v>5</v>
      </c>
      <c r="CF19" s="7"/>
      <c r="CG19" s="7"/>
      <c r="CH19" s="7"/>
      <c r="CI19" s="39">
        <f t="shared" si="23"/>
        <v>0</v>
      </c>
      <c r="CJ19" s="7"/>
      <c r="CK19" s="7"/>
      <c r="CL19" s="7">
        <v>1.0</v>
      </c>
      <c r="CM19" s="39">
        <f t="shared" si="24"/>
        <v>7</v>
      </c>
      <c r="CN19" s="7"/>
      <c r="CO19" s="7"/>
      <c r="CP19" s="7">
        <v>1.0</v>
      </c>
      <c r="CQ19" s="39">
        <f t="shared" si="25"/>
        <v>7</v>
      </c>
      <c r="CR19" s="7"/>
      <c r="CS19" s="7"/>
      <c r="CT19" s="7"/>
      <c r="CU19" s="39">
        <f t="shared" si="26"/>
        <v>0</v>
      </c>
      <c r="CV19" s="7"/>
      <c r="CW19" s="7"/>
      <c r="CX19" s="7"/>
      <c r="CY19" s="39">
        <f t="shared" si="27"/>
        <v>0</v>
      </c>
      <c r="CZ19" s="7"/>
      <c r="DA19" s="7"/>
      <c r="DB19" s="7"/>
      <c r="DC19" s="39">
        <f t="shared" si="28"/>
        <v>0</v>
      </c>
      <c r="DD19" s="7"/>
      <c r="DE19" s="7"/>
      <c r="DF19" s="7"/>
      <c r="DG19" s="39">
        <f t="shared" si="29"/>
        <v>0</v>
      </c>
      <c r="DH19" s="7"/>
      <c r="DI19" s="7"/>
      <c r="DJ19" s="7"/>
      <c r="DK19" s="39">
        <f t="shared" si="30"/>
        <v>0</v>
      </c>
      <c r="DL19" s="7">
        <v>1.0</v>
      </c>
      <c r="DM19" s="7"/>
      <c r="DN19" s="7">
        <v>1.0</v>
      </c>
      <c r="DO19" s="39">
        <f t="shared" si="31"/>
        <v>1</v>
      </c>
      <c r="DP19" s="7"/>
      <c r="DQ19" s="7"/>
      <c r="DR19" s="7"/>
      <c r="DS19" s="39">
        <f t="shared" si="32"/>
        <v>0</v>
      </c>
      <c r="DT19" s="7">
        <v>1.0</v>
      </c>
      <c r="DU19" s="7"/>
      <c r="DV19" s="7">
        <v>1.0</v>
      </c>
      <c r="DW19" s="39">
        <f t="shared" si="33"/>
        <v>1</v>
      </c>
      <c r="DX19" s="7"/>
      <c r="DY19" s="7"/>
      <c r="DZ19" s="7"/>
      <c r="EA19" s="39">
        <f t="shared" si="34"/>
        <v>0</v>
      </c>
      <c r="EB19" s="7"/>
      <c r="EC19" s="7"/>
      <c r="ED19" s="7"/>
      <c r="EE19" s="39">
        <f t="shared" si="35"/>
        <v>0</v>
      </c>
      <c r="EF19" s="7">
        <v>1.0</v>
      </c>
      <c r="EG19" s="7">
        <v>1.0</v>
      </c>
      <c r="EH19" s="7"/>
      <c r="EI19" s="39">
        <f t="shared" si="36"/>
        <v>3</v>
      </c>
      <c r="EJ19" s="7"/>
      <c r="EK19" s="7"/>
      <c r="EL19" s="7"/>
      <c r="EM19" s="39">
        <f t="shared" si="37"/>
        <v>0</v>
      </c>
      <c r="EN19" s="7">
        <v>1.0</v>
      </c>
      <c r="EO19" s="7">
        <v>1.0</v>
      </c>
      <c r="EP19" s="7">
        <v>1.0</v>
      </c>
      <c r="EQ19" s="39">
        <f t="shared" si="38"/>
        <v>5</v>
      </c>
      <c r="ER19" s="7">
        <v>1.0</v>
      </c>
      <c r="ES19" s="7">
        <v>1.0</v>
      </c>
      <c r="ET19" s="7">
        <v>1.0</v>
      </c>
      <c r="EU19" s="39">
        <f t="shared" si="39"/>
        <v>5</v>
      </c>
      <c r="EV19" s="7">
        <v>1.0</v>
      </c>
      <c r="EW19" s="7">
        <v>1.0</v>
      </c>
      <c r="EX19" s="7">
        <v>1.0</v>
      </c>
      <c r="EY19" s="39">
        <f t="shared" si="40"/>
        <v>5</v>
      </c>
      <c r="EZ19" s="7">
        <v>1.0</v>
      </c>
      <c r="FA19" s="7">
        <v>1.0</v>
      </c>
      <c r="FB19" s="7">
        <v>1.0</v>
      </c>
      <c r="FC19" s="39">
        <f t="shared" si="41"/>
        <v>5</v>
      </c>
      <c r="FD19" s="7"/>
      <c r="FE19" s="7"/>
      <c r="FF19" s="7">
        <v>1.0</v>
      </c>
      <c r="FG19" s="39">
        <f t="shared" si="42"/>
        <v>7</v>
      </c>
      <c r="FH19" s="7">
        <v>1.0</v>
      </c>
      <c r="FI19" s="7"/>
      <c r="FJ19" s="7">
        <v>1.0</v>
      </c>
      <c r="FK19" s="39">
        <f t="shared" si="43"/>
        <v>1</v>
      </c>
      <c r="FL19" s="7">
        <v>1.0</v>
      </c>
      <c r="FM19" s="7">
        <v>1.0</v>
      </c>
      <c r="FN19" s="7">
        <v>1.0</v>
      </c>
      <c r="FO19" s="39">
        <f t="shared" si="44"/>
        <v>5</v>
      </c>
      <c r="FP19" s="7"/>
      <c r="FQ19" s="7"/>
      <c r="FR19" s="7"/>
      <c r="FS19" s="39">
        <f t="shared" si="45"/>
        <v>0</v>
      </c>
      <c r="FT19" s="7"/>
      <c r="FU19" s="7"/>
      <c r="FV19" s="7">
        <v>1.0</v>
      </c>
      <c r="FW19" s="39">
        <f t="shared" si="46"/>
        <v>7</v>
      </c>
      <c r="FX19" s="7"/>
      <c r="FY19" s="7"/>
      <c r="FZ19" s="7">
        <v>1.0</v>
      </c>
      <c r="GA19" s="39">
        <f t="shared" si="47"/>
        <v>7</v>
      </c>
      <c r="GB19" s="7"/>
      <c r="GC19" s="7"/>
      <c r="GD19" s="7"/>
      <c r="GE19" s="39">
        <f t="shared" si="48"/>
        <v>0</v>
      </c>
      <c r="GF19" s="7"/>
      <c r="GG19" s="7"/>
      <c r="GH19" s="7"/>
      <c r="GI19" s="39">
        <f t="shared" si="49"/>
        <v>0</v>
      </c>
      <c r="GJ19" s="7"/>
      <c r="GK19" s="7"/>
      <c r="GL19" s="7"/>
      <c r="GM19" s="39">
        <f t="shared" si="50"/>
        <v>0</v>
      </c>
      <c r="GN19" s="7"/>
      <c r="GO19" s="7"/>
      <c r="GP19" s="7"/>
      <c r="GQ19" s="39">
        <f t="shared" si="64"/>
        <v>0</v>
      </c>
      <c r="GR19" s="7"/>
      <c r="GS19" s="7"/>
      <c r="GT19" s="7"/>
      <c r="GU19" s="39">
        <f t="shared" si="62"/>
        <v>0</v>
      </c>
      <c r="GV19" s="7"/>
      <c r="GW19" s="7"/>
      <c r="GX19" s="7">
        <v>1.0</v>
      </c>
      <c r="GY19" s="39">
        <f t="shared" si="53"/>
        <v>7</v>
      </c>
      <c r="GZ19" s="7"/>
      <c r="HA19" s="7"/>
      <c r="HB19" s="7"/>
      <c r="HC19" s="39">
        <f t="shared" si="63"/>
        <v>0</v>
      </c>
      <c r="HD19" s="7"/>
      <c r="HE19" s="7"/>
      <c r="HF19" s="7"/>
      <c r="HG19" s="39">
        <f t="shared" si="55"/>
        <v>0</v>
      </c>
      <c r="HH19" s="7"/>
      <c r="HI19" s="7"/>
      <c r="HJ19" s="7"/>
      <c r="HK19" s="39">
        <f t="shared" si="56"/>
        <v>0</v>
      </c>
    </row>
    <row r="20">
      <c r="A20" s="20" t="s">
        <v>56</v>
      </c>
      <c r="B20" s="21" t="s">
        <v>57</v>
      </c>
      <c r="C20" s="1">
        <f t="shared" si="1"/>
        <v>18</v>
      </c>
      <c r="D20" s="15">
        <f>VLOOKUP(A20,TDP!A:C,3,FALSE)</f>
        <v>0.3</v>
      </c>
      <c r="E20" s="37">
        <f t="shared" si="2"/>
        <v>109.2</v>
      </c>
      <c r="F20" s="7"/>
      <c r="G20" s="39">
        <f t="shared" si="65"/>
        <v>0</v>
      </c>
      <c r="H20" s="7">
        <v>1.0</v>
      </c>
      <c r="I20" s="7">
        <v>1.0</v>
      </c>
      <c r="J20" s="7">
        <v>1.0</v>
      </c>
      <c r="K20" s="39">
        <f t="shared" si="4"/>
        <v>5</v>
      </c>
      <c r="L20" s="7">
        <v>1.0</v>
      </c>
      <c r="M20" s="7">
        <v>1.0</v>
      </c>
      <c r="N20" s="7">
        <v>1.0</v>
      </c>
      <c r="O20" s="39">
        <f t="shared" si="5"/>
        <v>5</v>
      </c>
      <c r="P20" s="7">
        <v>1.0</v>
      </c>
      <c r="Q20" s="7">
        <v>1.0</v>
      </c>
      <c r="R20" s="7">
        <v>1.0</v>
      </c>
      <c r="S20" s="39">
        <f t="shared" si="6"/>
        <v>5</v>
      </c>
      <c r="T20" s="7"/>
      <c r="U20" s="7"/>
      <c r="V20" s="7"/>
      <c r="W20" s="39">
        <f t="shared" si="7"/>
        <v>0</v>
      </c>
      <c r="X20" s="7">
        <v>1.0</v>
      </c>
      <c r="Y20" s="7">
        <v>1.0</v>
      </c>
      <c r="Z20" s="7">
        <v>1.0</v>
      </c>
      <c r="AA20" s="39">
        <f t="shared" si="8"/>
        <v>5</v>
      </c>
      <c r="AB20" s="7">
        <v>1.0</v>
      </c>
      <c r="AC20" s="7">
        <v>1.0</v>
      </c>
      <c r="AD20" s="7">
        <v>1.0</v>
      </c>
      <c r="AE20" s="39">
        <f t="shared" si="9"/>
        <v>5</v>
      </c>
      <c r="AF20" s="7">
        <v>1.0</v>
      </c>
      <c r="AG20" s="7">
        <v>1.0</v>
      </c>
      <c r="AH20" s="7">
        <v>1.0</v>
      </c>
      <c r="AI20" s="39">
        <f t="shared" si="10"/>
        <v>5</v>
      </c>
      <c r="AJ20" s="7">
        <v>1.0</v>
      </c>
      <c r="AK20" s="7">
        <v>1.0</v>
      </c>
      <c r="AL20" s="7">
        <v>1.0</v>
      </c>
      <c r="AM20" s="39">
        <f t="shared" si="61"/>
        <v>5</v>
      </c>
      <c r="AN20" s="7"/>
      <c r="AO20" s="7"/>
      <c r="AP20" s="7"/>
      <c r="AQ20" s="39">
        <f t="shared" si="67"/>
        <v>0</v>
      </c>
      <c r="AR20" s="41"/>
      <c r="AS20" s="41"/>
      <c r="AT20" s="41"/>
      <c r="AU20" s="42">
        <f t="shared" si="13"/>
        <v>0</v>
      </c>
      <c r="AV20" s="7">
        <v>1.0</v>
      </c>
      <c r="AW20" s="7">
        <v>1.0</v>
      </c>
      <c r="AX20" s="7">
        <v>1.0</v>
      </c>
      <c r="AY20" s="39">
        <f t="shared" si="14"/>
        <v>5</v>
      </c>
      <c r="AZ20" s="7">
        <v>1.0</v>
      </c>
      <c r="BA20" s="7">
        <v>1.0</v>
      </c>
      <c r="BB20" s="7">
        <v>1.0</v>
      </c>
      <c r="BC20" s="39">
        <f t="shared" si="60"/>
        <v>5</v>
      </c>
      <c r="BD20" s="7"/>
      <c r="BE20" s="7"/>
      <c r="BF20" s="7">
        <v>1.0</v>
      </c>
      <c r="BG20" s="39">
        <f t="shared" si="16"/>
        <v>7</v>
      </c>
      <c r="BH20" s="7"/>
      <c r="BI20" s="7"/>
      <c r="BJ20" s="7">
        <v>1.0</v>
      </c>
      <c r="BK20" s="39">
        <f t="shared" si="17"/>
        <v>7</v>
      </c>
      <c r="BL20" s="7">
        <v>1.0</v>
      </c>
      <c r="BM20" s="7">
        <v>1.0</v>
      </c>
      <c r="BN20" s="7">
        <v>1.0</v>
      </c>
      <c r="BO20" s="39">
        <f t="shared" si="18"/>
        <v>5</v>
      </c>
      <c r="BP20" s="7">
        <v>1.0</v>
      </c>
      <c r="BQ20" s="7">
        <v>1.0</v>
      </c>
      <c r="BR20" s="7">
        <v>1.0</v>
      </c>
      <c r="BS20" s="39">
        <f t="shared" si="19"/>
        <v>5</v>
      </c>
      <c r="BT20" s="7">
        <v>1.0</v>
      </c>
      <c r="BU20" s="7">
        <v>1.0</v>
      </c>
      <c r="BV20" s="7">
        <v>1.0</v>
      </c>
      <c r="BW20" s="39">
        <f t="shared" si="20"/>
        <v>5</v>
      </c>
      <c r="BX20" s="7"/>
      <c r="BY20" s="7"/>
      <c r="BZ20" s="7"/>
      <c r="CA20" s="39">
        <f t="shared" si="21"/>
        <v>0</v>
      </c>
      <c r="CB20" s="7"/>
      <c r="CC20" s="7"/>
      <c r="CD20" s="7"/>
      <c r="CE20" s="39">
        <f t="shared" si="22"/>
        <v>0</v>
      </c>
      <c r="CF20" s="7"/>
      <c r="CG20" s="7"/>
      <c r="CH20" s="7"/>
      <c r="CI20" s="39">
        <f t="shared" si="23"/>
        <v>0</v>
      </c>
      <c r="CJ20" s="7"/>
      <c r="CK20" s="7"/>
      <c r="CL20" s="7"/>
      <c r="CM20" s="39">
        <f t="shared" si="24"/>
        <v>0</v>
      </c>
      <c r="CN20" s="7"/>
      <c r="CO20" s="7"/>
      <c r="CP20" s="7"/>
      <c r="CQ20" s="39">
        <f t="shared" si="25"/>
        <v>0</v>
      </c>
      <c r="CR20" s="7"/>
      <c r="CS20" s="7"/>
      <c r="CT20" s="7"/>
      <c r="CU20" s="39">
        <f t="shared" si="26"/>
        <v>0</v>
      </c>
      <c r="CV20" s="7">
        <v>1.0</v>
      </c>
      <c r="CW20" s="7">
        <v>1.0</v>
      </c>
      <c r="CX20" s="7">
        <v>1.0</v>
      </c>
      <c r="CY20" s="39">
        <f t="shared" si="27"/>
        <v>5</v>
      </c>
      <c r="CZ20" s="7"/>
      <c r="DA20" s="7"/>
      <c r="DB20" s="7"/>
      <c r="DC20" s="39">
        <f t="shared" si="28"/>
        <v>0</v>
      </c>
      <c r="DD20" s="7"/>
      <c r="DE20" s="7"/>
      <c r="DF20" s="7"/>
      <c r="DG20" s="39">
        <f t="shared" si="29"/>
        <v>0</v>
      </c>
      <c r="DH20" s="7"/>
      <c r="DI20" s="7"/>
      <c r="DJ20" s="7"/>
      <c r="DK20" s="39">
        <f t="shared" si="30"/>
        <v>0</v>
      </c>
      <c r="DL20" s="7"/>
      <c r="DM20" s="7"/>
      <c r="DN20" s="7"/>
      <c r="DO20" s="39">
        <f t="shared" si="31"/>
        <v>0</v>
      </c>
      <c r="DP20" s="7"/>
      <c r="DQ20" s="7"/>
      <c r="DR20" s="7"/>
      <c r="DS20" s="39">
        <f t="shared" si="32"/>
        <v>0</v>
      </c>
      <c r="DT20" s="7"/>
      <c r="DU20" s="7"/>
      <c r="DV20" s="7"/>
      <c r="DW20" s="39">
        <f t="shared" si="33"/>
        <v>0</v>
      </c>
      <c r="DX20" s="7"/>
      <c r="DY20" s="7"/>
      <c r="DZ20" s="7"/>
      <c r="EA20" s="39">
        <f t="shared" si="34"/>
        <v>0</v>
      </c>
      <c r="EB20" s="7"/>
      <c r="EC20" s="7"/>
      <c r="ED20" s="7"/>
      <c r="EE20" s="39">
        <f t="shared" si="35"/>
        <v>0</v>
      </c>
      <c r="EF20" s="7"/>
      <c r="EG20" s="7"/>
      <c r="EH20" s="7"/>
      <c r="EI20" s="39">
        <f t="shared" si="36"/>
        <v>0</v>
      </c>
      <c r="EJ20" s="7"/>
      <c r="EK20" s="7"/>
      <c r="EL20" s="7"/>
      <c r="EM20" s="39">
        <f t="shared" si="37"/>
        <v>0</v>
      </c>
      <c r="EN20" s="7"/>
      <c r="EO20" s="7"/>
      <c r="EP20" s="7"/>
      <c r="EQ20" s="39">
        <f t="shared" si="38"/>
        <v>0</v>
      </c>
      <c r="ER20" s="7"/>
      <c r="ES20" s="7"/>
      <c r="ET20" s="7"/>
      <c r="EU20" s="39">
        <f t="shared" si="39"/>
        <v>0</v>
      </c>
      <c r="EV20" s="7"/>
      <c r="EW20" s="7"/>
      <c r="EX20" s="7"/>
      <c r="EY20" s="39">
        <f t="shared" si="40"/>
        <v>0</v>
      </c>
      <c r="EZ20" s="7"/>
      <c r="FA20" s="7"/>
      <c r="FB20" s="7"/>
      <c r="FC20" s="39">
        <f t="shared" si="41"/>
        <v>0</v>
      </c>
      <c r="FD20" s="7"/>
      <c r="FE20" s="7"/>
      <c r="FF20" s="7"/>
      <c r="FG20" s="39">
        <f t="shared" si="42"/>
        <v>0</v>
      </c>
      <c r="FH20" s="7"/>
      <c r="FI20" s="7"/>
      <c r="FJ20" s="7"/>
      <c r="FK20" s="39">
        <f t="shared" si="43"/>
        <v>0</v>
      </c>
      <c r="FL20" s="7"/>
      <c r="FM20" s="7"/>
      <c r="FN20" s="7"/>
      <c r="FO20" s="39">
        <f t="shared" si="44"/>
        <v>0</v>
      </c>
      <c r="FP20" s="7"/>
      <c r="FQ20" s="7"/>
      <c r="FR20" s="7"/>
      <c r="FS20" s="39">
        <f t="shared" si="45"/>
        <v>0</v>
      </c>
      <c r="FT20" s="7"/>
      <c r="FU20" s="7"/>
      <c r="FV20" s="7"/>
      <c r="FW20" s="39">
        <f t="shared" si="46"/>
        <v>0</v>
      </c>
      <c r="FX20" s="7"/>
      <c r="FY20" s="7"/>
      <c r="FZ20" s="7"/>
      <c r="GA20" s="39">
        <f t="shared" si="47"/>
        <v>0</v>
      </c>
      <c r="GB20" s="7">
        <v>1.0</v>
      </c>
      <c r="GC20" s="7">
        <v>1.0</v>
      </c>
      <c r="GD20" s="7">
        <v>1.0</v>
      </c>
      <c r="GE20" s="39">
        <f t="shared" si="48"/>
        <v>5</v>
      </c>
      <c r="GF20" s="7"/>
      <c r="GG20" s="7"/>
      <c r="GH20" s="7"/>
      <c r="GI20" s="39">
        <f t="shared" si="49"/>
        <v>0</v>
      </c>
      <c r="GJ20" s="7"/>
      <c r="GK20" s="7"/>
      <c r="GL20" s="7"/>
      <c r="GM20" s="39">
        <f t="shared" si="50"/>
        <v>0</v>
      </c>
      <c r="GN20" s="7"/>
      <c r="GO20" s="7"/>
      <c r="GP20" s="7"/>
      <c r="GQ20" s="39">
        <f t="shared" si="64"/>
        <v>0</v>
      </c>
      <c r="GR20" s="7"/>
      <c r="GS20" s="7"/>
      <c r="GT20" s="7"/>
      <c r="GU20" s="39">
        <f t="shared" si="62"/>
        <v>0</v>
      </c>
      <c r="GV20" s="7"/>
      <c r="GW20" s="7"/>
      <c r="GX20" s="7"/>
      <c r="GY20" s="39">
        <f t="shared" si="53"/>
        <v>0</v>
      </c>
      <c r="GZ20" s="7"/>
      <c r="HA20" s="7"/>
      <c r="HB20" s="7"/>
      <c r="HC20" s="39">
        <f t="shared" si="63"/>
        <v>0</v>
      </c>
      <c r="HD20" s="7"/>
      <c r="HE20" s="7"/>
      <c r="HF20" s="7"/>
      <c r="HG20" s="39">
        <f t="shared" si="55"/>
        <v>0</v>
      </c>
      <c r="HH20" s="7"/>
      <c r="HI20" s="7"/>
      <c r="HJ20" s="7"/>
      <c r="HK20" s="39">
        <f t="shared" si="56"/>
        <v>0</v>
      </c>
    </row>
    <row r="21">
      <c r="A21" s="20" t="s">
        <v>47</v>
      </c>
      <c r="B21" s="23" t="s">
        <v>167</v>
      </c>
      <c r="C21" s="1">
        <f t="shared" si="1"/>
        <v>19</v>
      </c>
      <c r="D21" s="15">
        <f>VLOOKUP(A21,TDP!A:C,3,FALSE)</f>
        <v>0.37</v>
      </c>
      <c r="E21" s="37">
        <f t="shared" si="2"/>
        <v>97.27</v>
      </c>
      <c r="F21" s="7"/>
      <c r="G21" s="39">
        <f t="shared" si="65"/>
        <v>0</v>
      </c>
      <c r="H21" s="7">
        <v>1.0</v>
      </c>
      <c r="I21" s="7">
        <v>1.0</v>
      </c>
      <c r="J21" s="7"/>
      <c r="K21" s="39">
        <f t="shared" si="4"/>
        <v>3</v>
      </c>
      <c r="L21" s="7">
        <v>1.0</v>
      </c>
      <c r="M21" s="7">
        <v>1.0</v>
      </c>
      <c r="N21" s="7"/>
      <c r="O21" s="39">
        <f t="shared" si="5"/>
        <v>3</v>
      </c>
      <c r="P21" s="7">
        <v>1.0</v>
      </c>
      <c r="Q21" s="7">
        <v>1.0</v>
      </c>
      <c r="R21" s="7"/>
      <c r="S21" s="39">
        <f t="shared" si="6"/>
        <v>3</v>
      </c>
      <c r="T21" s="7"/>
      <c r="U21" s="7"/>
      <c r="V21" s="7"/>
      <c r="W21" s="39">
        <f t="shared" si="7"/>
        <v>0</v>
      </c>
      <c r="X21" s="7">
        <v>1.0</v>
      </c>
      <c r="Y21" s="7">
        <v>1.0</v>
      </c>
      <c r="Z21" s="7"/>
      <c r="AA21" s="39">
        <f t="shared" si="8"/>
        <v>3</v>
      </c>
      <c r="AB21" s="7">
        <v>1.0</v>
      </c>
      <c r="AC21" s="7">
        <v>1.0</v>
      </c>
      <c r="AD21" s="7"/>
      <c r="AE21" s="39">
        <f t="shared" si="9"/>
        <v>3</v>
      </c>
      <c r="AF21" s="7">
        <v>1.0</v>
      </c>
      <c r="AG21" s="7">
        <v>1.0</v>
      </c>
      <c r="AH21" s="7"/>
      <c r="AI21" s="93">
        <v>0.0</v>
      </c>
      <c r="AJ21" s="7">
        <v>1.0</v>
      </c>
      <c r="AK21" s="7">
        <v>1.0</v>
      </c>
      <c r="AL21" s="7"/>
      <c r="AM21" s="39">
        <f t="shared" si="61"/>
        <v>3</v>
      </c>
      <c r="AN21" s="7"/>
      <c r="AO21" s="7"/>
      <c r="AP21" s="7"/>
      <c r="AQ21" s="39">
        <f t="shared" si="67"/>
        <v>0</v>
      </c>
      <c r="AR21" s="41"/>
      <c r="AS21" s="41"/>
      <c r="AT21" s="41"/>
      <c r="AU21" s="42">
        <f t="shared" si="13"/>
        <v>0</v>
      </c>
      <c r="AV21" s="7">
        <v>1.0</v>
      </c>
      <c r="AW21" s="7">
        <v>1.0</v>
      </c>
      <c r="AX21" s="7"/>
      <c r="AY21" s="39">
        <f t="shared" si="14"/>
        <v>3</v>
      </c>
      <c r="AZ21" s="7"/>
      <c r="BA21" s="7"/>
      <c r="BB21" s="7">
        <v>1.0</v>
      </c>
      <c r="BC21" s="39">
        <f t="shared" si="60"/>
        <v>7</v>
      </c>
      <c r="BD21" s="7"/>
      <c r="BE21" s="7"/>
      <c r="BF21" s="7">
        <v>1.0</v>
      </c>
      <c r="BG21" s="39">
        <f t="shared" si="16"/>
        <v>7</v>
      </c>
      <c r="BH21" s="7">
        <v>1.0</v>
      </c>
      <c r="BI21" s="7">
        <v>1.0</v>
      </c>
      <c r="BJ21" s="7"/>
      <c r="BK21" s="39">
        <f t="shared" si="17"/>
        <v>3</v>
      </c>
      <c r="BL21" s="7">
        <v>1.0</v>
      </c>
      <c r="BM21" s="7">
        <v>1.0</v>
      </c>
      <c r="BN21" s="7"/>
      <c r="BO21" s="39">
        <f t="shared" si="18"/>
        <v>3</v>
      </c>
      <c r="BP21" s="7">
        <v>1.0</v>
      </c>
      <c r="BQ21" s="7">
        <v>1.0</v>
      </c>
      <c r="BR21" s="7"/>
      <c r="BS21" s="39">
        <f t="shared" si="19"/>
        <v>3</v>
      </c>
      <c r="BT21" s="7">
        <v>1.0</v>
      </c>
      <c r="BU21" s="7">
        <v>1.0</v>
      </c>
      <c r="BV21" s="7"/>
      <c r="BW21" s="39">
        <f t="shared" si="20"/>
        <v>3</v>
      </c>
      <c r="BX21" s="7"/>
      <c r="BY21" s="7"/>
      <c r="BZ21" s="7"/>
      <c r="CA21" s="39">
        <f t="shared" si="21"/>
        <v>0</v>
      </c>
      <c r="CB21" s="7"/>
      <c r="CC21" s="7"/>
      <c r="CD21" s="7"/>
      <c r="CE21" s="39">
        <f t="shared" si="22"/>
        <v>0</v>
      </c>
      <c r="CF21" s="7">
        <v>1.0</v>
      </c>
      <c r="CG21" s="7">
        <v>1.0</v>
      </c>
      <c r="CH21" s="7"/>
      <c r="CI21" s="39">
        <f t="shared" si="23"/>
        <v>3</v>
      </c>
      <c r="CJ21" s="7"/>
      <c r="CK21" s="7"/>
      <c r="CL21" s="7"/>
      <c r="CM21" s="39">
        <f t="shared" si="24"/>
        <v>0</v>
      </c>
      <c r="CN21" s="7"/>
      <c r="CO21" s="7"/>
      <c r="CP21" s="7"/>
      <c r="CQ21" s="39">
        <f t="shared" si="25"/>
        <v>0</v>
      </c>
      <c r="CR21" s="7"/>
      <c r="CS21" s="7"/>
      <c r="CT21" s="7"/>
      <c r="CU21" s="39">
        <f t="shared" si="26"/>
        <v>0</v>
      </c>
      <c r="CV21" s="7"/>
      <c r="CW21" s="7"/>
      <c r="CX21" s="7"/>
      <c r="CY21" s="39">
        <f t="shared" si="27"/>
        <v>0</v>
      </c>
      <c r="CZ21" s="7"/>
      <c r="DA21" s="7"/>
      <c r="DB21" s="7"/>
      <c r="DC21" s="39">
        <f t="shared" si="28"/>
        <v>0</v>
      </c>
      <c r="DD21" s="7"/>
      <c r="DE21" s="7"/>
      <c r="DF21" s="7"/>
      <c r="DG21" s="39">
        <f t="shared" si="29"/>
        <v>0</v>
      </c>
      <c r="DH21" s="7"/>
      <c r="DI21" s="7"/>
      <c r="DJ21" s="7"/>
      <c r="DK21" s="39">
        <f t="shared" si="30"/>
        <v>0</v>
      </c>
      <c r="DL21" s="7"/>
      <c r="DM21" s="7"/>
      <c r="DN21" s="7"/>
      <c r="DO21" s="39">
        <f t="shared" si="31"/>
        <v>0</v>
      </c>
      <c r="DP21" s="7"/>
      <c r="DQ21" s="7"/>
      <c r="DR21" s="7"/>
      <c r="DS21" s="39">
        <f t="shared" si="32"/>
        <v>0</v>
      </c>
      <c r="DT21" s="7"/>
      <c r="DU21" s="7"/>
      <c r="DV21" s="7"/>
      <c r="DW21" s="39">
        <f t="shared" si="33"/>
        <v>0</v>
      </c>
      <c r="DX21" s="7"/>
      <c r="DY21" s="7"/>
      <c r="DZ21" s="7"/>
      <c r="EA21" s="39">
        <f t="shared" si="34"/>
        <v>0</v>
      </c>
      <c r="EB21" s="7"/>
      <c r="EC21" s="7"/>
      <c r="ED21" s="7"/>
      <c r="EE21" s="39">
        <f t="shared" si="35"/>
        <v>0</v>
      </c>
      <c r="EF21" s="7"/>
      <c r="EG21" s="7"/>
      <c r="EH21" s="7"/>
      <c r="EI21" s="39">
        <f t="shared" si="36"/>
        <v>0</v>
      </c>
      <c r="EJ21" s="7"/>
      <c r="EK21" s="7"/>
      <c r="EL21" s="7"/>
      <c r="EM21" s="39">
        <f t="shared" si="37"/>
        <v>0</v>
      </c>
      <c r="EN21" s="7"/>
      <c r="EO21" s="7"/>
      <c r="EP21" s="7"/>
      <c r="EQ21" s="39">
        <f t="shared" si="38"/>
        <v>0</v>
      </c>
      <c r="ER21" s="7"/>
      <c r="ES21" s="7"/>
      <c r="ET21" s="7"/>
      <c r="EU21" s="39">
        <f t="shared" si="39"/>
        <v>0</v>
      </c>
      <c r="EV21" s="7"/>
      <c r="EW21" s="7"/>
      <c r="EX21" s="7"/>
      <c r="EY21" s="39">
        <f t="shared" si="40"/>
        <v>0</v>
      </c>
      <c r="EZ21" s="7"/>
      <c r="FA21" s="7"/>
      <c r="FB21" s="7"/>
      <c r="FC21" s="39">
        <f t="shared" si="41"/>
        <v>0</v>
      </c>
      <c r="FD21" s="7"/>
      <c r="FE21" s="7"/>
      <c r="FF21" s="7"/>
      <c r="FG21" s="39">
        <f t="shared" si="42"/>
        <v>0</v>
      </c>
      <c r="FH21" s="7">
        <v>1.0</v>
      </c>
      <c r="FI21" s="7">
        <v>1.0</v>
      </c>
      <c r="FJ21" s="7"/>
      <c r="FK21" s="39">
        <f t="shared" si="43"/>
        <v>3</v>
      </c>
      <c r="FL21" s="7"/>
      <c r="FM21" s="7"/>
      <c r="FN21" s="7"/>
      <c r="FO21" s="39">
        <f t="shared" si="44"/>
        <v>0</v>
      </c>
      <c r="FP21" s="7"/>
      <c r="FQ21" s="7"/>
      <c r="FR21" s="7"/>
      <c r="FS21" s="39">
        <f t="shared" si="45"/>
        <v>0</v>
      </c>
      <c r="FT21" s="7"/>
      <c r="FU21" s="7"/>
      <c r="FV21" s="7"/>
      <c r="FW21" s="39">
        <f t="shared" si="46"/>
        <v>0</v>
      </c>
      <c r="FX21" s="7">
        <v>1.0</v>
      </c>
      <c r="FY21" s="7">
        <v>1.0</v>
      </c>
      <c r="FZ21" s="7"/>
      <c r="GA21" s="39">
        <f t="shared" si="47"/>
        <v>3</v>
      </c>
      <c r="GB21" s="7">
        <v>1.0</v>
      </c>
      <c r="GC21" s="7">
        <v>1.0</v>
      </c>
      <c r="GD21" s="7"/>
      <c r="GE21" s="39">
        <f t="shared" si="48"/>
        <v>3</v>
      </c>
      <c r="GF21" s="7">
        <v>1.0</v>
      </c>
      <c r="GG21" s="7">
        <v>1.0</v>
      </c>
      <c r="GH21" s="7"/>
      <c r="GI21" s="39">
        <f t="shared" si="49"/>
        <v>3</v>
      </c>
      <c r="GJ21" s="7"/>
      <c r="GK21" s="7"/>
      <c r="GL21" s="7"/>
      <c r="GM21" s="39">
        <f t="shared" si="50"/>
        <v>0</v>
      </c>
      <c r="GN21" s="7">
        <v>1.0</v>
      </c>
      <c r="GO21" s="7">
        <v>1.0</v>
      </c>
      <c r="GP21" s="7"/>
      <c r="GQ21" s="39">
        <f t="shared" si="64"/>
        <v>3</v>
      </c>
      <c r="GR21" s="7"/>
      <c r="GS21" s="7"/>
      <c r="GT21" s="7"/>
      <c r="GU21" s="39">
        <f t="shared" si="62"/>
        <v>0</v>
      </c>
      <c r="GV21" s="7">
        <v>1.0</v>
      </c>
      <c r="GW21" s="7">
        <v>1.0</v>
      </c>
      <c r="GX21" s="7"/>
      <c r="GY21" s="39">
        <f t="shared" si="53"/>
        <v>3</v>
      </c>
      <c r="GZ21" s="7"/>
      <c r="HA21" s="7"/>
      <c r="HB21" s="7"/>
      <c r="HC21" s="39">
        <f t="shared" si="63"/>
        <v>0</v>
      </c>
      <c r="HD21" s="7">
        <v>1.0</v>
      </c>
      <c r="HE21" s="7">
        <v>1.0</v>
      </c>
      <c r="HF21" s="7"/>
      <c r="HG21" s="160">
        <v>0.0</v>
      </c>
      <c r="HH21" s="7">
        <v>1.0</v>
      </c>
      <c r="HI21" s="7">
        <v>1.0</v>
      </c>
      <c r="HJ21" s="7"/>
      <c r="HK21" s="39">
        <f t="shared" si="56"/>
        <v>3</v>
      </c>
    </row>
    <row r="22">
      <c r="A22" s="20" t="s">
        <v>32</v>
      </c>
      <c r="B22" s="21" t="s">
        <v>33</v>
      </c>
      <c r="C22" s="1">
        <f t="shared" si="1"/>
        <v>20</v>
      </c>
      <c r="D22" s="15">
        <f>VLOOKUP(A22,TDP!A:C,3,FALSE)</f>
        <v>0.39</v>
      </c>
      <c r="E22" s="37">
        <f t="shared" si="2"/>
        <v>93.13</v>
      </c>
      <c r="F22" s="7"/>
      <c r="G22" s="39">
        <f t="shared" si="65"/>
        <v>0</v>
      </c>
      <c r="H22" s="7">
        <v>1.0</v>
      </c>
      <c r="I22" s="7">
        <v>1.0</v>
      </c>
      <c r="J22" s="7"/>
      <c r="K22" s="39">
        <f t="shared" si="4"/>
        <v>3</v>
      </c>
      <c r="L22" s="7">
        <v>1.0</v>
      </c>
      <c r="M22" s="7">
        <v>1.0</v>
      </c>
      <c r="N22" s="7"/>
      <c r="O22" s="39">
        <f t="shared" si="5"/>
        <v>3</v>
      </c>
      <c r="P22" s="7">
        <v>1.0</v>
      </c>
      <c r="Q22" s="7">
        <v>1.0</v>
      </c>
      <c r="R22" s="7"/>
      <c r="S22" s="39">
        <f t="shared" si="6"/>
        <v>3</v>
      </c>
      <c r="T22" s="7"/>
      <c r="U22" s="7"/>
      <c r="V22" s="7"/>
      <c r="W22" s="39">
        <f t="shared" si="7"/>
        <v>0</v>
      </c>
      <c r="X22" s="7">
        <v>1.0</v>
      </c>
      <c r="Y22" s="7">
        <v>1.0</v>
      </c>
      <c r="Z22" s="7"/>
      <c r="AA22" s="39">
        <f t="shared" si="8"/>
        <v>3</v>
      </c>
      <c r="AB22" s="7">
        <v>1.0</v>
      </c>
      <c r="AC22" s="7">
        <v>1.0</v>
      </c>
      <c r="AD22" s="7"/>
      <c r="AE22" s="39">
        <f t="shared" si="9"/>
        <v>3</v>
      </c>
      <c r="AF22" s="7">
        <v>1.0</v>
      </c>
      <c r="AG22" s="7">
        <v>1.0</v>
      </c>
      <c r="AH22" s="7"/>
      <c r="AI22" s="93">
        <v>0.0</v>
      </c>
      <c r="AJ22" s="7">
        <v>1.0</v>
      </c>
      <c r="AK22" s="7">
        <v>1.0</v>
      </c>
      <c r="AL22" s="7"/>
      <c r="AM22" s="39">
        <f t="shared" si="61"/>
        <v>3</v>
      </c>
      <c r="AN22" s="7">
        <v>1.0</v>
      </c>
      <c r="AO22" s="7">
        <v>1.0</v>
      </c>
      <c r="AP22" s="7"/>
      <c r="AQ22" s="39">
        <f t="shared" si="67"/>
        <v>3</v>
      </c>
      <c r="AR22" s="41"/>
      <c r="AS22" s="41"/>
      <c r="AT22" s="41"/>
      <c r="AU22" s="42">
        <f t="shared" si="13"/>
        <v>0</v>
      </c>
      <c r="AV22" s="7">
        <v>1.0</v>
      </c>
      <c r="AW22" s="7">
        <v>1.0</v>
      </c>
      <c r="AX22" s="7"/>
      <c r="AY22" s="39">
        <f t="shared" si="14"/>
        <v>3</v>
      </c>
      <c r="AZ22" s="7">
        <v>1.0</v>
      </c>
      <c r="BA22" s="7">
        <v>1.0</v>
      </c>
      <c r="BB22" s="7">
        <v>1.0</v>
      </c>
      <c r="BC22" s="39">
        <f t="shared" si="60"/>
        <v>5</v>
      </c>
      <c r="BD22" s="7">
        <v>1.0</v>
      </c>
      <c r="BE22" s="7">
        <v>1.0</v>
      </c>
      <c r="BF22" s="7">
        <v>1.0</v>
      </c>
      <c r="BG22" s="39">
        <f t="shared" si="16"/>
        <v>5</v>
      </c>
      <c r="BH22" s="7">
        <v>1.0</v>
      </c>
      <c r="BI22" s="7">
        <v>1.0</v>
      </c>
      <c r="BJ22" s="7"/>
      <c r="BK22" s="39">
        <f t="shared" si="17"/>
        <v>3</v>
      </c>
      <c r="BL22" s="7">
        <v>1.0</v>
      </c>
      <c r="BM22" s="7">
        <v>1.0</v>
      </c>
      <c r="BN22" s="7"/>
      <c r="BO22" s="39">
        <f t="shared" si="18"/>
        <v>3</v>
      </c>
      <c r="BP22" s="7">
        <v>1.0</v>
      </c>
      <c r="BQ22" s="7">
        <v>1.0</v>
      </c>
      <c r="BR22" s="7"/>
      <c r="BS22" s="39">
        <f t="shared" si="19"/>
        <v>3</v>
      </c>
      <c r="BT22" s="7">
        <v>1.0</v>
      </c>
      <c r="BU22" s="7">
        <v>1.0</v>
      </c>
      <c r="BV22" s="7"/>
      <c r="BW22" s="39">
        <f t="shared" si="20"/>
        <v>3</v>
      </c>
      <c r="BX22" s="7"/>
      <c r="BY22" s="7"/>
      <c r="BZ22" s="7"/>
      <c r="CA22" s="39">
        <f t="shared" si="21"/>
        <v>0</v>
      </c>
      <c r="CB22" s="7"/>
      <c r="CC22" s="7"/>
      <c r="CD22" s="7"/>
      <c r="CE22" s="39">
        <f t="shared" si="22"/>
        <v>0</v>
      </c>
      <c r="CF22" s="7">
        <v>1.0</v>
      </c>
      <c r="CG22" s="7">
        <v>1.0</v>
      </c>
      <c r="CH22" s="7"/>
      <c r="CI22" s="39">
        <f t="shared" si="23"/>
        <v>3</v>
      </c>
      <c r="CJ22" s="7"/>
      <c r="CK22" s="7"/>
      <c r="CL22" s="7"/>
      <c r="CM22" s="39">
        <f t="shared" si="24"/>
        <v>0</v>
      </c>
      <c r="CN22" s="7"/>
      <c r="CO22" s="7"/>
      <c r="CP22" s="7"/>
      <c r="CQ22" s="39">
        <f t="shared" si="25"/>
        <v>0</v>
      </c>
      <c r="CR22" s="7"/>
      <c r="CS22" s="7"/>
      <c r="CT22" s="7"/>
      <c r="CU22" s="39">
        <f t="shared" si="26"/>
        <v>0</v>
      </c>
      <c r="CV22" s="7"/>
      <c r="CW22" s="7"/>
      <c r="CX22" s="7"/>
      <c r="CY22" s="39">
        <f t="shared" si="27"/>
        <v>0</v>
      </c>
      <c r="CZ22" s="7"/>
      <c r="DA22" s="7"/>
      <c r="DB22" s="7"/>
      <c r="DC22" s="39">
        <f t="shared" si="28"/>
        <v>0</v>
      </c>
      <c r="DD22" s="7"/>
      <c r="DE22" s="7"/>
      <c r="DF22" s="7"/>
      <c r="DG22" s="39">
        <f t="shared" si="29"/>
        <v>0</v>
      </c>
      <c r="DH22" s="7"/>
      <c r="DI22" s="7"/>
      <c r="DJ22" s="7"/>
      <c r="DK22" s="39">
        <f t="shared" si="30"/>
        <v>0</v>
      </c>
      <c r="DL22" s="7"/>
      <c r="DM22" s="7"/>
      <c r="DN22" s="7"/>
      <c r="DO22" s="39">
        <f t="shared" si="31"/>
        <v>0</v>
      </c>
      <c r="DP22" s="7"/>
      <c r="DQ22" s="7"/>
      <c r="DR22" s="7"/>
      <c r="DS22" s="39">
        <f t="shared" si="32"/>
        <v>0</v>
      </c>
      <c r="DT22" s="7"/>
      <c r="DU22" s="7"/>
      <c r="DV22" s="7"/>
      <c r="DW22" s="39">
        <f t="shared" si="33"/>
        <v>0</v>
      </c>
      <c r="DX22" s="7"/>
      <c r="DY22" s="7"/>
      <c r="DZ22" s="7"/>
      <c r="EA22" s="39">
        <f t="shared" si="34"/>
        <v>0</v>
      </c>
      <c r="EB22" s="7"/>
      <c r="EC22" s="7"/>
      <c r="ED22" s="7"/>
      <c r="EE22" s="39">
        <f t="shared" si="35"/>
        <v>0</v>
      </c>
      <c r="EF22" s="7"/>
      <c r="EG22" s="7"/>
      <c r="EH22" s="7"/>
      <c r="EI22" s="39">
        <f t="shared" si="36"/>
        <v>0</v>
      </c>
      <c r="EJ22" s="7"/>
      <c r="EK22" s="7"/>
      <c r="EL22" s="7"/>
      <c r="EM22" s="39">
        <f t="shared" si="37"/>
        <v>0</v>
      </c>
      <c r="EN22" s="7"/>
      <c r="EO22" s="7"/>
      <c r="EP22" s="7"/>
      <c r="EQ22" s="39">
        <f t="shared" si="38"/>
        <v>0</v>
      </c>
      <c r="ER22" s="7"/>
      <c r="ES22" s="7"/>
      <c r="ET22" s="7"/>
      <c r="EU22" s="39">
        <f t="shared" si="39"/>
        <v>0</v>
      </c>
      <c r="EV22" s="7"/>
      <c r="EW22" s="7"/>
      <c r="EX22" s="7"/>
      <c r="EY22" s="39">
        <f t="shared" si="40"/>
        <v>0</v>
      </c>
      <c r="EZ22" s="7"/>
      <c r="FA22" s="7"/>
      <c r="FB22" s="7"/>
      <c r="FC22" s="39">
        <f t="shared" si="41"/>
        <v>0</v>
      </c>
      <c r="FD22" s="7"/>
      <c r="FE22" s="7"/>
      <c r="FF22" s="7"/>
      <c r="FG22" s="39">
        <f t="shared" si="42"/>
        <v>0</v>
      </c>
      <c r="FH22" s="7">
        <v>1.0</v>
      </c>
      <c r="FI22" s="7">
        <v>1.0</v>
      </c>
      <c r="FJ22" s="7"/>
      <c r="FK22" s="39">
        <f t="shared" si="43"/>
        <v>3</v>
      </c>
      <c r="FL22" s="7"/>
      <c r="FM22" s="7"/>
      <c r="FN22" s="7"/>
      <c r="FO22" s="39">
        <f t="shared" si="44"/>
        <v>0</v>
      </c>
      <c r="FP22" s="7">
        <v>1.0</v>
      </c>
      <c r="FQ22" s="7">
        <v>1.0</v>
      </c>
      <c r="FR22" s="7"/>
      <c r="FS22" s="39">
        <f t="shared" si="45"/>
        <v>3</v>
      </c>
      <c r="FT22" s="7"/>
      <c r="FU22" s="7"/>
      <c r="FV22" s="7"/>
      <c r="FW22" s="39">
        <f t="shared" si="46"/>
        <v>0</v>
      </c>
      <c r="FX22" s="7">
        <v>1.0</v>
      </c>
      <c r="FY22" s="7">
        <v>1.0</v>
      </c>
      <c r="FZ22" s="7"/>
      <c r="GA22" s="39">
        <f t="shared" si="47"/>
        <v>3</v>
      </c>
      <c r="GB22" s="7"/>
      <c r="GC22" s="7"/>
      <c r="GD22" s="7"/>
      <c r="GE22" s="39">
        <f t="shared" si="48"/>
        <v>0</v>
      </c>
      <c r="GF22" s="7">
        <v>1.0</v>
      </c>
      <c r="GG22" s="7">
        <v>1.0</v>
      </c>
      <c r="GH22" s="7"/>
      <c r="GI22" s="39">
        <f t="shared" si="49"/>
        <v>3</v>
      </c>
      <c r="GJ22" s="7"/>
      <c r="GK22" s="7"/>
      <c r="GL22" s="7"/>
      <c r="GM22" s="39">
        <f t="shared" si="50"/>
        <v>0</v>
      </c>
      <c r="GN22" s="7">
        <v>1.0</v>
      </c>
      <c r="GO22" s="7">
        <v>1.0</v>
      </c>
      <c r="GP22" s="7"/>
      <c r="GQ22" s="39">
        <f t="shared" si="64"/>
        <v>3</v>
      </c>
      <c r="GR22" s="7"/>
      <c r="GS22" s="7"/>
      <c r="GT22" s="7"/>
      <c r="GU22" s="39">
        <f t="shared" si="62"/>
        <v>0</v>
      </c>
      <c r="GV22" s="7"/>
      <c r="GW22" s="7"/>
      <c r="GX22" s="7"/>
      <c r="GY22" s="39">
        <f t="shared" si="53"/>
        <v>0</v>
      </c>
      <c r="GZ22" s="7"/>
      <c r="HA22" s="7"/>
      <c r="HB22" s="7"/>
      <c r="HC22" s="39">
        <f t="shared" si="63"/>
        <v>0</v>
      </c>
      <c r="HD22" s="7"/>
      <c r="HE22" s="7"/>
      <c r="HF22" s="7"/>
      <c r="HG22" s="39">
        <f t="shared" ref="HG22:HG45" si="68"> if( HD22=1, if( HE22=1, if( HF22=1, 5, 3), if( HF22=1, 1, -3 ) ), if(HE22=1,if(HF22=1, -1, -2 ), if(HF22=1, 7, 0 ) ) )</f>
        <v>0</v>
      </c>
      <c r="HH22" s="7">
        <v>1.0</v>
      </c>
      <c r="HI22" s="7">
        <v>1.0</v>
      </c>
      <c r="HJ22" s="7"/>
      <c r="HK22" s="39">
        <f t="shared" si="56"/>
        <v>3</v>
      </c>
    </row>
    <row r="23">
      <c r="A23" s="20" t="s">
        <v>171</v>
      </c>
      <c r="B23" s="21"/>
      <c r="C23" s="1">
        <f t="shared" si="1"/>
        <v>21</v>
      </c>
      <c r="D23" s="15">
        <f>VLOOKUP(A23,TDP!A:C,3,FALSE)</f>
        <v>0.09</v>
      </c>
      <c r="E23" s="37">
        <f t="shared" si="2"/>
        <v>90.47</v>
      </c>
      <c r="F23" s="7"/>
      <c r="G23" s="39">
        <f t="shared" si="65"/>
        <v>0</v>
      </c>
      <c r="H23" s="7"/>
      <c r="I23" s="7"/>
      <c r="J23" s="7"/>
      <c r="K23" s="39">
        <f t="shared" si="4"/>
        <v>0</v>
      </c>
      <c r="L23" s="7"/>
      <c r="M23" s="7"/>
      <c r="N23" s="7"/>
      <c r="O23" s="39">
        <f t="shared" si="5"/>
        <v>0</v>
      </c>
      <c r="P23" s="7"/>
      <c r="Q23" s="7"/>
      <c r="R23" s="7"/>
      <c r="S23" s="39">
        <f t="shared" si="6"/>
        <v>0</v>
      </c>
      <c r="T23" s="7"/>
      <c r="U23" s="7"/>
      <c r="V23" s="7"/>
      <c r="W23" s="39">
        <f t="shared" si="7"/>
        <v>0</v>
      </c>
      <c r="X23" s="7"/>
      <c r="Y23" s="7"/>
      <c r="Z23" s="7"/>
      <c r="AA23" s="39">
        <f t="shared" si="8"/>
        <v>0</v>
      </c>
      <c r="AB23" s="7"/>
      <c r="AC23" s="7"/>
      <c r="AD23" s="7"/>
      <c r="AE23" s="39">
        <f t="shared" si="9"/>
        <v>0</v>
      </c>
      <c r="AF23" s="7"/>
      <c r="AG23" s="7"/>
      <c r="AH23" s="7"/>
      <c r="AI23" s="39">
        <f t="shared" ref="AI23:AI45" si="69"> if( AF23=1, if( AG23=1, if( AH23=1, 5, 3), if( AH23=1, 1, -3 ) ), if(AG23=1,if(AH23=1, -1, -2 ), if(AH23=1, 7, 0 ) ) )</f>
        <v>0</v>
      </c>
      <c r="AJ23" s="7"/>
      <c r="AK23" s="7"/>
      <c r="AL23" s="7"/>
      <c r="AM23" s="39">
        <f t="shared" si="61"/>
        <v>0</v>
      </c>
      <c r="AN23" s="7"/>
      <c r="AO23" s="7"/>
      <c r="AP23" s="7"/>
      <c r="AQ23" s="39">
        <f t="shared" si="67"/>
        <v>0</v>
      </c>
      <c r="AR23" s="41"/>
      <c r="AS23" s="41"/>
      <c r="AT23" s="41"/>
      <c r="AU23" s="42">
        <f t="shared" si="13"/>
        <v>0</v>
      </c>
      <c r="AV23" s="7"/>
      <c r="AW23" s="7"/>
      <c r="AX23" s="7"/>
      <c r="AY23" s="39">
        <f t="shared" si="14"/>
        <v>0</v>
      </c>
      <c r="AZ23" s="7"/>
      <c r="BA23" s="7"/>
      <c r="BB23" s="7"/>
      <c r="BC23" s="39">
        <f t="shared" si="60"/>
        <v>0</v>
      </c>
      <c r="BD23" s="7"/>
      <c r="BE23" s="7"/>
      <c r="BF23" s="7"/>
      <c r="BG23" s="39">
        <f t="shared" si="16"/>
        <v>0</v>
      </c>
      <c r="BH23" s="7"/>
      <c r="BI23" s="7"/>
      <c r="BJ23" s="7"/>
      <c r="BK23" s="39">
        <f t="shared" si="17"/>
        <v>0</v>
      </c>
      <c r="BL23" s="7"/>
      <c r="BM23" s="7"/>
      <c r="BN23" s="7"/>
      <c r="BO23" s="39">
        <f t="shared" si="18"/>
        <v>0</v>
      </c>
      <c r="BP23" s="7"/>
      <c r="BQ23" s="7"/>
      <c r="BR23" s="7"/>
      <c r="BS23" s="39">
        <f t="shared" si="19"/>
        <v>0</v>
      </c>
      <c r="BT23" s="7">
        <v>1.0</v>
      </c>
      <c r="BU23" s="7">
        <v>1.0</v>
      </c>
      <c r="BV23" s="7"/>
      <c r="BW23" s="39">
        <f t="shared" si="20"/>
        <v>3</v>
      </c>
      <c r="BX23" s="7">
        <v>1.0</v>
      </c>
      <c r="BY23" s="7">
        <v>1.0</v>
      </c>
      <c r="BZ23" s="7">
        <v>1.0</v>
      </c>
      <c r="CA23" s="39">
        <f t="shared" si="21"/>
        <v>5</v>
      </c>
      <c r="CB23" s="7">
        <v>1.0</v>
      </c>
      <c r="CC23" s="7">
        <v>1.0</v>
      </c>
      <c r="CD23" s="7"/>
      <c r="CE23" s="39">
        <f t="shared" si="22"/>
        <v>3</v>
      </c>
      <c r="CF23" s="7">
        <v>1.0</v>
      </c>
      <c r="CG23" s="7">
        <v>1.0</v>
      </c>
      <c r="CH23" s="7">
        <v>1.0</v>
      </c>
      <c r="CI23" s="39">
        <f t="shared" si="23"/>
        <v>5</v>
      </c>
      <c r="CJ23" s="7">
        <v>1.0</v>
      </c>
      <c r="CK23" s="7">
        <v>1.0</v>
      </c>
      <c r="CL23" s="7"/>
      <c r="CM23" s="39">
        <f t="shared" si="24"/>
        <v>3</v>
      </c>
      <c r="CN23" s="7">
        <v>1.0</v>
      </c>
      <c r="CO23" s="7">
        <v>1.0</v>
      </c>
      <c r="CP23" s="7">
        <v>1.0</v>
      </c>
      <c r="CQ23" s="39">
        <f t="shared" si="25"/>
        <v>5</v>
      </c>
      <c r="CR23" s="7">
        <v>1.0</v>
      </c>
      <c r="CS23" s="7">
        <v>1.0</v>
      </c>
      <c r="CT23" s="7"/>
      <c r="CU23" s="39">
        <f t="shared" si="26"/>
        <v>3</v>
      </c>
      <c r="CV23" s="7"/>
      <c r="CW23" s="7"/>
      <c r="CX23" s="7"/>
      <c r="CY23" s="39">
        <f t="shared" si="27"/>
        <v>0</v>
      </c>
      <c r="CZ23" s="7">
        <v>1.0</v>
      </c>
      <c r="DA23" s="7">
        <v>1.0</v>
      </c>
      <c r="DB23" s="7"/>
      <c r="DC23" s="39">
        <f t="shared" si="28"/>
        <v>3</v>
      </c>
      <c r="DD23" s="7"/>
      <c r="DE23" s="7"/>
      <c r="DF23" s="7"/>
      <c r="DG23" s="39">
        <f t="shared" si="29"/>
        <v>0</v>
      </c>
      <c r="DH23" s="7">
        <v>1.0</v>
      </c>
      <c r="DI23" s="7">
        <v>1.0</v>
      </c>
      <c r="DJ23" s="7"/>
      <c r="DK23" s="39">
        <f t="shared" si="30"/>
        <v>3</v>
      </c>
      <c r="DL23" s="7">
        <v>1.0</v>
      </c>
      <c r="DM23" s="7">
        <v>1.0</v>
      </c>
      <c r="DN23" s="7">
        <v>1.0</v>
      </c>
      <c r="DO23" s="39">
        <f t="shared" si="31"/>
        <v>5</v>
      </c>
      <c r="DP23" s="7">
        <v>1.0</v>
      </c>
      <c r="DQ23" s="7">
        <v>1.0</v>
      </c>
      <c r="DR23" s="7">
        <v>1.0</v>
      </c>
      <c r="DS23" s="39">
        <f t="shared" si="32"/>
        <v>5</v>
      </c>
      <c r="DT23" s="7">
        <v>1.0</v>
      </c>
      <c r="DU23" s="7">
        <v>1.0</v>
      </c>
      <c r="DV23" s="7">
        <v>1.0</v>
      </c>
      <c r="DW23" s="39">
        <f t="shared" si="33"/>
        <v>5</v>
      </c>
      <c r="DX23" s="7">
        <v>1.0</v>
      </c>
      <c r="DY23" s="7">
        <v>1.0</v>
      </c>
      <c r="DZ23" s="7">
        <v>1.0</v>
      </c>
      <c r="EA23" s="39">
        <f t="shared" si="34"/>
        <v>5</v>
      </c>
      <c r="EB23" s="7">
        <v>1.0</v>
      </c>
      <c r="EC23" s="7">
        <v>1.0</v>
      </c>
      <c r="ED23" s="7">
        <v>1.0</v>
      </c>
      <c r="EE23" s="39">
        <f t="shared" si="35"/>
        <v>5</v>
      </c>
      <c r="EF23" s="7">
        <v>1.0</v>
      </c>
      <c r="EG23" s="7">
        <v>1.0</v>
      </c>
      <c r="EH23" s="7"/>
      <c r="EI23" s="39">
        <f t="shared" si="36"/>
        <v>3</v>
      </c>
      <c r="EJ23" s="7">
        <v>1.0</v>
      </c>
      <c r="EK23" s="7">
        <v>1.0</v>
      </c>
      <c r="EL23" s="7"/>
      <c r="EM23" s="39">
        <f t="shared" si="37"/>
        <v>3</v>
      </c>
      <c r="EN23" s="7">
        <v>1.0</v>
      </c>
      <c r="EO23" s="7">
        <v>1.0</v>
      </c>
      <c r="EP23" s="7">
        <v>1.0</v>
      </c>
      <c r="EQ23" s="39">
        <f t="shared" si="38"/>
        <v>5</v>
      </c>
      <c r="ER23" s="7">
        <v>1.0</v>
      </c>
      <c r="ES23" s="7">
        <v>1.0</v>
      </c>
      <c r="ET23" s="7"/>
      <c r="EU23" s="39">
        <f t="shared" si="39"/>
        <v>3</v>
      </c>
      <c r="EV23" s="7">
        <v>1.0</v>
      </c>
      <c r="EW23" s="7">
        <v>1.0</v>
      </c>
      <c r="EX23" s="7">
        <v>1.0</v>
      </c>
      <c r="EY23" s="39">
        <f t="shared" si="40"/>
        <v>5</v>
      </c>
      <c r="EZ23" s="7"/>
      <c r="FA23" s="7"/>
      <c r="FB23" s="7"/>
      <c r="FC23" s="39">
        <f t="shared" si="41"/>
        <v>0</v>
      </c>
      <c r="FD23" s="7"/>
      <c r="FE23" s="7"/>
      <c r="FF23" s="7"/>
      <c r="FG23" s="39">
        <f t="shared" si="42"/>
        <v>0</v>
      </c>
      <c r="FH23" s="7">
        <v>1.0</v>
      </c>
      <c r="FI23" s="7">
        <v>1.0</v>
      </c>
      <c r="FJ23" s="7"/>
      <c r="FK23" s="39">
        <f t="shared" si="43"/>
        <v>3</v>
      </c>
      <c r="FL23" s="7">
        <v>1.0</v>
      </c>
      <c r="FM23" s="7">
        <v>1.0</v>
      </c>
      <c r="FN23" s="7"/>
      <c r="FO23" s="39">
        <f t="shared" si="44"/>
        <v>3</v>
      </c>
      <c r="FP23" s="7"/>
      <c r="FQ23" s="7"/>
      <c r="FR23" s="7"/>
      <c r="FS23" s="39">
        <f t="shared" si="45"/>
        <v>0</v>
      </c>
      <c r="FT23" s="7"/>
      <c r="FU23" s="7"/>
      <c r="FV23" s="7"/>
      <c r="FW23" s="39">
        <f t="shared" si="46"/>
        <v>0</v>
      </c>
      <c r="FX23" s="7"/>
      <c r="FY23" s="7"/>
      <c r="FZ23" s="7"/>
      <c r="GA23" s="39">
        <f t="shared" si="47"/>
        <v>0</v>
      </c>
      <c r="GB23" s="7"/>
      <c r="GC23" s="7"/>
      <c r="GD23" s="7"/>
      <c r="GE23" s="39">
        <f t="shared" si="48"/>
        <v>0</v>
      </c>
      <c r="GF23" s="7"/>
      <c r="GG23" s="7"/>
      <c r="GH23" s="7"/>
      <c r="GI23" s="39">
        <f t="shared" si="49"/>
        <v>0</v>
      </c>
      <c r="GJ23" s="7"/>
      <c r="GK23" s="7"/>
      <c r="GL23" s="7"/>
      <c r="GM23" s="39">
        <f t="shared" si="50"/>
        <v>0</v>
      </c>
      <c r="GN23" s="7"/>
      <c r="GO23" s="7"/>
      <c r="GP23" s="7"/>
      <c r="GQ23" s="39">
        <f t="shared" si="64"/>
        <v>0</v>
      </c>
      <c r="GR23" s="7"/>
      <c r="GS23" s="7"/>
      <c r="GT23" s="7"/>
      <c r="GU23" s="39">
        <f t="shared" si="62"/>
        <v>0</v>
      </c>
      <c r="GV23" s="7"/>
      <c r="GW23" s="7"/>
      <c r="GX23" s="7"/>
      <c r="GY23" s="39">
        <f t="shared" si="53"/>
        <v>0</v>
      </c>
      <c r="GZ23" s="7"/>
      <c r="HA23" s="7"/>
      <c r="HB23" s="7"/>
      <c r="HC23" s="39">
        <f t="shared" si="63"/>
        <v>0</v>
      </c>
      <c r="HD23" s="7"/>
      <c r="HE23" s="7"/>
      <c r="HF23" s="7"/>
      <c r="HG23" s="39">
        <f t="shared" si="68"/>
        <v>0</v>
      </c>
      <c r="HH23" s="7"/>
      <c r="HI23" s="7"/>
      <c r="HJ23" s="7"/>
      <c r="HK23" s="39">
        <f t="shared" si="56"/>
        <v>0</v>
      </c>
    </row>
    <row r="24">
      <c r="A24" s="4" t="s">
        <v>111</v>
      </c>
      <c r="B24" s="7" t="s">
        <v>112</v>
      </c>
      <c r="C24" s="1">
        <f t="shared" si="1"/>
        <v>22</v>
      </c>
      <c r="D24" s="15">
        <f>VLOOKUP(A24,TDP!A:C,3,FALSE)</f>
        <v>0.18</v>
      </c>
      <c r="E24" s="37">
        <f t="shared" si="2"/>
        <v>76.7</v>
      </c>
      <c r="F24" s="7"/>
      <c r="G24" s="39">
        <f t="shared" si="65"/>
        <v>0</v>
      </c>
      <c r="H24" s="7"/>
      <c r="I24" s="7"/>
      <c r="J24" s="7"/>
      <c r="K24" s="39">
        <f t="shared" si="4"/>
        <v>0</v>
      </c>
      <c r="L24" s="7"/>
      <c r="M24" s="7"/>
      <c r="N24" s="7"/>
      <c r="O24" s="39">
        <f t="shared" si="5"/>
        <v>0</v>
      </c>
      <c r="P24" s="7"/>
      <c r="Q24" s="7"/>
      <c r="R24" s="7"/>
      <c r="S24" s="39">
        <f t="shared" si="6"/>
        <v>0</v>
      </c>
      <c r="T24" s="7"/>
      <c r="U24" s="7"/>
      <c r="V24" s="7"/>
      <c r="W24" s="39">
        <f t="shared" si="7"/>
        <v>0</v>
      </c>
      <c r="X24" s="7"/>
      <c r="Y24" s="7"/>
      <c r="Z24" s="7"/>
      <c r="AA24" s="39">
        <f t="shared" si="8"/>
        <v>0</v>
      </c>
      <c r="AB24" s="7"/>
      <c r="AC24" s="7"/>
      <c r="AD24" s="7"/>
      <c r="AE24" s="39">
        <f t="shared" si="9"/>
        <v>0</v>
      </c>
      <c r="AF24" s="7"/>
      <c r="AG24" s="7"/>
      <c r="AH24" s="7"/>
      <c r="AI24" s="39">
        <f t="shared" si="69"/>
        <v>0</v>
      </c>
      <c r="AJ24" s="7"/>
      <c r="AK24" s="7"/>
      <c r="AL24" s="7"/>
      <c r="AM24" s="39">
        <f t="shared" si="61"/>
        <v>0</v>
      </c>
      <c r="AN24" s="7"/>
      <c r="AO24" s="7"/>
      <c r="AP24" s="7"/>
      <c r="AQ24" s="39">
        <f t="shared" si="67"/>
        <v>0</v>
      </c>
      <c r="AR24" s="41"/>
      <c r="AS24" s="41"/>
      <c r="AT24" s="41"/>
      <c r="AU24" s="42">
        <f t="shared" si="13"/>
        <v>0</v>
      </c>
      <c r="AV24" s="7"/>
      <c r="AW24" s="7"/>
      <c r="AX24" s="7"/>
      <c r="AY24" s="39">
        <f t="shared" si="14"/>
        <v>0</v>
      </c>
      <c r="AZ24" s="7"/>
      <c r="BA24" s="7"/>
      <c r="BB24" s="7"/>
      <c r="BC24" s="39">
        <f t="shared" si="60"/>
        <v>0</v>
      </c>
      <c r="BD24" s="7"/>
      <c r="BE24" s="7"/>
      <c r="BF24" s="7"/>
      <c r="BG24" s="39">
        <f t="shared" si="16"/>
        <v>0</v>
      </c>
      <c r="BH24" s="7"/>
      <c r="BI24" s="7"/>
      <c r="BJ24" s="7"/>
      <c r="BK24" s="39">
        <f t="shared" si="17"/>
        <v>0</v>
      </c>
      <c r="BL24" s="7"/>
      <c r="BM24" s="7"/>
      <c r="BN24" s="7"/>
      <c r="BO24" s="39">
        <f t="shared" si="18"/>
        <v>0</v>
      </c>
      <c r="BP24" s="7"/>
      <c r="BQ24" s="7"/>
      <c r="BR24" s="7"/>
      <c r="BS24" s="39">
        <f t="shared" si="19"/>
        <v>0</v>
      </c>
      <c r="BT24" s="7"/>
      <c r="BU24" s="7"/>
      <c r="BV24" s="7"/>
      <c r="BW24" s="39">
        <f t="shared" si="20"/>
        <v>0</v>
      </c>
      <c r="BX24" s="7"/>
      <c r="BY24" s="7"/>
      <c r="BZ24" s="7"/>
      <c r="CA24" s="39">
        <f t="shared" si="21"/>
        <v>0</v>
      </c>
      <c r="CB24" s="7"/>
      <c r="CC24" s="7"/>
      <c r="CD24" s="7"/>
      <c r="CE24" s="39">
        <f t="shared" si="22"/>
        <v>0</v>
      </c>
      <c r="CF24" s="7"/>
      <c r="CG24" s="7"/>
      <c r="CH24" s="7"/>
      <c r="CI24" s="39">
        <f t="shared" si="23"/>
        <v>0</v>
      </c>
      <c r="CJ24" s="7"/>
      <c r="CK24" s="7"/>
      <c r="CL24" s="7"/>
      <c r="CM24" s="39">
        <f t="shared" si="24"/>
        <v>0</v>
      </c>
      <c r="CN24" s="7"/>
      <c r="CO24" s="7"/>
      <c r="CP24" s="7"/>
      <c r="CQ24" s="39">
        <f t="shared" si="25"/>
        <v>0</v>
      </c>
      <c r="CR24" s="7"/>
      <c r="CS24" s="7"/>
      <c r="CT24" s="7"/>
      <c r="CU24" s="39">
        <f t="shared" si="26"/>
        <v>0</v>
      </c>
      <c r="CV24" s="7"/>
      <c r="CW24" s="7"/>
      <c r="CX24" s="7"/>
      <c r="CY24" s="39">
        <f t="shared" si="27"/>
        <v>0</v>
      </c>
      <c r="CZ24" s="7"/>
      <c r="DA24" s="7"/>
      <c r="DB24" s="7"/>
      <c r="DC24" s="39">
        <f t="shared" si="28"/>
        <v>0</v>
      </c>
      <c r="DD24" s="7"/>
      <c r="DE24" s="7"/>
      <c r="DF24" s="7"/>
      <c r="DG24" s="39">
        <f t="shared" si="29"/>
        <v>0</v>
      </c>
      <c r="DH24" s="7"/>
      <c r="DI24" s="7"/>
      <c r="DJ24" s="7"/>
      <c r="DK24" s="39">
        <f t="shared" si="30"/>
        <v>0</v>
      </c>
      <c r="DL24" s="7"/>
      <c r="DM24" s="7"/>
      <c r="DN24" s="7"/>
      <c r="DO24" s="39">
        <f t="shared" si="31"/>
        <v>0</v>
      </c>
      <c r="DP24" s="7"/>
      <c r="DQ24" s="7"/>
      <c r="DR24" s="7"/>
      <c r="DS24" s="39">
        <f t="shared" si="32"/>
        <v>0</v>
      </c>
      <c r="DT24" s="7"/>
      <c r="DU24" s="7"/>
      <c r="DV24" s="7"/>
      <c r="DW24" s="39">
        <f t="shared" si="33"/>
        <v>0</v>
      </c>
      <c r="DX24" s="7"/>
      <c r="DY24" s="7"/>
      <c r="DZ24" s="7"/>
      <c r="EA24" s="39">
        <f t="shared" si="34"/>
        <v>0</v>
      </c>
      <c r="EB24" s="7"/>
      <c r="EC24" s="7"/>
      <c r="ED24" s="7"/>
      <c r="EE24" s="39">
        <f t="shared" si="35"/>
        <v>0</v>
      </c>
      <c r="EF24" s="7"/>
      <c r="EG24" s="7"/>
      <c r="EH24" s="7"/>
      <c r="EI24" s="39">
        <f t="shared" si="36"/>
        <v>0</v>
      </c>
      <c r="EJ24" s="7">
        <v>1.0</v>
      </c>
      <c r="EK24" s="7">
        <v>1.0</v>
      </c>
      <c r="EL24" s="7">
        <v>1.0</v>
      </c>
      <c r="EM24" s="39">
        <f t="shared" si="37"/>
        <v>5</v>
      </c>
      <c r="EN24" s="7">
        <v>1.0</v>
      </c>
      <c r="EO24" s="7">
        <v>1.0</v>
      </c>
      <c r="EP24" s="7">
        <v>1.0</v>
      </c>
      <c r="EQ24" s="39">
        <f t="shared" si="38"/>
        <v>5</v>
      </c>
      <c r="ER24" s="7"/>
      <c r="ES24" s="7"/>
      <c r="ET24" s="7"/>
      <c r="EU24" s="39">
        <f t="shared" si="39"/>
        <v>0</v>
      </c>
      <c r="EV24" s="7"/>
      <c r="EW24" s="7"/>
      <c r="EX24" s="7"/>
      <c r="EY24" s="39">
        <f t="shared" si="40"/>
        <v>0</v>
      </c>
      <c r="EZ24" s="7"/>
      <c r="FA24" s="7"/>
      <c r="FB24" s="7"/>
      <c r="FC24" s="39">
        <f t="shared" si="41"/>
        <v>0</v>
      </c>
      <c r="FD24" s="7">
        <v>1.0</v>
      </c>
      <c r="FE24" s="7">
        <v>1.0</v>
      </c>
      <c r="FF24" s="7"/>
      <c r="FG24" s="39">
        <f t="shared" si="42"/>
        <v>3</v>
      </c>
      <c r="FH24" s="7">
        <v>1.0</v>
      </c>
      <c r="FI24" s="7">
        <v>1.0</v>
      </c>
      <c r="FJ24" s="7">
        <v>1.0</v>
      </c>
      <c r="FK24" s="39">
        <f t="shared" si="43"/>
        <v>5</v>
      </c>
      <c r="FL24" s="7">
        <v>1.0</v>
      </c>
      <c r="FM24" s="7">
        <v>1.0</v>
      </c>
      <c r="FN24" s="7">
        <v>1.0</v>
      </c>
      <c r="FO24" s="39">
        <f t="shared" si="44"/>
        <v>5</v>
      </c>
      <c r="FP24" s="7">
        <v>1.0</v>
      </c>
      <c r="FQ24" s="7">
        <v>1.0</v>
      </c>
      <c r="FR24" s="7">
        <v>1.0</v>
      </c>
      <c r="FS24" s="39">
        <f t="shared" si="45"/>
        <v>5</v>
      </c>
      <c r="FT24" s="7">
        <v>1.0</v>
      </c>
      <c r="FU24" s="7">
        <v>1.0</v>
      </c>
      <c r="FV24" s="7">
        <v>1.0</v>
      </c>
      <c r="FW24" s="39">
        <f t="shared" si="46"/>
        <v>5</v>
      </c>
      <c r="FX24" s="7"/>
      <c r="FY24" s="7"/>
      <c r="FZ24" s="7"/>
      <c r="GA24" s="39">
        <f t="shared" si="47"/>
        <v>0</v>
      </c>
      <c r="GB24" s="7">
        <v>1.0</v>
      </c>
      <c r="GC24" s="7">
        <v>1.0</v>
      </c>
      <c r="GD24" s="7">
        <v>1.0</v>
      </c>
      <c r="GE24" s="39">
        <f t="shared" si="48"/>
        <v>5</v>
      </c>
      <c r="GF24" s="7">
        <v>1.0</v>
      </c>
      <c r="GG24" s="7">
        <v>1.0</v>
      </c>
      <c r="GH24" s="7">
        <v>1.0</v>
      </c>
      <c r="GI24" s="39">
        <f t="shared" si="49"/>
        <v>5</v>
      </c>
      <c r="GJ24" s="7">
        <v>1.0</v>
      </c>
      <c r="GK24" s="7">
        <v>1.0</v>
      </c>
      <c r="GL24" s="7">
        <v>1.0</v>
      </c>
      <c r="GM24" s="39">
        <f t="shared" si="50"/>
        <v>5</v>
      </c>
      <c r="GN24" s="7"/>
      <c r="GO24" s="7"/>
      <c r="GP24" s="7">
        <v>1.0</v>
      </c>
      <c r="GQ24" s="39">
        <f t="shared" si="64"/>
        <v>7</v>
      </c>
      <c r="GR24" s="7"/>
      <c r="GS24" s="7"/>
      <c r="GT24" s="7"/>
      <c r="GU24" s="39">
        <f t="shared" si="62"/>
        <v>0</v>
      </c>
      <c r="GV24" s="7"/>
      <c r="GW24" s="7"/>
      <c r="GX24" s="7">
        <v>1.0</v>
      </c>
      <c r="GY24" s="39">
        <f t="shared" si="53"/>
        <v>7</v>
      </c>
      <c r="GZ24" s="7">
        <v>1.0</v>
      </c>
      <c r="HA24" s="7">
        <v>1.0</v>
      </c>
      <c r="HB24" s="7"/>
      <c r="HC24" s="39">
        <f t="shared" si="63"/>
        <v>3</v>
      </c>
      <c r="HD24" s="7"/>
      <c r="HE24" s="7"/>
      <c r="HF24" s="7"/>
      <c r="HG24" s="39">
        <f t="shared" si="68"/>
        <v>0</v>
      </c>
      <c r="HH24" s="7"/>
      <c r="HI24" s="7"/>
      <c r="HJ24" s="7"/>
      <c r="HK24" s="39">
        <f t="shared" si="56"/>
        <v>0</v>
      </c>
    </row>
    <row r="25">
      <c r="A25" s="20" t="s">
        <v>173</v>
      </c>
      <c r="B25" s="21"/>
      <c r="C25" s="1">
        <f t="shared" si="1"/>
        <v>23</v>
      </c>
      <c r="D25" s="15">
        <f>VLOOKUP(A25,TDP!A:C,3,FALSE)</f>
        <v>0.08</v>
      </c>
      <c r="E25" s="37">
        <f t="shared" si="2"/>
        <v>63.72</v>
      </c>
      <c r="F25" s="7"/>
      <c r="G25" s="39">
        <f t="shared" si="65"/>
        <v>0</v>
      </c>
      <c r="H25" s="7"/>
      <c r="I25" s="7"/>
      <c r="J25" s="7"/>
      <c r="K25" s="39">
        <f t="shared" si="4"/>
        <v>0</v>
      </c>
      <c r="L25" s="7">
        <v>1.0</v>
      </c>
      <c r="M25" s="7">
        <v>1.0</v>
      </c>
      <c r="N25" s="7"/>
      <c r="O25" s="93">
        <v>0.0</v>
      </c>
      <c r="P25" s="7"/>
      <c r="Q25" s="7"/>
      <c r="R25" s="7"/>
      <c r="S25" s="39">
        <f t="shared" si="6"/>
        <v>0</v>
      </c>
      <c r="T25" s="7"/>
      <c r="U25" s="7"/>
      <c r="V25" s="7"/>
      <c r="W25" s="39">
        <f t="shared" si="7"/>
        <v>0</v>
      </c>
      <c r="X25" s="7"/>
      <c r="Y25" s="7"/>
      <c r="Z25" s="7"/>
      <c r="AA25" s="39">
        <f t="shared" si="8"/>
        <v>0</v>
      </c>
      <c r="AB25" s="7"/>
      <c r="AC25" s="7"/>
      <c r="AD25" s="7"/>
      <c r="AE25" s="39">
        <f t="shared" si="9"/>
        <v>0</v>
      </c>
      <c r="AF25" s="7"/>
      <c r="AG25" s="7"/>
      <c r="AH25" s="7"/>
      <c r="AI25" s="39">
        <f t="shared" si="69"/>
        <v>0</v>
      </c>
      <c r="AJ25" s="7"/>
      <c r="AK25" s="7"/>
      <c r="AL25" s="7"/>
      <c r="AM25" s="39">
        <f t="shared" si="61"/>
        <v>0</v>
      </c>
      <c r="AN25" s="7"/>
      <c r="AO25" s="7"/>
      <c r="AP25" s="7"/>
      <c r="AQ25" s="39">
        <f t="shared" si="67"/>
        <v>0</v>
      </c>
      <c r="AR25" s="41"/>
      <c r="AS25" s="41"/>
      <c r="AT25" s="41"/>
      <c r="AU25" s="42">
        <f t="shared" si="13"/>
        <v>0</v>
      </c>
      <c r="AV25" s="7"/>
      <c r="AW25" s="7"/>
      <c r="AX25" s="7"/>
      <c r="AY25" s="39">
        <f t="shared" si="14"/>
        <v>0</v>
      </c>
      <c r="AZ25" s="7"/>
      <c r="BA25" s="7"/>
      <c r="BB25" s="7"/>
      <c r="BC25" s="39">
        <f t="shared" si="60"/>
        <v>0</v>
      </c>
      <c r="BD25" s="7"/>
      <c r="BE25" s="7"/>
      <c r="BF25" s="7"/>
      <c r="BG25" s="39">
        <f t="shared" si="16"/>
        <v>0</v>
      </c>
      <c r="BH25" s="7"/>
      <c r="BI25" s="7"/>
      <c r="BJ25" s="7"/>
      <c r="BK25" s="39">
        <f t="shared" si="17"/>
        <v>0</v>
      </c>
      <c r="BL25" s="7"/>
      <c r="BM25" s="7"/>
      <c r="BN25" s="7"/>
      <c r="BO25" s="39">
        <f t="shared" si="18"/>
        <v>0</v>
      </c>
      <c r="BP25" s="7"/>
      <c r="BQ25" s="7"/>
      <c r="BR25" s="7"/>
      <c r="BS25" s="39">
        <f t="shared" si="19"/>
        <v>0</v>
      </c>
      <c r="BT25" s="7"/>
      <c r="BU25" s="7"/>
      <c r="BV25" s="7"/>
      <c r="BW25" s="39">
        <f t="shared" si="20"/>
        <v>0</v>
      </c>
      <c r="BX25" s="7"/>
      <c r="BY25" s="7"/>
      <c r="BZ25" s="7"/>
      <c r="CA25" s="39">
        <f t="shared" si="21"/>
        <v>0</v>
      </c>
      <c r="CB25" s="7"/>
      <c r="CC25" s="7"/>
      <c r="CD25" s="7"/>
      <c r="CE25" s="39">
        <f t="shared" si="22"/>
        <v>0</v>
      </c>
      <c r="CF25" s="7"/>
      <c r="CG25" s="7"/>
      <c r="CH25" s="7"/>
      <c r="CI25" s="39">
        <f t="shared" si="23"/>
        <v>0</v>
      </c>
      <c r="CJ25" s="7"/>
      <c r="CK25" s="7"/>
      <c r="CL25" s="7"/>
      <c r="CM25" s="39">
        <f t="shared" si="24"/>
        <v>0</v>
      </c>
      <c r="CN25" s="7"/>
      <c r="CO25" s="7"/>
      <c r="CP25" s="7"/>
      <c r="CQ25" s="39">
        <f t="shared" si="25"/>
        <v>0</v>
      </c>
      <c r="CR25" s="7"/>
      <c r="CS25" s="7"/>
      <c r="CT25" s="7"/>
      <c r="CU25" s="39">
        <f t="shared" si="26"/>
        <v>0</v>
      </c>
      <c r="CV25" s="7"/>
      <c r="CW25" s="7"/>
      <c r="CX25" s="7"/>
      <c r="CY25" s="39">
        <f t="shared" si="27"/>
        <v>0</v>
      </c>
      <c r="CZ25" s="7"/>
      <c r="DA25" s="7"/>
      <c r="DB25" s="7"/>
      <c r="DC25" s="39">
        <f t="shared" si="28"/>
        <v>0</v>
      </c>
      <c r="DD25" s="7"/>
      <c r="DE25" s="7"/>
      <c r="DF25" s="7"/>
      <c r="DG25" s="39">
        <f t="shared" si="29"/>
        <v>0</v>
      </c>
      <c r="DH25" s="7"/>
      <c r="DI25" s="7"/>
      <c r="DJ25" s="7"/>
      <c r="DK25" s="39">
        <f t="shared" si="30"/>
        <v>0</v>
      </c>
      <c r="DL25" s="7"/>
      <c r="DM25" s="7"/>
      <c r="DN25" s="7"/>
      <c r="DO25" s="39">
        <f t="shared" si="31"/>
        <v>0</v>
      </c>
      <c r="DP25" s="7"/>
      <c r="DQ25" s="7"/>
      <c r="DR25" s="7"/>
      <c r="DS25" s="39">
        <f t="shared" si="32"/>
        <v>0</v>
      </c>
      <c r="DT25" s="7"/>
      <c r="DU25" s="7"/>
      <c r="DV25" s="7"/>
      <c r="DW25" s="39">
        <f t="shared" si="33"/>
        <v>0</v>
      </c>
      <c r="DX25" s="7"/>
      <c r="DY25" s="7"/>
      <c r="DZ25" s="7"/>
      <c r="EA25" s="39">
        <f t="shared" si="34"/>
        <v>0</v>
      </c>
      <c r="EB25" s="7"/>
      <c r="EC25" s="7"/>
      <c r="ED25" s="7"/>
      <c r="EE25" s="39">
        <f t="shared" si="35"/>
        <v>0</v>
      </c>
      <c r="EF25" s="7"/>
      <c r="EG25" s="7"/>
      <c r="EH25" s="7"/>
      <c r="EI25" s="39">
        <f t="shared" si="36"/>
        <v>0</v>
      </c>
      <c r="EJ25" s="7">
        <v>1.0</v>
      </c>
      <c r="EK25" s="7">
        <v>1.0</v>
      </c>
      <c r="EL25" s="7">
        <v>1.0</v>
      </c>
      <c r="EM25" s="39">
        <f t="shared" si="37"/>
        <v>5</v>
      </c>
      <c r="EN25" s="7">
        <v>1.0</v>
      </c>
      <c r="EO25" s="7">
        <v>1.0</v>
      </c>
      <c r="EP25" s="7">
        <v>1.0</v>
      </c>
      <c r="EQ25" s="39">
        <f t="shared" si="38"/>
        <v>5</v>
      </c>
      <c r="ER25" s="7"/>
      <c r="ES25" s="7"/>
      <c r="ET25" s="7"/>
      <c r="EU25" s="39">
        <f t="shared" si="39"/>
        <v>0</v>
      </c>
      <c r="EV25" s="7"/>
      <c r="EW25" s="7"/>
      <c r="EX25" s="7"/>
      <c r="EY25" s="39">
        <f t="shared" si="40"/>
        <v>0</v>
      </c>
      <c r="EZ25" s="7"/>
      <c r="FA25" s="7"/>
      <c r="FB25" s="7"/>
      <c r="FC25" s="39">
        <f t="shared" si="41"/>
        <v>0</v>
      </c>
      <c r="FD25" s="7">
        <v>1.0</v>
      </c>
      <c r="FE25" s="7">
        <v>1.0</v>
      </c>
      <c r="FF25" s="7"/>
      <c r="FG25" s="39">
        <f t="shared" si="42"/>
        <v>3</v>
      </c>
      <c r="FH25" s="7"/>
      <c r="FI25" s="7"/>
      <c r="FJ25" s="7"/>
      <c r="FK25" s="39">
        <f t="shared" si="43"/>
        <v>0</v>
      </c>
      <c r="FL25" s="7">
        <v>1.0</v>
      </c>
      <c r="FM25" s="7">
        <v>1.0</v>
      </c>
      <c r="FN25" s="7">
        <v>1.0</v>
      </c>
      <c r="FO25" s="39">
        <f t="shared" si="44"/>
        <v>5</v>
      </c>
      <c r="FP25" s="7"/>
      <c r="FQ25" s="7"/>
      <c r="FR25" s="7"/>
      <c r="FS25" s="39">
        <f t="shared" si="45"/>
        <v>0</v>
      </c>
      <c r="FT25" s="7">
        <v>1.0</v>
      </c>
      <c r="FU25" s="7">
        <v>1.0</v>
      </c>
      <c r="FV25" s="7">
        <v>1.0</v>
      </c>
      <c r="FW25" s="39">
        <f t="shared" si="46"/>
        <v>5</v>
      </c>
      <c r="FX25" s="7"/>
      <c r="FY25" s="7"/>
      <c r="FZ25" s="7"/>
      <c r="GA25" s="39">
        <f t="shared" si="47"/>
        <v>0</v>
      </c>
      <c r="GB25" s="7"/>
      <c r="GC25" s="7"/>
      <c r="GD25" s="7">
        <v>1.0</v>
      </c>
      <c r="GE25" s="39">
        <f t="shared" si="48"/>
        <v>7</v>
      </c>
      <c r="GF25" s="7">
        <v>1.0</v>
      </c>
      <c r="GG25" s="7">
        <v>1.0</v>
      </c>
      <c r="GH25" s="7">
        <v>1.0</v>
      </c>
      <c r="GI25" s="39">
        <f t="shared" si="49"/>
        <v>5</v>
      </c>
      <c r="GJ25" s="7"/>
      <c r="GK25" s="7"/>
      <c r="GL25" s="7">
        <v>1.0</v>
      </c>
      <c r="GM25" s="39">
        <f t="shared" si="50"/>
        <v>7</v>
      </c>
      <c r="GN25" s="7"/>
      <c r="GO25" s="7"/>
      <c r="GP25" s="7">
        <v>1.0</v>
      </c>
      <c r="GQ25" s="39">
        <f t="shared" si="64"/>
        <v>7</v>
      </c>
      <c r="GR25" s="7"/>
      <c r="GS25" s="7"/>
      <c r="GT25" s="7"/>
      <c r="GU25" s="39">
        <f t="shared" si="62"/>
        <v>0</v>
      </c>
      <c r="GV25" s="7"/>
      <c r="GW25" s="7"/>
      <c r="GX25" s="7">
        <v>1.0</v>
      </c>
      <c r="GY25" s="39">
        <f t="shared" si="53"/>
        <v>7</v>
      </c>
      <c r="GZ25" s="7">
        <v>1.0</v>
      </c>
      <c r="HA25" s="7">
        <v>1.0</v>
      </c>
      <c r="HB25" s="7"/>
      <c r="HC25" s="39">
        <f t="shared" si="63"/>
        <v>3</v>
      </c>
      <c r="HD25" s="7"/>
      <c r="HE25" s="7"/>
      <c r="HF25" s="7"/>
      <c r="HG25" s="39">
        <f t="shared" si="68"/>
        <v>0</v>
      </c>
      <c r="HH25" s="7"/>
      <c r="HI25" s="7"/>
      <c r="HJ25" s="7"/>
      <c r="HK25" s="39">
        <f t="shared" si="56"/>
        <v>0</v>
      </c>
    </row>
    <row r="26">
      <c r="A26" s="20" t="s">
        <v>169</v>
      </c>
      <c r="B26" s="21"/>
      <c r="C26" s="1">
        <f t="shared" si="1"/>
        <v>24</v>
      </c>
      <c r="D26" s="15">
        <f>VLOOKUP(A26,TDP!A:C,3,FALSE)</f>
        <v>0.25</v>
      </c>
      <c r="E26" s="37">
        <f t="shared" si="2"/>
        <v>47.5</v>
      </c>
      <c r="F26" s="7"/>
      <c r="G26" s="39">
        <f t="shared" si="65"/>
        <v>0</v>
      </c>
      <c r="H26" s="7"/>
      <c r="I26" s="7"/>
      <c r="J26" s="7"/>
      <c r="K26" s="39">
        <f t="shared" si="4"/>
        <v>0</v>
      </c>
      <c r="L26" s="7"/>
      <c r="M26" s="7"/>
      <c r="N26" s="7"/>
      <c r="O26" s="39">
        <f t="shared" ref="O26:O27" si="70"> if( L26=1, if( M26=1, if( N26=1, 5, 3), if( N26=1, 1, -3 ) ), if(M26=1,if(N26=1, -1, -2 ), if(N26=1, 7, 0 ) ) )</f>
        <v>0</v>
      </c>
      <c r="P26" s="7">
        <v>1.0</v>
      </c>
      <c r="Q26" s="7">
        <v>1.0</v>
      </c>
      <c r="R26" s="7"/>
      <c r="S26" s="39">
        <f t="shared" si="6"/>
        <v>3</v>
      </c>
      <c r="T26" s="7"/>
      <c r="U26" s="7"/>
      <c r="V26" s="7"/>
      <c r="W26" s="39">
        <f t="shared" si="7"/>
        <v>0</v>
      </c>
      <c r="X26" s="7"/>
      <c r="Y26" s="7"/>
      <c r="Z26" s="7"/>
      <c r="AA26" s="39">
        <f t="shared" si="8"/>
        <v>0</v>
      </c>
      <c r="AB26" s="7"/>
      <c r="AC26" s="7"/>
      <c r="AD26" s="7"/>
      <c r="AE26" s="39">
        <f t="shared" si="9"/>
        <v>0</v>
      </c>
      <c r="AF26" s="7"/>
      <c r="AG26" s="7"/>
      <c r="AH26" s="7"/>
      <c r="AI26" s="39">
        <f t="shared" si="69"/>
        <v>0</v>
      </c>
      <c r="AJ26" s="7"/>
      <c r="AK26" s="7"/>
      <c r="AL26" s="7"/>
      <c r="AM26" s="39">
        <f t="shared" si="61"/>
        <v>0</v>
      </c>
      <c r="AN26" s="7"/>
      <c r="AO26" s="7"/>
      <c r="AP26" s="7"/>
      <c r="AQ26" s="39">
        <f t="shared" si="67"/>
        <v>0</v>
      </c>
      <c r="AR26" s="41"/>
      <c r="AS26" s="41"/>
      <c r="AT26" s="41"/>
      <c r="AU26" s="42">
        <f t="shared" si="13"/>
        <v>0</v>
      </c>
      <c r="AV26" s="7"/>
      <c r="AW26" s="7"/>
      <c r="AX26" s="7"/>
      <c r="AY26" s="39">
        <f t="shared" si="14"/>
        <v>0</v>
      </c>
      <c r="AZ26" s="7"/>
      <c r="BA26" s="7"/>
      <c r="BB26" s="7"/>
      <c r="BC26" s="39">
        <f t="shared" si="60"/>
        <v>0</v>
      </c>
      <c r="BD26" s="7"/>
      <c r="BE26" s="7"/>
      <c r="BF26" s="7"/>
      <c r="BG26" s="39">
        <f t="shared" si="16"/>
        <v>0</v>
      </c>
      <c r="BH26" s="7"/>
      <c r="BI26" s="7"/>
      <c r="BJ26" s="7"/>
      <c r="BK26" s="39">
        <f t="shared" si="17"/>
        <v>0</v>
      </c>
      <c r="BL26" s="7"/>
      <c r="BM26" s="7"/>
      <c r="BN26" s="7"/>
      <c r="BO26" s="39">
        <f t="shared" si="18"/>
        <v>0</v>
      </c>
      <c r="BP26" s="7"/>
      <c r="BQ26" s="7"/>
      <c r="BR26" s="7"/>
      <c r="BS26" s="39">
        <f t="shared" si="19"/>
        <v>0</v>
      </c>
      <c r="BT26" s="7"/>
      <c r="BU26" s="7"/>
      <c r="BV26" s="7"/>
      <c r="BW26" s="39">
        <f t="shared" si="20"/>
        <v>0</v>
      </c>
      <c r="BX26" s="7"/>
      <c r="BY26" s="7"/>
      <c r="BZ26" s="7"/>
      <c r="CA26" s="39">
        <f t="shared" si="21"/>
        <v>0</v>
      </c>
      <c r="CB26" s="7"/>
      <c r="CC26" s="7"/>
      <c r="CD26" s="7"/>
      <c r="CE26" s="39">
        <f t="shared" si="22"/>
        <v>0</v>
      </c>
      <c r="CF26" s="7"/>
      <c r="CG26" s="7"/>
      <c r="CH26" s="7"/>
      <c r="CI26" s="39">
        <f t="shared" si="23"/>
        <v>0</v>
      </c>
      <c r="CJ26" s="7"/>
      <c r="CK26" s="7"/>
      <c r="CL26" s="7"/>
      <c r="CM26" s="39">
        <f t="shared" si="24"/>
        <v>0</v>
      </c>
      <c r="CN26" s="7"/>
      <c r="CO26" s="7"/>
      <c r="CP26" s="7"/>
      <c r="CQ26" s="39">
        <f t="shared" si="25"/>
        <v>0</v>
      </c>
      <c r="CR26" s="7"/>
      <c r="CS26" s="7"/>
      <c r="CT26" s="7"/>
      <c r="CU26" s="39">
        <f t="shared" si="26"/>
        <v>0</v>
      </c>
      <c r="CV26" s="7"/>
      <c r="CW26" s="7"/>
      <c r="CX26" s="7"/>
      <c r="CY26" s="39">
        <f t="shared" si="27"/>
        <v>0</v>
      </c>
      <c r="CZ26" s="7"/>
      <c r="DA26" s="7"/>
      <c r="DB26" s="7"/>
      <c r="DC26" s="39">
        <f t="shared" si="28"/>
        <v>0</v>
      </c>
      <c r="DD26" s="7"/>
      <c r="DE26" s="7"/>
      <c r="DF26" s="7"/>
      <c r="DG26" s="39">
        <f t="shared" si="29"/>
        <v>0</v>
      </c>
      <c r="DH26" s="7">
        <v>1.0</v>
      </c>
      <c r="DI26" s="7">
        <v>1.0</v>
      </c>
      <c r="DJ26" s="7">
        <v>1.0</v>
      </c>
      <c r="DK26" s="39">
        <f t="shared" si="30"/>
        <v>5</v>
      </c>
      <c r="DL26" s="7">
        <v>1.0</v>
      </c>
      <c r="DM26" s="7">
        <v>1.0</v>
      </c>
      <c r="DN26" s="7">
        <v>1.0</v>
      </c>
      <c r="DO26" s="39">
        <f t="shared" si="31"/>
        <v>5</v>
      </c>
      <c r="DP26" s="7">
        <v>1.0</v>
      </c>
      <c r="DQ26" s="7">
        <v>1.0</v>
      </c>
      <c r="DR26" s="7">
        <v>1.0</v>
      </c>
      <c r="DS26" s="39">
        <f t="shared" si="32"/>
        <v>5</v>
      </c>
      <c r="DT26" s="7">
        <v>1.0</v>
      </c>
      <c r="DU26" s="7">
        <v>1.0</v>
      </c>
      <c r="DV26" s="7">
        <v>1.0</v>
      </c>
      <c r="DW26" s="39">
        <f t="shared" si="33"/>
        <v>5</v>
      </c>
      <c r="DX26" s="7"/>
      <c r="DY26" s="7"/>
      <c r="DZ26" s="7"/>
      <c r="EA26" s="39">
        <f t="shared" si="34"/>
        <v>0</v>
      </c>
      <c r="EB26" s="7">
        <v>1.0</v>
      </c>
      <c r="EC26" s="7">
        <v>1.0</v>
      </c>
      <c r="ED26" s="7">
        <v>1.0</v>
      </c>
      <c r="EE26" s="39">
        <f t="shared" si="35"/>
        <v>5</v>
      </c>
      <c r="EF26" s="7">
        <v>1.0</v>
      </c>
      <c r="EG26" s="7">
        <v>1.0</v>
      </c>
      <c r="EH26" s="7">
        <v>1.0</v>
      </c>
      <c r="EI26" s="39">
        <f t="shared" si="36"/>
        <v>5</v>
      </c>
      <c r="EJ26" s="7">
        <v>1.0</v>
      </c>
      <c r="EK26" s="7">
        <v>1.0</v>
      </c>
      <c r="EL26" s="7">
        <v>1.0</v>
      </c>
      <c r="EM26" s="39">
        <f t="shared" si="37"/>
        <v>5</v>
      </c>
      <c r="EN26" s="7"/>
      <c r="EO26" s="7"/>
      <c r="EP26" s="7"/>
      <c r="EQ26" s="39">
        <f t="shared" si="38"/>
        <v>0</v>
      </c>
      <c r="ER26" s="7"/>
      <c r="ES26" s="7"/>
      <c r="ET26" s="7"/>
      <c r="EU26" s="39">
        <f t="shared" si="39"/>
        <v>0</v>
      </c>
      <c r="EV26" s="7"/>
      <c r="EW26" s="7"/>
      <c r="EX26" s="7"/>
      <c r="EY26" s="39">
        <f t="shared" si="40"/>
        <v>0</v>
      </c>
      <c r="EZ26" s="7"/>
      <c r="FA26" s="7"/>
      <c r="FB26" s="7"/>
      <c r="FC26" s="39">
        <f t="shared" si="41"/>
        <v>0</v>
      </c>
      <c r="FD26" s="7"/>
      <c r="FE26" s="7"/>
      <c r="FF26" s="7"/>
      <c r="FG26" s="39">
        <f t="shared" si="42"/>
        <v>0</v>
      </c>
      <c r="FH26" s="7"/>
      <c r="FI26" s="7"/>
      <c r="FJ26" s="7"/>
      <c r="FK26" s="39">
        <f t="shared" si="43"/>
        <v>0</v>
      </c>
      <c r="FL26" s="7"/>
      <c r="FM26" s="7"/>
      <c r="FN26" s="7"/>
      <c r="FO26" s="39">
        <f t="shared" si="44"/>
        <v>0</v>
      </c>
      <c r="FP26" s="7"/>
      <c r="FQ26" s="7"/>
      <c r="FR26" s="7"/>
      <c r="FS26" s="39">
        <f t="shared" si="45"/>
        <v>0</v>
      </c>
      <c r="FT26" s="7"/>
      <c r="FU26" s="7"/>
      <c r="FV26" s="7"/>
      <c r="FW26" s="39">
        <f t="shared" si="46"/>
        <v>0</v>
      </c>
      <c r="FX26" s="7"/>
      <c r="FY26" s="7"/>
      <c r="FZ26" s="7"/>
      <c r="GA26" s="39">
        <f t="shared" si="47"/>
        <v>0</v>
      </c>
      <c r="GB26" s="7"/>
      <c r="GC26" s="7"/>
      <c r="GD26" s="7"/>
      <c r="GE26" s="39">
        <f t="shared" si="48"/>
        <v>0</v>
      </c>
      <c r="GF26" s="7"/>
      <c r="GG26" s="7"/>
      <c r="GH26" s="7"/>
      <c r="GI26" s="39">
        <f t="shared" si="49"/>
        <v>0</v>
      </c>
      <c r="GJ26" s="7"/>
      <c r="GK26" s="7"/>
      <c r="GL26" s="7"/>
      <c r="GM26" s="39">
        <f t="shared" si="50"/>
        <v>0</v>
      </c>
      <c r="GN26" s="7"/>
      <c r="GO26" s="7"/>
      <c r="GP26" s="7"/>
      <c r="GQ26" s="39">
        <f t="shared" si="64"/>
        <v>0</v>
      </c>
      <c r="GR26" s="7"/>
      <c r="GS26" s="7"/>
      <c r="GT26" s="7"/>
      <c r="GU26" s="39">
        <f t="shared" si="62"/>
        <v>0</v>
      </c>
      <c r="GV26" s="7"/>
      <c r="GW26" s="7"/>
      <c r="GX26" s="7"/>
      <c r="GY26" s="39">
        <f t="shared" si="53"/>
        <v>0</v>
      </c>
      <c r="GZ26" s="7"/>
      <c r="HA26" s="7"/>
      <c r="HB26" s="7"/>
      <c r="HC26" s="39">
        <f t="shared" si="63"/>
        <v>0</v>
      </c>
      <c r="HD26" s="7"/>
      <c r="HE26" s="7"/>
      <c r="HF26" s="7"/>
      <c r="HG26" s="39">
        <f t="shared" si="68"/>
        <v>0</v>
      </c>
      <c r="HH26" s="7"/>
      <c r="HI26" s="7"/>
      <c r="HJ26" s="7"/>
      <c r="HK26" s="39">
        <f t="shared" si="56"/>
        <v>0</v>
      </c>
    </row>
    <row r="27">
      <c r="A27" s="20" t="s">
        <v>109</v>
      </c>
      <c r="B27" s="21"/>
      <c r="C27" s="1">
        <f t="shared" si="1"/>
        <v>25</v>
      </c>
      <c r="D27" s="15">
        <f>VLOOKUP(A27,TDP!A:C,3,FALSE)</f>
        <v>0.15</v>
      </c>
      <c r="E27" s="37">
        <f t="shared" si="2"/>
        <v>46</v>
      </c>
      <c r="F27" s="7"/>
      <c r="G27" s="39">
        <f t="shared" si="65"/>
        <v>0</v>
      </c>
      <c r="H27" s="7"/>
      <c r="I27" s="7"/>
      <c r="J27" s="7"/>
      <c r="K27" s="39">
        <f t="shared" si="4"/>
        <v>0</v>
      </c>
      <c r="L27" s="7"/>
      <c r="M27" s="7"/>
      <c r="N27" s="7"/>
      <c r="O27" s="39">
        <f t="shared" si="70"/>
        <v>0</v>
      </c>
      <c r="P27" s="7"/>
      <c r="Q27" s="7"/>
      <c r="R27" s="7"/>
      <c r="S27" s="39">
        <f t="shared" si="6"/>
        <v>0</v>
      </c>
      <c r="T27" s="7"/>
      <c r="U27" s="7"/>
      <c r="V27" s="7"/>
      <c r="W27" s="39">
        <f t="shared" si="7"/>
        <v>0</v>
      </c>
      <c r="X27" s="7"/>
      <c r="Y27" s="7"/>
      <c r="Z27" s="7"/>
      <c r="AA27" s="39">
        <f t="shared" si="8"/>
        <v>0</v>
      </c>
      <c r="AB27" s="7"/>
      <c r="AC27" s="7"/>
      <c r="AD27" s="7"/>
      <c r="AE27" s="39">
        <f t="shared" si="9"/>
        <v>0</v>
      </c>
      <c r="AF27" s="7"/>
      <c r="AG27" s="7"/>
      <c r="AH27" s="7"/>
      <c r="AI27" s="39">
        <f t="shared" si="69"/>
        <v>0</v>
      </c>
      <c r="AJ27" s="7"/>
      <c r="AK27" s="7"/>
      <c r="AL27" s="7"/>
      <c r="AM27" s="39">
        <f t="shared" si="61"/>
        <v>0</v>
      </c>
      <c r="AN27" s="7"/>
      <c r="AO27" s="7"/>
      <c r="AP27" s="7"/>
      <c r="AQ27" s="39">
        <f t="shared" si="67"/>
        <v>0</v>
      </c>
      <c r="AR27" s="41"/>
      <c r="AS27" s="41"/>
      <c r="AT27" s="41"/>
      <c r="AU27" s="42">
        <f t="shared" si="13"/>
        <v>0</v>
      </c>
      <c r="AV27" s="7"/>
      <c r="AW27" s="7"/>
      <c r="AX27" s="7"/>
      <c r="AY27" s="39">
        <f t="shared" si="14"/>
        <v>0</v>
      </c>
      <c r="AZ27" s="7"/>
      <c r="BA27" s="7"/>
      <c r="BB27" s="7"/>
      <c r="BC27" s="39">
        <f t="shared" si="60"/>
        <v>0</v>
      </c>
      <c r="BD27" s="7"/>
      <c r="BE27" s="7"/>
      <c r="BF27" s="7"/>
      <c r="BG27" s="39">
        <f t="shared" si="16"/>
        <v>0</v>
      </c>
      <c r="BH27" s="7"/>
      <c r="BI27" s="7"/>
      <c r="BJ27" s="7"/>
      <c r="BK27" s="39">
        <f t="shared" si="17"/>
        <v>0</v>
      </c>
      <c r="BL27" s="7"/>
      <c r="BM27" s="7"/>
      <c r="BN27" s="7"/>
      <c r="BO27" s="39">
        <f t="shared" si="18"/>
        <v>0</v>
      </c>
      <c r="BP27" s="7"/>
      <c r="BQ27" s="7"/>
      <c r="BR27" s="7"/>
      <c r="BS27" s="39">
        <f t="shared" si="19"/>
        <v>0</v>
      </c>
      <c r="BT27" s="7"/>
      <c r="BU27" s="7"/>
      <c r="BV27" s="7"/>
      <c r="BW27" s="39">
        <f t="shared" si="20"/>
        <v>0</v>
      </c>
      <c r="BX27" s="7"/>
      <c r="BY27" s="7"/>
      <c r="BZ27" s="7"/>
      <c r="CA27" s="39">
        <f t="shared" si="21"/>
        <v>0</v>
      </c>
      <c r="CB27" s="7"/>
      <c r="CC27" s="7"/>
      <c r="CD27" s="7"/>
      <c r="CE27" s="39">
        <f t="shared" si="22"/>
        <v>0</v>
      </c>
      <c r="CF27" s="7"/>
      <c r="CG27" s="7"/>
      <c r="CH27" s="7"/>
      <c r="CI27" s="39">
        <f t="shared" si="23"/>
        <v>0</v>
      </c>
      <c r="CJ27" s="7"/>
      <c r="CK27" s="7"/>
      <c r="CL27" s="7"/>
      <c r="CM27" s="39">
        <f t="shared" si="24"/>
        <v>0</v>
      </c>
      <c r="CN27" s="7"/>
      <c r="CO27" s="7"/>
      <c r="CP27" s="7"/>
      <c r="CQ27" s="39">
        <f t="shared" si="25"/>
        <v>0</v>
      </c>
      <c r="CR27" s="7"/>
      <c r="CS27" s="7"/>
      <c r="CT27" s="7"/>
      <c r="CU27" s="39">
        <f t="shared" si="26"/>
        <v>0</v>
      </c>
      <c r="CV27" s="7"/>
      <c r="CW27" s="7"/>
      <c r="CX27" s="7"/>
      <c r="CY27" s="39">
        <f t="shared" si="27"/>
        <v>0</v>
      </c>
      <c r="CZ27" s="7"/>
      <c r="DA27" s="7"/>
      <c r="DB27" s="7"/>
      <c r="DC27" s="39">
        <f t="shared" si="28"/>
        <v>0</v>
      </c>
      <c r="DD27" s="7"/>
      <c r="DE27" s="7"/>
      <c r="DF27" s="7"/>
      <c r="DG27" s="39">
        <f t="shared" si="29"/>
        <v>0</v>
      </c>
      <c r="DH27" s="7"/>
      <c r="DI27" s="7"/>
      <c r="DJ27" s="7"/>
      <c r="DK27" s="39">
        <f t="shared" si="30"/>
        <v>0</v>
      </c>
      <c r="DL27" s="7"/>
      <c r="DM27" s="7"/>
      <c r="DN27" s="7"/>
      <c r="DO27" s="39">
        <f t="shared" si="31"/>
        <v>0</v>
      </c>
      <c r="DP27" s="7"/>
      <c r="DQ27" s="7"/>
      <c r="DR27" s="7"/>
      <c r="DS27" s="39">
        <f t="shared" si="32"/>
        <v>0</v>
      </c>
      <c r="DT27" s="7"/>
      <c r="DU27" s="7"/>
      <c r="DV27" s="7"/>
      <c r="DW27" s="39">
        <f t="shared" si="33"/>
        <v>0</v>
      </c>
      <c r="DX27" s="7"/>
      <c r="DY27" s="7"/>
      <c r="DZ27" s="7"/>
      <c r="EA27" s="39">
        <f t="shared" si="34"/>
        <v>0</v>
      </c>
      <c r="EB27" s="7"/>
      <c r="EC27" s="7"/>
      <c r="ED27" s="7"/>
      <c r="EE27" s="39">
        <f t="shared" si="35"/>
        <v>0</v>
      </c>
      <c r="EF27" s="7"/>
      <c r="EG27" s="7"/>
      <c r="EH27" s="7"/>
      <c r="EI27" s="39">
        <f t="shared" si="36"/>
        <v>0</v>
      </c>
      <c r="EJ27" s="7">
        <v>1.0</v>
      </c>
      <c r="EK27" s="7">
        <v>1.0</v>
      </c>
      <c r="EL27" s="7">
        <v>1.0</v>
      </c>
      <c r="EM27" s="39">
        <f t="shared" si="37"/>
        <v>5</v>
      </c>
      <c r="EN27" s="7">
        <v>1.0</v>
      </c>
      <c r="EO27" s="7">
        <v>1.0</v>
      </c>
      <c r="EP27" s="7">
        <v>1.0</v>
      </c>
      <c r="EQ27" s="39">
        <f t="shared" si="38"/>
        <v>5</v>
      </c>
      <c r="ER27" s="7"/>
      <c r="ES27" s="7"/>
      <c r="ET27" s="7"/>
      <c r="EU27" s="39">
        <f t="shared" si="39"/>
        <v>0</v>
      </c>
      <c r="EV27" s="7"/>
      <c r="EW27" s="7"/>
      <c r="EX27" s="7"/>
      <c r="EY27" s="39">
        <f t="shared" si="40"/>
        <v>0</v>
      </c>
      <c r="EZ27" s="7"/>
      <c r="FA27" s="7"/>
      <c r="FB27" s="7"/>
      <c r="FC27" s="39">
        <f t="shared" si="41"/>
        <v>0</v>
      </c>
      <c r="FD27" s="7">
        <v>1.0</v>
      </c>
      <c r="FE27" s="7">
        <v>1.0</v>
      </c>
      <c r="FF27" s="7"/>
      <c r="FG27" s="39">
        <f t="shared" si="42"/>
        <v>3</v>
      </c>
      <c r="FH27" s="7"/>
      <c r="FI27" s="7"/>
      <c r="FJ27" s="7"/>
      <c r="FK27" s="39">
        <f t="shared" si="43"/>
        <v>0</v>
      </c>
      <c r="FL27" s="7">
        <v>1.0</v>
      </c>
      <c r="FM27" s="7">
        <v>1.0</v>
      </c>
      <c r="FN27" s="7">
        <v>1.0</v>
      </c>
      <c r="FO27" s="39">
        <f t="shared" si="44"/>
        <v>5</v>
      </c>
      <c r="FP27" s="7">
        <v>1.0</v>
      </c>
      <c r="FQ27" s="7">
        <v>1.0</v>
      </c>
      <c r="FR27" s="7">
        <v>1.0</v>
      </c>
      <c r="FS27" s="39">
        <f t="shared" si="45"/>
        <v>5</v>
      </c>
      <c r="FT27" s="7"/>
      <c r="FU27" s="7"/>
      <c r="FV27" s="7"/>
      <c r="FW27" s="39">
        <f t="shared" si="46"/>
        <v>0</v>
      </c>
      <c r="FX27" s="7"/>
      <c r="FY27" s="7"/>
      <c r="FZ27" s="7"/>
      <c r="GA27" s="39">
        <f t="shared" si="47"/>
        <v>0</v>
      </c>
      <c r="GB27" s="7"/>
      <c r="GC27" s="7"/>
      <c r="GD27" s="7"/>
      <c r="GE27" s="39">
        <f t="shared" si="48"/>
        <v>0</v>
      </c>
      <c r="GF27" s="7"/>
      <c r="GG27" s="7"/>
      <c r="GH27" s="7">
        <v>1.0</v>
      </c>
      <c r="GI27" s="39">
        <f t="shared" si="49"/>
        <v>7</v>
      </c>
      <c r="GJ27" s="7"/>
      <c r="GK27" s="7"/>
      <c r="GL27" s="7">
        <v>1.0</v>
      </c>
      <c r="GM27" s="39">
        <f t="shared" si="50"/>
        <v>7</v>
      </c>
      <c r="GN27" s="7"/>
      <c r="GO27" s="7"/>
      <c r="GP27" s="7"/>
      <c r="GQ27" s="39">
        <f t="shared" si="64"/>
        <v>0</v>
      </c>
      <c r="GR27" s="7"/>
      <c r="GS27" s="7"/>
      <c r="GT27" s="7"/>
      <c r="GU27" s="39">
        <f t="shared" si="62"/>
        <v>0</v>
      </c>
      <c r="GV27" s="7"/>
      <c r="GW27" s="7"/>
      <c r="GX27" s="7"/>
      <c r="GY27" s="39">
        <f t="shared" si="53"/>
        <v>0</v>
      </c>
      <c r="GZ27" s="7">
        <v>1.0</v>
      </c>
      <c r="HA27" s="7">
        <v>1.0</v>
      </c>
      <c r="HB27" s="7"/>
      <c r="HC27" s="39">
        <f t="shared" si="63"/>
        <v>3</v>
      </c>
      <c r="HD27" s="7"/>
      <c r="HE27" s="7"/>
      <c r="HF27" s="7"/>
      <c r="HG27" s="39">
        <f t="shared" si="68"/>
        <v>0</v>
      </c>
      <c r="HH27" s="7"/>
      <c r="HI27" s="7"/>
      <c r="HJ27" s="7"/>
      <c r="HK27" s="39">
        <f t="shared" si="56"/>
        <v>0</v>
      </c>
    </row>
    <row r="28">
      <c r="A28" s="20" t="s">
        <v>88</v>
      </c>
      <c r="B28" s="21"/>
      <c r="C28" s="1">
        <f t="shared" si="1"/>
        <v>26</v>
      </c>
      <c r="D28" s="15">
        <f>VLOOKUP(A28,TDP!A:C,3,FALSE)</f>
        <v>0.05</v>
      </c>
      <c r="E28" s="37">
        <f t="shared" si="2"/>
        <v>44.1</v>
      </c>
      <c r="F28" s="7"/>
      <c r="G28" s="39">
        <f t="shared" si="65"/>
        <v>0</v>
      </c>
      <c r="H28" s="7"/>
      <c r="I28" s="7"/>
      <c r="J28" s="7"/>
      <c r="K28" s="39">
        <f t="shared" si="4"/>
        <v>0</v>
      </c>
      <c r="L28" s="7">
        <v>1.0</v>
      </c>
      <c r="M28" s="7">
        <v>1.0</v>
      </c>
      <c r="N28" s="7"/>
      <c r="O28" s="93">
        <v>0.0</v>
      </c>
      <c r="P28" s="7"/>
      <c r="Q28" s="7"/>
      <c r="R28" s="7"/>
      <c r="S28" s="39">
        <f t="shared" si="6"/>
        <v>0</v>
      </c>
      <c r="T28" s="7"/>
      <c r="U28" s="7"/>
      <c r="V28" s="7"/>
      <c r="W28" s="39">
        <f t="shared" si="7"/>
        <v>0</v>
      </c>
      <c r="X28" s="7"/>
      <c r="Y28" s="7"/>
      <c r="Z28" s="7"/>
      <c r="AA28" s="39">
        <f t="shared" si="8"/>
        <v>0</v>
      </c>
      <c r="AB28" s="7"/>
      <c r="AC28" s="7"/>
      <c r="AD28" s="7"/>
      <c r="AE28" s="39">
        <f t="shared" si="9"/>
        <v>0</v>
      </c>
      <c r="AF28" s="7"/>
      <c r="AG28" s="7"/>
      <c r="AH28" s="7"/>
      <c r="AI28" s="39">
        <f t="shared" si="69"/>
        <v>0</v>
      </c>
      <c r="AJ28" s="7"/>
      <c r="AK28" s="7"/>
      <c r="AL28" s="7"/>
      <c r="AM28" s="39">
        <f t="shared" si="61"/>
        <v>0</v>
      </c>
      <c r="AN28" s="7"/>
      <c r="AO28" s="7"/>
      <c r="AP28" s="7"/>
      <c r="AQ28" s="39">
        <f t="shared" si="67"/>
        <v>0</v>
      </c>
      <c r="AR28" s="41"/>
      <c r="AS28" s="41"/>
      <c r="AT28" s="41"/>
      <c r="AU28" s="42">
        <f t="shared" si="13"/>
        <v>0</v>
      </c>
      <c r="AV28" s="7"/>
      <c r="AW28" s="7"/>
      <c r="AX28" s="7"/>
      <c r="AY28" s="39">
        <f t="shared" si="14"/>
        <v>0</v>
      </c>
      <c r="AZ28" s="7"/>
      <c r="BA28" s="7"/>
      <c r="BB28" s="7"/>
      <c r="BC28" s="39">
        <f t="shared" si="60"/>
        <v>0</v>
      </c>
      <c r="BD28" s="7"/>
      <c r="BE28" s="7"/>
      <c r="BF28" s="7"/>
      <c r="BG28" s="39">
        <f t="shared" si="16"/>
        <v>0</v>
      </c>
      <c r="BH28" s="7"/>
      <c r="BI28" s="7"/>
      <c r="BJ28" s="7"/>
      <c r="BK28" s="39">
        <f t="shared" si="17"/>
        <v>0</v>
      </c>
      <c r="BL28" s="7"/>
      <c r="BM28" s="7"/>
      <c r="BN28" s="7"/>
      <c r="BO28" s="39">
        <f t="shared" si="18"/>
        <v>0</v>
      </c>
      <c r="BP28" s="7"/>
      <c r="BQ28" s="7"/>
      <c r="BR28" s="7"/>
      <c r="BS28" s="39">
        <f t="shared" si="19"/>
        <v>0</v>
      </c>
      <c r="BT28" s="7"/>
      <c r="BU28" s="7"/>
      <c r="BV28" s="7"/>
      <c r="BW28" s="39">
        <f t="shared" si="20"/>
        <v>0</v>
      </c>
      <c r="BX28" s="7"/>
      <c r="BY28" s="7"/>
      <c r="BZ28" s="7"/>
      <c r="CA28" s="39">
        <f t="shared" si="21"/>
        <v>0</v>
      </c>
      <c r="CB28" s="7"/>
      <c r="CC28" s="7"/>
      <c r="CD28" s="7"/>
      <c r="CE28" s="39">
        <f t="shared" si="22"/>
        <v>0</v>
      </c>
      <c r="CF28" s="7"/>
      <c r="CG28" s="7"/>
      <c r="CH28" s="7"/>
      <c r="CI28" s="39">
        <f t="shared" si="23"/>
        <v>0</v>
      </c>
      <c r="CJ28" s="7"/>
      <c r="CK28" s="7"/>
      <c r="CL28" s="7"/>
      <c r="CM28" s="39">
        <f t="shared" si="24"/>
        <v>0</v>
      </c>
      <c r="CN28" s="7"/>
      <c r="CO28" s="7"/>
      <c r="CP28" s="7"/>
      <c r="CQ28" s="39">
        <f t="shared" si="25"/>
        <v>0</v>
      </c>
      <c r="CR28" s="7"/>
      <c r="CS28" s="7"/>
      <c r="CT28" s="7"/>
      <c r="CU28" s="39">
        <f t="shared" si="26"/>
        <v>0</v>
      </c>
      <c r="CV28" s="7"/>
      <c r="CW28" s="7"/>
      <c r="CX28" s="7"/>
      <c r="CY28" s="39">
        <f t="shared" si="27"/>
        <v>0</v>
      </c>
      <c r="CZ28" s="7"/>
      <c r="DA28" s="7"/>
      <c r="DB28" s="7"/>
      <c r="DC28" s="39">
        <f t="shared" si="28"/>
        <v>0</v>
      </c>
      <c r="DD28" s="7"/>
      <c r="DE28" s="7"/>
      <c r="DF28" s="7"/>
      <c r="DG28" s="39">
        <f t="shared" si="29"/>
        <v>0</v>
      </c>
      <c r="DH28" s="7"/>
      <c r="DI28" s="7"/>
      <c r="DJ28" s="7"/>
      <c r="DK28" s="39">
        <f t="shared" si="30"/>
        <v>0</v>
      </c>
      <c r="DL28" s="7"/>
      <c r="DM28" s="7"/>
      <c r="DN28" s="7"/>
      <c r="DO28" s="39">
        <f t="shared" si="31"/>
        <v>0</v>
      </c>
      <c r="DP28" s="7"/>
      <c r="DQ28" s="7"/>
      <c r="DR28" s="7"/>
      <c r="DS28" s="39">
        <f t="shared" si="32"/>
        <v>0</v>
      </c>
      <c r="DT28" s="7"/>
      <c r="DU28" s="7"/>
      <c r="DV28" s="7"/>
      <c r="DW28" s="39">
        <f t="shared" si="33"/>
        <v>0</v>
      </c>
      <c r="DX28" s="7"/>
      <c r="DY28" s="7"/>
      <c r="DZ28" s="7"/>
      <c r="EA28" s="39">
        <f t="shared" si="34"/>
        <v>0</v>
      </c>
      <c r="EB28" s="7"/>
      <c r="EC28" s="7"/>
      <c r="ED28" s="7"/>
      <c r="EE28" s="39">
        <f t="shared" si="35"/>
        <v>0</v>
      </c>
      <c r="EF28" s="7"/>
      <c r="EG28" s="7"/>
      <c r="EH28" s="7"/>
      <c r="EI28" s="39">
        <f t="shared" si="36"/>
        <v>0</v>
      </c>
      <c r="EJ28" s="7"/>
      <c r="EK28" s="7"/>
      <c r="EL28" s="7"/>
      <c r="EM28" s="39">
        <f t="shared" si="37"/>
        <v>0</v>
      </c>
      <c r="EN28" s="7"/>
      <c r="EO28" s="7"/>
      <c r="EP28" s="7">
        <v>1.0</v>
      </c>
      <c r="EQ28" s="39">
        <f t="shared" si="38"/>
        <v>7</v>
      </c>
      <c r="ER28" s="7"/>
      <c r="ES28" s="7"/>
      <c r="ET28" s="7"/>
      <c r="EU28" s="39">
        <f t="shared" si="39"/>
        <v>0</v>
      </c>
      <c r="EV28" s="7"/>
      <c r="EW28" s="7"/>
      <c r="EX28" s="7"/>
      <c r="EY28" s="39">
        <f t="shared" si="40"/>
        <v>0</v>
      </c>
      <c r="EZ28" s="7"/>
      <c r="FA28" s="7"/>
      <c r="FB28" s="7"/>
      <c r="FC28" s="39">
        <f t="shared" si="41"/>
        <v>0</v>
      </c>
      <c r="FD28" s="7"/>
      <c r="FE28" s="7"/>
      <c r="FF28" s="7"/>
      <c r="FG28" s="39">
        <f t="shared" si="42"/>
        <v>0</v>
      </c>
      <c r="FH28" s="7"/>
      <c r="FI28" s="7"/>
      <c r="FJ28" s="7"/>
      <c r="FK28" s="39">
        <f t="shared" si="43"/>
        <v>0</v>
      </c>
      <c r="FL28" s="7"/>
      <c r="FM28" s="7"/>
      <c r="FN28" s="7"/>
      <c r="FO28" s="39">
        <f t="shared" si="44"/>
        <v>0</v>
      </c>
      <c r="FP28" s="7"/>
      <c r="FQ28" s="7"/>
      <c r="FR28" s="7"/>
      <c r="FS28" s="39">
        <f t="shared" si="45"/>
        <v>0</v>
      </c>
      <c r="FT28" s="7"/>
      <c r="FU28" s="7"/>
      <c r="FV28" s="7"/>
      <c r="FW28" s="39">
        <f t="shared" si="46"/>
        <v>0</v>
      </c>
      <c r="FX28" s="7"/>
      <c r="FY28" s="7"/>
      <c r="FZ28" s="7">
        <v>1.0</v>
      </c>
      <c r="GA28" s="39">
        <f t="shared" si="47"/>
        <v>7</v>
      </c>
      <c r="GB28" s="7"/>
      <c r="GC28" s="7"/>
      <c r="GD28" s="7">
        <v>1.0</v>
      </c>
      <c r="GE28" s="39">
        <f t="shared" si="48"/>
        <v>7</v>
      </c>
      <c r="GF28" s="7"/>
      <c r="GG28" s="7"/>
      <c r="GH28" s="7">
        <v>1.0</v>
      </c>
      <c r="GI28" s="39">
        <f t="shared" si="49"/>
        <v>7</v>
      </c>
      <c r="GJ28" s="7"/>
      <c r="GK28" s="7"/>
      <c r="GL28" s="7">
        <v>1.0</v>
      </c>
      <c r="GM28" s="39">
        <f t="shared" si="50"/>
        <v>7</v>
      </c>
      <c r="GN28" s="7"/>
      <c r="GO28" s="7"/>
      <c r="GP28" s="7"/>
      <c r="GQ28" s="39">
        <f t="shared" si="64"/>
        <v>0</v>
      </c>
      <c r="GR28" s="7"/>
      <c r="GS28" s="7"/>
      <c r="GT28" s="7">
        <v>1.0</v>
      </c>
      <c r="GU28" s="39">
        <f t="shared" si="62"/>
        <v>7</v>
      </c>
      <c r="GV28" s="7"/>
      <c r="GW28" s="7"/>
      <c r="GX28" s="7"/>
      <c r="GY28" s="39">
        <f t="shared" si="53"/>
        <v>0</v>
      </c>
      <c r="GZ28" s="7"/>
      <c r="HA28" s="7"/>
      <c r="HB28" s="7"/>
      <c r="HC28" s="39">
        <f t="shared" si="63"/>
        <v>0</v>
      </c>
      <c r="HD28" s="7"/>
      <c r="HE28" s="7"/>
      <c r="HF28" s="7"/>
      <c r="HG28" s="39">
        <f t="shared" si="68"/>
        <v>0</v>
      </c>
      <c r="HH28" s="7"/>
      <c r="HI28" s="7"/>
      <c r="HJ28" s="7"/>
      <c r="HK28" s="39">
        <f t="shared" si="56"/>
        <v>0</v>
      </c>
    </row>
    <row r="29">
      <c r="A29" s="20" t="s">
        <v>177</v>
      </c>
      <c r="B29" s="21"/>
      <c r="C29" s="1">
        <f t="shared" si="1"/>
        <v>27</v>
      </c>
      <c r="D29" s="15">
        <f>VLOOKUP(A29,TDP!A:C,3,FALSE)</f>
        <v>0.04</v>
      </c>
      <c r="E29" s="37">
        <f t="shared" si="2"/>
        <v>21.84</v>
      </c>
      <c r="F29" s="7"/>
      <c r="G29" s="39">
        <f t="shared" si="65"/>
        <v>0</v>
      </c>
      <c r="H29" s="7"/>
      <c r="I29" s="7"/>
      <c r="J29" s="7"/>
      <c r="K29" s="39">
        <f t="shared" si="4"/>
        <v>0</v>
      </c>
      <c r="L29" s="7"/>
      <c r="M29" s="7"/>
      <c r="N29" s="7"/>
      <c r="O29" s="39">
        <f t="shared" ref="O29:O35" si="71"> if( L29=1, if( M29=1, if( N29=1, 5, 3), if( N29=1, 1, -3 ) ), if(M29=1,if(N29=1, -1, -2 ), if(N29=1, 7, 0 ) ) )</f>
        <v>0</v>
      </c>
      <c r="P29" s="7"/>
      <c r="Q29" s="7"/>
      <c r="R29" s="7"/>
      <c r="S29" s="39">
        <f t="shared" si="6"/>
        <v>0</v>
      </c>
      <c r="T29" s="7"/>
      <c r="U29" s="7"/>
      <c r="V29" s="7"/>
      <c r="W29" s="39">
        <f t="shared" si="7"/>
        <v>0</v>
      </c>
      <c r="X29" s="7"/>
      <c r="Y29" s="7"/>
      <c r="Z29" s="7"/>
      <c r="AA29" s="39">
        <f t="shared" si="8"/>
        <v>0</v>
      </c>
      <c r="AB29" s="7"/>
      <c r="AC29" s="7"/>
      <c r="AD29" s="7"/>
      <c r="AE29" s="39">
        <f t="shared" si="9"/>
        <v>0</v>
      </c>
      <c r="AF29" s="7"/>
      <c r="AG29" s="7"/>
      <c r="AH29" s="7"/>
      <c r="AI29" s="39">
        <f t="shared" si="69"/>
        <v>0</v>
      </c>
      <c r="AJ29" s="7"/>
      <c r="AK29" s="7"/>
      <c r="AL29" s="7"/>
      <c r="AM29" s="39">
        <f t="shared" si="61"/>
        <v>0</v>
      </c>
      <c r="AN29" s="7"/>
      <c r="AO29" s="7"/>
      <c r="AP29" s="7"/>
      <c r="AQ29" s="39">
        <f t="shared" si="67"/>
        <v>0</v>
      </c>
      <c r="AR29" s="41"/>
      <c r="AS29" s="41"/>
      <c r="AT29" s="41"/>
      <c r="AU29" s="42">
        <f t="shared" si="13"/>
        <v>0</v>
      </c>
      <c r="AV29" s="7"/>
      <c r="AW29" s="7"/>
      <c r="AX29" s="7"/>
      <c r="AY29" s="39">
        <f t="shared" si="14"/>
        <v>0</v>
      </c>
      <c r="AZ29" s="7"/>
      <c r="BA29" s="7"/>
      <c r="BB29" s="7"/>
      <c r="BC29" s="39">
        <f t="shared" si="60"/>
        <v>0</v>
      </c>
      <c r="BD29" s="7"/>
      <c r="BE29" s="7"/>
      <c r="BF29" s="7"/>
      <c r="BG29" s="39">
        <f t="shared" si="16"/>
        <v>0</v>
      </c>
      <c r="BH29" s="7"/>
      <c r="BI29" s="7"/>
      <c r="BJ29" s="7"/>
      <c r="BK29" s="39">
        <f t="shared" si="17"/>
        <v>0</v>
      </c>
      <c r="BL29" s="7"/>
      <c r="BM29" s="7"/>
      <c r="BN29" s="7"/>
      <c r="BO29" s="39">
        <f t="shared" si="18"/>
        <v>0</v>
      </c>
      <c r="BP29" s="7"/>
      <c r="BQ29" s="7"/>
      <c r="BR29" s="7"/>
      <c r="BS29" s="39">
        <f t="shared" si="19"/>
        <v>0</v>
      </c>
      <c r="BT29" s="7"/>
      <c r="BU29" s="7"/>
      <c r="BV29" s="7"/>
      <c r="BW29" s="39">
        <f t="shared" si="20"/>
        <v>0</v>
      </c>
      <c r="BX29" s="7"/>
      <c r="BY29" s="7"/>
      <c r="BZ29" s="7"/>
      <c r="CA29" s="39">
        <f t="shared" si="21"/>
        <v>0</v>
      </c>
      <c r="CB29" s="7">
        <v>1.0</v>
      </c>
      <c r="CC29" s="7">
        <v>1.0</v>
      </c>
      <c r="CD29" s="7">
        <v>1.0</v>
      </c>
      <c r="CE29" s="39">
        <f t="shared" si="22"/>
        <v>5</v>
      </c>
      <c r="CF29" s="7">
        <v>1.0</v>
      </c>
      <c r="CG29" s="7">
        <v>1.0</v>
      </c>
      <c r="CH29" s="7">
        <v>1.0</v>
      </c>
      <c r="CI29" s="39">
        <f t="shared" si="23"/>
        <v>5</v>
      </c>
      <c r="CJ29" s="7">
        <v>1.0</v>
      </c>
      <c r="CK29" s="7">
        <v>1.0</v>
      </c>
      <c r="CL29" s="7">
        <v>1.0</v>
      </c>
      <c r="CM29" s="39">
        <f t="shared" si="24"/>
        <v>5</v>
      </c>
      <c r="CN29" s="7"/>
      <c r="CO29" s="7"/>
      <c r="CP29" s="7"/>
      <c r="CQ29" s="39">
        <f t="shared" si="25"/>
        <v>0</v>
      </c>
      <c r="CR29" s="7">
        <v>1.0</v>
      </c>
      <c r="CS29" s="7">
        <v>1.0</v>
      </c>
      <c r="CT29" s="7"/>
      <c r="CU29" s="39">
        <f t="shared" si="26"/>
        <v>3</v>
      </c>
      <c r="CV29" s="7"/>
      <c r="CW29" s="7"/>
      <c r="CX29" s="7"/>
      <c r="CY29" s="39">
        <f t="shared" si="27"/>
        <v>0</v>
      </c>
      <c r="CZ29" s="7">
        <v>1.0</v>
      </c>
      <c r="DA29" s="7">
        <v>1.0</v>
      </c>
      <c r="DB29" s="7"/>
      <c r="DC29" s="39">
        <f t="shared" si="28"/>
        <v>3</v>
      </c>
      <c r="DD29" s="7"/>
      <c r="DE29" s="7"/>
      <c r="DF29" s="7"/>
      <c r="DG29" s="39">
        <f t="shared" si="29"/>
        <v>0</v>
      </c>
      <c r="DH29" s="7"/>
      <c r="DI29" s="7"/>
      <c r="DJ29" s="7"/>
      <c r="DK29" s="39">
        <f t="shared" si="30"/>
        <v>0</v>
      </c>
      <c r="DL29" s="7"/>
      <c r="DM29" s="7"/>
      <c r="DN29" s="7"/>
      <c r="DO29" s="39">
        <f t="shared" si="31"/>
        <v>0</v>
      </c>
      <c r="DP29" s="7"/>
      <c r="DQ29" s="7"/>
      <c r="DR29" s="7"/>
      <c r="DS29" s="39">
        <f t="shared" si="32"/>
        <v>0</v>
      </c>
      <c r="DT29" s="7"/>
      <c r="DU29" s="7"/>
      <c r="DV29" s="7"/>
      <c r="DW29" s="39">
        <f t="shared" si="33"/>
        <v>0</v>
      </c>
      <c r="DX29" s="7"/>
      <c r="DY29" s="7"/>
      <c r="DZ29" s="7"/>
      <c r="EA29" s="39">
        <f t="shared" si="34"/>
        <v>0</v>
      </c>
      <c r="EB29" s="7"/>
      <c r="EC29" s="7"/>
      <c r="ED29" s="7"/>
      <c r="EE29" s="39">
        <f t="shared" si="35"/>
        <v>0</v>
      </c>
      <c r="EF29" s="7"/>
      <c r="EG29" s="7"/>
      <c r="EH29" s="7"/>
      <c r="EI29" s="39">
        <f t="shared" si="36"/>
        <v>0</v>
      </c>
      <c r="EJ29" s="7"/>
      <c r="EK29" s="7"/>
      <c r="EL29" s="7"/>
      <c r="EM29" s="39">
        <f t="shared" si="37"/>
        <v>0</v>
      </c>
      <c r="EN29" s="7"/>
      <c r="EO29" s="7"/>
      <c r="EP29" s="7"/>
      <c r="EQ29" s="39">
        <f t="shared" si="38"/>
        <v>0</v>
      </c>
      <c r="ER29" s="7"/>
      <c r="ES29" s="7"/>
      <c r="ET29" s="7"/>
      <c r="EU29" s="39">
        <f t="shared" si="39"/>
        <v>0</v>
      </c>
      <c r="EV29" s="7"/>
      <c r="EW29" s="7"/>
      <c r="EX29" s="7"/>
      <c r="EY29" s="39">
        <f t="shared" si="40"/>
        <v>0</v>
      </c>
      <c r="EZ29" s="7"/>
      <c r="FA29" s="7"/>
      <c r="FB29" s="7"/>
      <c r="FC29" s="39">
        <f t="shared" si="41"/>
        <v>0</v>
      </c>
      <c r="FD29" s="7"/>
      <c r="FE29" s="7"/>
      <c r="FF29" s="7"/>
      <c r="FG29" s="39">
        <f t="shared" si="42"/>
        <v>0</v>
      </c>
      <c r="FH29" s="7"/>
      <c r="FI29" s="7"/>
      <c r="FJ29" s="7"/>
      <c r="FK29" s="39">
        <f t="shared" si="43"/>
        <v>0</v>
      </c>
      <c r="FL29" s="7"/>
      <c r="FM29" s="7"/>
      <c r="FN29" s="7"/>
      <c r="FO29" s="39">
        <f t="shared" si="44"/>
        <v>0</v>
      </c>
      <c r="FP29" s="7"/>
      <c r="FQ29" s="7"/>
      <c r="FR29" s="7"/>
      <c r="FS29" s="39">
        <f t="shared" si="45"/>
        <v>0</v>
      </c>
      <c r="FT29" s="7"/>
      <c r="FU29" s="7"/>
      <c r="FV29" s="7"/>
      <c r="FW29" s="39">
        <f t="shared" si="46"/>
        <v>0</v>
      </c>
      <c r="FX29" s="7"/>
      <c r="FY29" s="7"/>
      <c r="FZ29" s="7"/>
      <c r="GA29" s="39">
        <f t="shared" si="47"/>
        <v>0</v>
      </c>
      <c r="GB29" s="7"/>
      <c r="GC29" s="7"/>
      <c r="GD29" s="7"/>
      <c r="GE29" s="39">
        <f t="shared" si="48"/>
        <v>0</v>
      </c>
      <c r="GF29" s="7"/>
      <c r="GG29" s="7"/>
      <c r="GH29" s="7"/>
      <c r="GI29" s="39">
        <f t="shared" si="49"/>
        <v>0</v>
      </c>
      <c r="GJ29" s="7"/>
      <c r="GK29" s="7"/>
      <c r="GL29" s="7"/>
      <c r="GM29" s="39">
        <f t="shared" si="50"/>
        <v>0</v>
      </c>
      <c r="GN29" s="7"/>
      <c r="GO29" s="7"/>
      <c r="GP29" s="7"/>
      <c r="GQ29" s="39">
        <f t="shared" si="64"/>
        <v>0</v>
      </c>
      <c r="GR29" s="7"/>
      <c r="GS29" s="7"/>
      <c r="GT29" s="7"/>
      <c r="GU29" s="39">
        <f t="shared" si="62"/>
        <v>0</v>
      </c>
      <c r="GV29" s="7"/>
      <c r="GW29" s="7"/>
      <c r="GX29" s="7"/>
      <c r="GY29" s="39">
        <f t="shared" si="53"/>
        <v>0</v>
      </c>
      <c r="GZ29" s="7"/>
      <c r="HA29" s="7"/>
      <c r="HB29" s="7"/>
      <c r="HC29" s="39">
        <f t="shared" si="63"/>
        <v>0</v>
      </c>
      <c r="HD29" s="7"/>
      <c r="HE29" s="7"/>
      <c r="HF29" s="7"/>
      <c r="HG29" s="39">
        <f t="shared" si="68"/>
        <v>0</v>
      </c>
      <c r="HH29" s="7"/>
      <c r="HI29" s="7"/>
      <c r="HJ29" s="7"/>
      <c r="HK29" s="39">
        <f t="shared" si="56"/>
        <v>0</v>
      </c>
    </row>
    <row r="30">
      <c r="A30" s="20" t="s">
        <v>91</v>
      </c>
      <c r="B30" s="21" t="s">
        <v>92</v>
      </c>
      <c r="C30" s="1">
        <f t="shared" si="1"/>
        <v>28</v>
      </c>
      <c r="D30" s="15">
        <f>VLOOKUP(A30,TDP!A:C,3,FALSE)</f>
        <v>0.25</v>
      </c>
      <c r="E30" s="37">
        <f t="shared" si="2"/>
        <v>17.5</v>
      </c>
      <c r="F30" s="7"/>
      <c r="G30" s="39">
        <f t="shared" si="65"/>
        <v>0</v>
      </c>
      <c r="H30" s="7"/>
      <c r="I30" s="7"/>
      <c r="J30" s="7"/>
      <c r="K30" s="39">
        <f t="shared" si="4"/>
        <v>0</v>
      </c>
      <c r="L30" s="7"/>
      <c r="M30" s="7"/>
      <c r="N30" s="7"/>
      <c r="O30" s="39">
        <f t="shared" si="71"/>
        <v>0</v>
      </c>
      <c r="P30" s="7"/>
      <c r="Q30" s="7"/>
      <c r="R30" s="7"/>
      <c r="S30" s="39">
        <f t="shared" si="6"/>
        <v>0</v>
      </c>
      <c r="T30" s="7"/>
      <c r="U30" s="7"/>
      <c r="V30" s="7"/>
      <c r="W30" s="39">
        <f t="shared" si="7"/>
        <v>0</v>
      </c>
      <c r="X30" s="7"/>
      <c r="Y30" s="7"/>
      <c r="Z30" s="7"/>
      <c r="AA30" s="39">
        <f t="shared" si="8"/>
        <v>0</v>
      </c>
      <c r="AB30" s="7"/>
      <c r="AC30" s="7"/>
      <c r="AD30" s="7"/>
      <c r="AE30" s="39">
        <f t="shared" si="9"/>
        <v>0</v>
      </c>
      <c r="AF30" s="7"/>
      <c r="AG30" s="7"/>
      <c r="AH30" s="7"/>
      <c r="AI30" s="39">
        <f t="shared" si="69"/>
        <v>0</v>
      </c>
      <c r="AJ30" s="7"/>
      <c r="AK30" s="7"/>
      <c r="AL30" s="7"/>
      <c r="AM30" s="39">
        <f t="shared" si="61"/>
        <v>0</v>
      </c>
      <c r="AN30" s="7"/>
      <c r="AO30" s="7"/>
      <c r="AP30" s="7"/>
      <c r="AQ30" s="39">
        <f t="shared" si="67"/>
        <v>0</v>
      </c>
      <c r="AR30" s="41"/>
      <c r="AS30" s="41"/>
      <c r="AT30" s="41"/>
      <c r="AU30" s="42">
        <f t="shared" si="13"/>
        <v>0</v>
      </c>
      <c r="AV30" s="7"/>
      <c r="AW30" s="7"/>
      <c r="AX30" s="7"/>
      <c r="AY30" s="39">
        <f t="shared" si="14"/>
        <v>0</v>
      </c>
      <c r="AZ30" s="7"/>
      <c r="BA30" s="7"/>
      <c r="BB30" s="7"/>
      <c r="BC30" s="39">
        <f t="shared" si="60"/>
        <v>0</v>
      </c>
      <c r="BD30" s="7"/>
      <c r="BE30" s="7"/>
      <c r="BF30" s="7"/>
      <c r="BG30" s="39">
        <f t="shared" si="16"/>
        <v>0</v>
      </c>
      <c r="BH30" s="7"/>
      <c r="BI30" s="7"/>
      <c r="BJ30" s="7"/>
      <c r="BK30" s="39">
        <f t="shared" si="17"/>
        <v>0</v>
      </c>
      <c r="BL30" s="7"/>
      <c r="BM30" s="7"/>
      <c r="BN30" s="7"/>
      <c r="BO30" s="39">
        <f t="shared" si="18"/>
        <v>0</v>
      </c>
      <c r="BP30" s="7"/>
      <c r="BQ30" s="7"/>
      <c r="BR30" s="7"/>
      <c r="BS30" s="39">
        <f t="shared" si="19"/>
        <v>0</v>
      </c>
      <c r="BT30" s="7"/>
      <c r="BU30" s="7"/>
      <c r="BV30" s="7"/>
      <c r="BW30" s="39">
        <f t="shared" si="20"/>
        <v>0</v>
      </c>
      <c r="BX30" s="7"/>
      <c r="BY30" s="7"/>
      <c r="BZ30" s="7"/>
      <c r="CA30" s="39">
        <f t="shared" si="21"/>
        <v>0</v>
      </c>
      <c r="CB30" s="7"/>
      <c r="CC30" s="7"/>
      <c r="CD30" s="7"/>
      <c r="CE30" s="39">
        <f t="shared" si="22"/>
        <v>0</v>
      </c>
      <c r="CF30" s="7"/>
      <c r="CG30" s="7"/>
      <c r="CH30" s="7"/>
      <c r="CI30" s="39">
        <f t="shared" si="23"/>
        <v>0</v>
      </c>
      <c r="CJ30" s="7"/>
      <c r="CK30" s="7"/>
      <c r="CL30" s="7"/>
      <c r="CM30" s="39">
        <f t="shared" si="24"/>
        <v>0</v>
      </c>
      <c r="CN30" s="7"/>
      <c r="CO30" s="7"/>
      <c r="CP30" s="7"/>
      <c r="CQ30" s="39">
        <f t="shared" si="25"/>
        <v>0</v>
      </c>
      <c r="CR30" s="7"/>
      <c r="CS30" s="7"/>
      <c r="CT30" s="7"/>
      <c r="CU30" s="39">
        <f t="shared" si="26"/>
        <v>0</v>
      </c>
      <c r="CV30" s="7"/>
      <c r="CW30" s="7"/>
      <c r="CX30" s="7"/>
      <c r="CY30" s="39">
        <f t="shared" si="27"/>
        <v>0</v>
      </c>
      <c r="CZ30" s="7"/>
      <c r="DA30" s="7"/>
      <c r="DB30" s="7"/>
      <c r="DC30" s="39">
        <f t="shared" si="28"/>
        <v>0</v>
      </c>
      <c r="DD30" s="7"/>
      <c r="DE30" s="7"/>
      <c r="DF30" s="7"/>
      <c r="DG30" s="39">
        <f t="shared" si="29"/>
        <v>0</v>
      </c>
      <c r="DH30" s="7"/>
      <c r="DI30" s="7"/>
      <c r="DJ30" s="7"/>
      <c r="DK30" s="39">
        <f t="shared" si="30"/>
        <v>0</v>
      </c>
      <c r="DL30" s="7"/>
      <c r="DM30" s="7"/>
      <c r="DN30" s="7"/>
      <c r="DO30" s="39">
        <f t="shared" si="31"/>
        <v>0</v>
      </c>
      <c r="DP30" s="7">
        <v>1.0</v>
      </c>
      <c r="DQ30" s="7">
        <v>1.0</v>
      </c>
      <c r="DR30" s="7">
        <v>1.0</v>
      </c>
      <c r="DS30" s="39">
        <f t="shared" si="32"/>
        <v>5</v>
      </c>
      <c r="DT30" s="7">
        <v>1.0</v>
      </c>
      <c r="DU30" s="7">
        <v>1.0</v>
      </c>
      <c r="DV30" s="7"/>
      <c r="DW30" s="39">
        <f t="shared" si="33"/>
        <v>3</v>
      </c>
      <c r="DX30" s="7"/>
      <c r="DY30" s="7"/>
      <c r="DZ30" s="7"/>
      <c r="EA30" s="39">
        <f t="shared" si="34"/>
        <v>0</v>
      </c>
      <c r="EB30" s="7"/>
      <c r="EC30" s="7"/>
      <c r="ED30" s="7"/>
      <c r="EE30" s="39">
        <f t="shared" si="35"/>
        <v>0</v>
      </c>
      <c r="EF30" s="7"/>
      <c r="EG30" s="7"/>
      <c r="EH30" s="7"/>
      <c r="EI30" s="39">
        <f t="shared" si="36"/>
        <v>0</v>
      </c>
      <c r="EJ30" s="7"/>
      <c r="EK30" s="7"/>
      <c r="EL30" s="7"/>
      <c r="EM30" s="39">
        <f t="shared" si="37"/>
        <v>0</v>
      </c>
      <c r="EN30" s="7"/>
      <c r="EO30" s="7"/>
      <c r="EP30" s="7"/>
      <c r="EQ30" s="39">
        <f t="shared" si="38"/>
        <v>0</v>
      </c>
      <c r="ER30" s="7"/>
      <c r="ES30" s="7"/>
      <c r="ET30" s="7"/>
      <c r="EU30" s="39">
        <f t="shared" si="39"/>
        <v>0</v>
      </c>
      <c r="EV30" s="7"/>
      <c r="EW30" s="7"/>
      <c r="EX30" s="7"/>
      <c r="EY30" s="39">
        <f t="shared" si="40"/>
        <v>0</v>
      </c>
      <c r="EZ30" s="7"/>
      <c r="FA30" s="7"/>
      <c r="FB30" s="7"/>
      <c r="FC30" s="39">
        <f t="shared" si="41"/>
        <v>0</v>
      </c>
      <c r="FD30" s="7"/>
      <c r="FE30" s="7"/>
      <c r="FF30" s="7"/>
      <c r="FG30" s="39">
        <f t="shared" si="42"/>
        <v>0</v>
      </c>
      <c r="FH30" s="7"/>
      <c r="FI30" s="7"/>
      <c r="FJ30" s="7"/>
      <c r="FK30" s="39">
        <f t="shared" si="43"/>
        <v>0</v>
      </c>
      <c r="FL30" s="7"/>
      <c r="FM30" s="7"/>
      <c r="FN30" s="7"/>
      <c r="FO30" s="39">
        <f t="shared" si="44"/>
        <v>0</v>
      </c>
      <c r="FP30" s="7"/>
      <c r="FQ30" s="7"/>
      <c r="FR30" s="7"/>
      <c r="FS30" s="39">
        <f t="shared" si="45"/>
        <v>0</v>
      </c>
      <c r="FT30" s="7">
        <v>1.0</v>
      </c>
      <c r="FU30" s="7">
        <v>1.0</v>
      </c>
      <c r="FV30" s="7"/>
      <c r="FW30" s="39">
        <f t="shared" si="46"/>
        <v>3</v>
      </c>
      <c r="FX30" s="7"/>
      <c r="FY30" s="7"/>
      <c r="FZ30" s="7"/>
      <c r="GA30" s="39">
        <f t="shared" si="47"/>
        <v>0</v>
      </c>
      <c r="GB30" s="7"/>
      <c r="GC30" s="7"/>
      <c r="GD30" s="7"/>
      <c r="GE30" s="39">
        <f t="shared" si="48"/>
        <v>0</v>
      </c>
      <c r="GF30" s="7"/>
      <c r="GG30" s="7"/>
      <c r="GH30" s="7"/>
      <c r="GI30" s="39">
        <f t="shared" si="49"/>
        <v>0</v>
      </c>
      <c r="GJ30" s="7"/>
      <c r="GK30" s="7"/>
      <c r="GL30" s="7"/>
      <c r="GM30" s="39">
        <f t="shared" si="50"/>
        <v>0</v>
      </c>
      <c r="GN30" s="7"/>
      <c r="GO30" s="7"/>
      <c r="GP30" s="7"/>
      <c r="GQ30" s="39">
        <f t="shared" si="64"/>
        <v>0</v>
      </c>
      <c r="GR30" s="7"/>
      <c r="GS30" s="7"/>
      <c r="GT30" s="7"/>
      <c r="GU30" s="39">
        <f t="shared" si="62"/>
        <v>0</v>
      </c>
      <c r="GV30" s="7"/>
      <c r="GW30" s="7"/>
      <c r="GX30" s="7"/>
      <c r="GY30" s="39">
        <f t="shared" si="53"/>
        <v>0</v>
      </c>
      <c r="GZ30" s="7">
        <v>1.0</v>
      </c>
      <c r="HA30" s="7">
        <v>1.0</v>
      </c>
      <c r="HB30" s="7"/>
      <c r="HC30" s="39">
        <f t="shared" si="63"/>
        <v>3</v>
      </c>
      <c r="HD30" s="7"/>
      <c r="HE30" s="7"/>
      <c r="HF30" s="7"/>
      <c r="HG30" s="39">
        <f t="shared" si="68"/>
        <v>0</v>
      </c>
      <c r="HH30" s="7"/>
      <c r="HI30" s="7"/>
      <c r="HJ30" s="7"/>
      <c r="HK30" s="39">
        <f t="shared" si="56"/>
        <v>0</v>
      </c>
    </row>
    <row r="31">
      <c r="A31" s="20" t="s">
        <v>52</v>
      </c>
      <c r="B31" s="21" t="s">
        <v>53</v>
      </c>
      <c r="C31" s="1">
        <f t="shared" si="1"/>
        <v>29</v>
      </c>
      <c r="D31" s="15">
        <f>VLOOKUP(A31,TDP!A:C,3,FALSE)</f>
        <v>0.35</v>
      </c>
      <c r="E31" s="37">
        <f t="shared" si="2"/>
        <v>16.2</v>
      </c>
      <c r="F31" s="7">
        <v>1.0</v>
      </c>
      <c r="G31" s="39">
        <f t="shared" si="65"/>
        <v>7</v>
      </c>
      <c r="H31" s="7"/>
      <c r="I31" s="7"/>
      <c r="J31" s="7"/>
      <c r="K31" s="39">
        <f t="shared" si="4"/>
        <v>0</v>
      </c>
      <c r="L31" s="7"/>
      <c r="M31" s="7"/>
      <c r="N31" s="7"/>
      <c r="O31" s="39">
        <f t="shared" si="71"/>
        <v>0</v>
      </c>
      <c r="P31" s="7"/>
      <c r="Q31" s="7"/>
      <c r="R31" s="7"/>
      <c r="S31" s="39">
        <f t="shared" si="6"/>
        <v>0</v>
      </c>
      <c r="T31" s="7"/>
      <c r="U31" s="7"/>
      <c r="V31" s="7"/>
      <c r="W31" s="39">
        <f t="shared" si="7"/>
        <v>0</v>
      </c>
      <c r="X31" s="7"/>
      <c r="Y31" s="7"/>
      <c r="Z31" s="7"/>
      <c r="AA31" s="39">
        <f t="shared" si="8"/>
        <v>0</v>
      </c>
      <c r="AB31" s="7"/>
      <c r="AC31" s="7"/>
      <c r="AD31" s="7"/>
      <c r="AE31" s="39">
        <f t="shared" si="9"/>
        <v>0</v>
      </c>
      <c r="AF31" s="7"/>
      <c r="AG31" s="7"/>
      <c r="AH31" s="7"/>
      <c r="AI31" s="39">
        <f t="shared" si="69"/>
        <v>0</v>
      </c>
      <c r="AJ31" s="7"/>
      <c r="AK31" s="7"/>
      <c r="AL31" s="7"/>
      <c r="AM31" s="39">
        <f t="shared" si="61"/>
        <v>0</v>
      </c>
      <c r="AN31" s="7"/>
      <c r="AO31" s="7"/>
      <c r="AP31" s="7"/>
      <c r="AQ31" s="39">
        <f t="shared" si="67"/>
        <v>0</v>
      </c>
      <c r="AR31" s="41"/>
      <c r="AS31" s="41"/>
      <c r="AT31" s="41"/>
      <c r="AU31" s="42">
        <f t="shared" si="13"/>
        <v>0</v>
      </c>
      <c r="AV31" s="7"/>
      <c r="AW31" s="7"/>
      <c r="AX31" s="7"/>
      <c r="AY31" s="39">
        <f t="shared" si="14"/>
        <v>0</v>
      </c>
      <c r="AZ31" s="7"/>
      <c r="BA31" s="7"/>
      <c r="BB31" s="7"/>
      <c r="BC31" s="39">
        <f t="shared" si="60"/>
        <v>0</v>
      </c>
      <c r="BD31" s="7"/>
      <c r="BE31" s="7"/>
      <c r="BF31" s="7"/>
      <c r="BG31" s="39">
        <f t="shared" si="16"/>
        <v>0</v>
      </c>
      <c r="BH31" s="7"/>
      <c r="BI31" s="7"/>
      <c r="BJ31" s="7"/>
      <c r="BK31" s="39">
        <f t="shared" si="17"/>
        <v>0</v>
      </c>
      <c r="BL31" s="7"/>
      <c r="BM31" s="7"/>
      <c r="BN31" s="7"/>
      <c r="BO31" s="39">
        <f t="shared" si="18"/>
        <v>0</v>
      </c>
      <c r="BP31" s="7"/>
      <c r="BQ31" s="7"/>
      <c r="BR31" s="7"/>
      <c r="BS31" s="39">
        <f t="shared" si="19"/>
        <v>0</v>
      </c>
      <c r="BT31" s="7"/>
      <c r="BU31" s="7"/>
      <c r="BV31" s="7"/>
      <c r="BW31" s="39">
        <f t="shared" si="20"/>
        <v>0</v>
      </c>
      <c r="BX31" s="7"/>
      <c r="BY31" s="7"/>
      <c r="BZ31" s="7"/>
      <c r="CA31" s="39">
        <f t="shared" si="21"/>
        <v>0</v>
      </c>
      <c r="CB31" s="7"/>
      <c r="CC31" s="7"/>
      <c r="CD31" s="7"/>
      <c r="CE31" s="39">
        <f t="shared" si="22"/>
        <v>0</v>
      </c>
      <c r="CF31" s="7"/>
      <c r="CG31" s="7"/>
      <c r="CH31" s="7"/>
      <c r="CI31" s="39">
        <f t="shared" si="23"/>
        <v>0</v>
      </c>
      <c r="CJ31" s="7"/>
      <c r="CK31" s="7"/>
      <c r="CL31" s="7"/>
      <c r="CM31" s="39">
        <f t="shared" si="24"/>
        <v>0</v>
      </c>
      <c r="CN31" s="7"/>
      <c r="CO31" s="7"/>
      <c r="CP31" s="7"/>
      <c r="CQ31" s="39">
        <f t="shared" si="25"/>
        <v>0</v>
      </c>
      <c r="CR31" s="7"/>
      <c r="CS31" s="7"/>
      <c r="CT31" s="7"/>
      <c r="CU31" s="39">
        <f t="shared" si="26"/>
        <v>0</v>
      </c>
      <c r="CV31" s="7"/>
      <c r="CW31" s="7"/>
      <c r="CX31" s="7"/>
      <c r="CY31" s="39">
        <f t="shared" si="27"/>
        <v>0</v>
      </c>
      <c r="CZ31" s="7"/>
      <c r="DA31" s="7"/>
      <c r="DB31" s="7"/>
      <c r="DC31" s="39">
        <f t="shared" si="28"/>
        <v>0</v>
      </c>
      <c r="DD31" s="7"/>
      <c r="DE31" s="7"/>
      <c r="DF31" s="7"/>
      <c r="DG31" s="39">
        <f t="shared" si="29"/>
        <v>0</v>
      </c>
      <c r="DH31" s="7"/>
      <c r="DI31" s="7"/>
      <c r="DJ31" s="7"/>
      <c r="DK31" s="39">
        <f t="shared" si="30"/>
        <v>0</v>
      </c>
      <c r="DL31" s="7"/>
      <c r="DM31" s="7"/>
      <c r="DN31" s="7"/>
      <c r="DO31" s="39">
        <f t="shared" si="31"/>
        <v>0</v>
      </c>
      <c r="DP31" s="7"/>
      <c r="DQ31" s="7"/>
      <c r="DR31" s="7"/>
      <c r="DS31" s="39">
        <f t="shared" si="32"/>
        <v>0</v>
      </c>
      <c r="DT31" s="7"/>
      <c r="DU31" s="7"/>
      <c r="DV31" s="7"/>
      <c r="DW31" s="39">
        <f t="shared" si="33"/>
        <v>0</v>
      </c>
      <c r="DX31" s="7"/>
      <c r="DY31" s="7"/>
      <c r="DZ31" s="7"/>
      <c r="EA31" s="39">
        <f t="shared" si="34"/>
        <v>0</v>
      </c>
      <c r="EB31" s="7"/>
      <c r="EC31" s="7"/>
      <c r="ED31" s="7"/>
      <c r="EE31" s="39">
        <f t="shared" si="35"/>
        <v>0</v>
      </c>
      <c r="EF31" s="7"/>
      <c r="EG31" s="7"/>
      <c r="EH31" s="7"/>
      <c r="EI31" s="39">
        <f t="shared" si="36"/>
        <v>0</v>
      </c>
      <c r="EJ31" s="7"/>
      <c r="EK31" s="7"/>
      <c r="EL31" s="7"/>
      <c r="EM31" s="39">
        <f t="shared" si="37"/>
        <v>0</v>
      </c>
      <c r="EN31" s="7"/>
      <c r="EO31" s="7"/>
      <c r="EP31" s="7"/>
      <c r="EQ31" s="39">
        <f t="shared" si="38"/>
        <v>0</v>
      </c>
      <c r="ER31" s="7"/>
      <c r="ES31" s="7"/>
      <c r="ET31" s="7"/>
      <c r="EU31" s="39">
        <f t="shared" si="39"/>
        <v>0</v>
      </c>
      <c r="EV31" s="7"/>
      <c r="EW31" s="7"/>
      <c r="EX31" s="7"/>
      <c r="EY31" s="39">
        <f t="shared" si="40"/>
        <v>0</v>
      </c>
      <c r="EZ31" s="7"/>
      <c r="FA31" s="7"/>
      <c r="FB31" s="7"/>
      <c r="FC31" s="39">
        <f t="shared" si="41"/>
        <v>0</v>
      </c>
      <c r="FD31" s="7"/>
      <c r="FE31" s="7"/>
      <c r="FF31" s="7"/>
      <c r="FG31" s="39">
        <f t="shared" si="42"/>
        <v>0</v>
      </c>
      <c r="FH31" s="7"/>
      <c r="FI31" s="7"/>
      <c r="FJ31" s="7"/>
      <c r="FK31" s="39">
        <f t="shared" si="43"/>
        <v>0</v>
      </c>
      <c r="FL31" s="7"/>
      <c r="FM31" s="7"/>
      <c r="FN31" s="7"/>
      <c r="FO31" s="39">
        <f t="shared" si="44"/>
        <v>0</v>
      </c>
      <c r="FP31" s="7"/>
      <c r="FQ31" s="7"/>
      <c r="FR31" s="7"/>
      <c r="FS31" s="39">
        <f t="shared" si="45"/>
        <v>0</v>
      </c>
      <c r="FT31" s="7">
        <v>1.0</v>
      </c>
      <c r="FU31" s="7">
        <v>1.0</v>
      </c>
      <c r="FV31" s="7">
        <v>1.0</v>
      </c>
      <c r="FW31" s="39">
        <f t="shared" si="46"/>
        <v>5</v>
      </c>
      <c r="FX31" s="7"/>
      <c r="FY31" s="7"/>
      <c r="FZ31" s="7"/>
      <c r="GA31" s="39">
        <f t="shared" si="47"/>
        <v>0</v>
      </c>
      <c r="GB31" s="7"/>
      <c r="GC31" s="7"/>
      <c r="GD31" s="7"/>
      <c r="GE31" s="39">
        <f t="shared" si="48"/>
        <v>0</v>
      </c>
      <c r="GF31" s="7"/>
      <c r="GG31" s="7"/>
      <c r="GH31" s="7"/>
      <c r="GI31" s="39">
        <f t="shared" si="49"/>
        <v>0</v>
      </c>
      <c r="GJ31" s="7"/>
      <c r="GK31" s="7"/>
      <c r="GL31" s="7"/>
      <c r="GM31" s="39">
        <f t="shared" si="50"/>
        <v>0</v>
      </c>
      <c r="GN31" s="7"/>
      <c r="GO31" s="7"/>
      <c r="GP31" s="7"/>
      <c r="GQ31" s="39">
        <f t="shared" si="64"/>
        <v>0</v>
      </c>
      <c r="GR31" s="7"/>
      <c r="GS31" s="7"/>
      <c r="GT31" s="7"/>
      <c r="GU31" s="39">
        <f t="shared" si="62"/>
        <v>0</v>
      </c>
      <c r="GV31" s="7"/>
      <c r="GW31" s="7"/>
      <c r="GX31" s="7"/>
      <c r="GY31" s="39">
        <f t="shared" si="53"/>
        <v>0</v>
      </c>
      <c r="GZ31" s="7"/>
      <c r="HA31" s="7"/>
      <c r="HB31" s="7"/>
      <c r="HC31" s="39">
        <f t="shared" si="63"/>
        <v>0</v>
      </c>
      <c r="HD31" s="7"/>
      <c r="HE31" s="7"/>
      <c r="HF31" s="7"/>
      <c r="HG31" s="39">
        <f t="shared" si="68"/>
        <v>0</v>
      </c>
      <c r="HH31" s="7"/>
      <c r="HI31" s="7"/>
      <c r="HJ31" s="7"/>
      <c r="HK31" s="39">
        <f t="shared" si="56"/>
        <v>0</v>
      </c>
    </row>
    <row r="32">
      <c r="A32" s="4" t="s">
        <v>63</v>
      </c>
      <c r="B32" s="7" t="s">
        <v>155</v>
      </c>
      <c r="C32" s="1">
        <f t="shared" si="1"/>
        <v>30</v>
      </c>
      <c r="D32" s="15">
        <f>VLOOKUP(A32,TDP!A:C,3,FALSE)</f>
        <v>0.29</v>
      </c>
      <c r="E32" s="37">
        <f t="shared" si="2"/>
        <v>15.48</v>
      </c>
      <c r="F32" s="7"/>
      <c r="G32" s="39">
        <f t="shared" si="65"/>
        <v>0</v>
      </c>
      <c r="H32" s="7"/>
      <c r="I32" s="7"/>
      <c r="J32" s="7"/>
      <c r="K32" s="39">
        <f t="shared" si="4"/>
        <v>0</v>
      </c>
      <c r="L32" s="7"/>
      <c r="M32" s="7"/>
      <c r="N32" s="7"/>
      <c r="O32" s="39">
        <f t="shared" si="71"/>
        <v>0</v>
      </c>
      <c r="P32" s="7"/>
      <c r="Q32" s="7"/>
      <c r="R32" s="7"/>
      <c r="S32" s="39">
        <f t="shared" si="6"/>
        <v>0</v>
      </c>
      <c r="T32" s="7"/>
      <c r="U32" s="7"/>
      <c r="V32" s="7"/>
      <c r="W32" s="39">
        <f t="shared" si="7"/>
        <v>0</v>
      </c>
      <c r="X32" s="7"/>
      <c r="Y32" s="7"/>
      <c r="Z32" s="7"/>
      <c r="AA32" s="39">
        <f t="shared" si="8"/>
        <v>0</v>
      </c>
      <c r="AB32" s="7"/>
      <c r="AC32" s="7"/>
      <c r="AD32" s="7"/>
      <c r="AE32" s="39">
        <f t="shared" si="9"/>
        <v>0</v>
      </c>
      <c r="AF32" s="7"/>
      <c r="AG32" s="7"/>
      <c r="AH32" s="7"/>
      <c r="AI32" s="39">
        <f t="shared" si="69"/>
        <v>0</v>
      </c>
      <c r="AJ32" s="7"/>
      <c r="AK32" s="7"/>
      <c r="AL32" s="7"/>
      <c r="AM32" s="39">
        <f t="shared" si="61"/>
        <v>0</v>
      </c>
      <c r="AN32" s="7"/>
      <c r="AO32" s="7"/>
      <c r="AP32" s="7"/>
      <c r="AQ32" s="39">
        <f t="shared" si="67"/>
        <v>0</v>
      </c>
      <c r="AR32" s="41"/>
      <c r="AS32" s="41"/>
      <c r="AT32" s="41"/>
      <c r="AU32" s="42">
        <f t="shared" si="13"/>
        <v>0</v>
      </c>
      <c r="AV32" s="7"/>
      <c r="AW32" s="7"/>
      <c r="AX32" s="7"/>
      <c r="AY32" s="39">
        <f t="shared" si="14"/>
        <v>0</v>
      </c>
      <c r="AZ32" s="7"/>
      <c r="BA32" s="7"/>
      <c r="BB32" s="7"/>
      <c r="BC32" s="39">
        <f t="shared" si="60"/>
        <v>0</v>
      </c>
      <c r="BD32" s="7"/>
      <c r="BE32" s="7"/>
      <c r="BF32" s="7"/>
      <c r="BG32" s="39">
        <f t="shared" si="16"/>
        <v>0</v>
      </c>
      <c r="BH32" s="7"/>
      <c r="BI32" s="7"/>
      <c r="BJ32" s="7"/>
      <c r="BK32" s="39">
        <f t="shared" si="17"/>
        <v>0</v>
      </c>
      <c r="BL32" s="7"/>
      <c r="BM32" s="7"/>
      <c r="BN32" s="7"/>
      <c r="BO32" s="39">
        <f t="shared" si="18"/>
        <v>0</v>
      </c>
      <c r="BP32" s="7"/>
      <c r="BQ32" s="7"/>
      <c r="BR32" s="7"/>
      <c r="BS32" s="39">
        <f t="shared" si="19"/>
        <v>0</v>
      </c>
      <c r="BT32" s="7"/>
      <c r="BU32" s="7"/>
      <c r="BV32" s="7"/>
      <c r="BW32" s="39">
        <f t="shared" si="20"/>
        <v>0</v>
      </c>
      <c r="BX32" s="7"/>
      <c r="BY32" s="7"/>
      <c r="BZ32" s="7"/>
      <c r="CA32" s="39">
        <f t="shared" si="21"/>
        <v>0</v>
      </c>
      <c r="CB32" s="7"/>
      <c r="CC32" s="7"/>
      <c r="CD32" s="7"/>
      <c r="CE32" s="39">
        <f t="shared" si="22"/>
        <v>0</v>
      </c>
      <c r="CF32" s="7">
        <v>1.0</v>
      </c>
      <c r="CG32" s="7">
        <v>1.0</v>
      </c>
      <c r="CH32" s="7">
        <v>1.0</v>
      </c>
      <c r="CI32" s="39">
        <f t="shared" si="23"/>
        <v>5</v>
      </c>
      <c r="CJ32" s="7"/>
      <c r="CK32" s="7"/>
      <c r="CL32" s="7"/>
      <c r="CM32" s="39">
        <f t="shared" si="24"/>
        <v>0</v>
      </c>
      <c r="CN32" s="7"/>
      <c r="CO32" s="7"/>
      <c r="CP32" s="7"/>
      <c r="CQ32" s="39">
        <f t="shared" si="25"/>
        <v>0</v>
      </c>
      <c r="CR32" s="7"/>
      <c r="CS32" s="7"/>
      <c r="CT32" s="7"/>
      <c r="CU32" s="39">
        <f t="shared" si="26"/>
        <v>0</v>
      </c>
      <c r="CV32" s="7"/>
      <c r="CW32" s="7"/>
      <c r="CX32" s="7"/>
      <c r="CY32" s="39">
        <f t="shared" si="27"/>
        <v>0</v>
      </c>
      <c r="CZ32" s="7"/>
      <c r="DA32" s="7"/>
      <c r="DB32" s="7"/>
      <c r="DC32" s="39">
        <f t="shared" si="28"/>
        <v>0</v>
      </c>
      <c r="DD32" s="7"/>
      <c r="DE32" s="7"/>
      <c r="DF32" s="7"/>
      <c r="DG32" s="39">
        <f t="shared" si="29"/>
        <v>0</v>
      </c>
      <c r="DH32" s="7"/>
      <c r="DI32" s="7"/>
      <c r="DJ32" s="7"/>
      <c r="DK32" s="39">
        <f t="shared" si="30"/>
        <v>0</v>
      </c>
      <c r="DL32" s="7"/>
      <c r="DM32" s="7"/>
      <c r="DN32" s="7"/>
      <c r="DO32" s="39">
        <f t="shared" si="31"/>
        <v>0</v>
      </c>
      <c r="DP32" s="7"/>
      <c r="DQ32" s="7"/>
      <c r="DR32" s="7"/>
      <c r="DS32" s="39">
        <f t="shared" si="32"/>
        <v>0</v>
      </c>
      <c r="DT32" s="7"/>
      <c r="DU32" s="7"/>
      <c r="DV32" s="7"/>
      <c r="DW32" s="39">
        <f t="shared" si="33"/>
        <v>0</v>
      </c>
      <c r="DX32" s="7"/>
      <c r="DY32" s="7"/>
      <c r="DZ32" s="7"/>
      <c r="EA32" s="39">
        <f t="shared" si="34"/>
        <v>0</v>
      </c>
      <c r="EB32" s="7"/>
      <c r="EC32" s="7"/>
      <c r="ED32" s="7"/>
      <c r="EE32" s="39">
        <f t="shared" si="35"/>
        <v>0</v>
      </c>
      <c r="EF32" s="7"/>
      <c r="EG32" s="7"/>
      <c r="EH32" s="7"/>
      <c r="EI32" s="39">
        <f t="shared" si="36"/>
        <v>0</v>
      </c>
      <c r="EJ32" s="7"/>
      <c r="EK32" s="7"/>
      <c r="EL32" s="7"/>
      <c r="EM32" s="39">
        <f t="shared" si="37"/>
        <v>0</v>
      </c>
      <c r="EN32" s="7"/>
      <c r="EO32" s="7"/>
      <c r="EP32" s="7"/>
      <c r="EQ32" s="39">
        <f t="shared" si="38"/>
        <v>0</v>
      </c>
      <c r="ER32" s="7"/>
      <c r="ES32" s="7"/>
      <c r="ET32" s="7"/>
      <c r="EU32" s="39">
        <f t="shared" si="39"/>
        <v>0</v>
      </c>
      <c r="EV32" s="7"/>
      <c r="EW32" s="7"/>
      <c r="EX32" s="7"/>
      <c r="EY32" s="39">
        <f t="shared" si="40"/>
        <v>0</v>
      </c>
      <c r="EZ32" s="7"/>
      <c r="FA32" s="7"/>
      <c r="FB32" s="7"/>
      <c r="FC32" s="39">
        <f t="shared" si="41"/>
        <v>0</v>
      </c>
      <c r="FD32" s="7"/>
      <c r="FE32" s="7"/>
      <c r="FF32" s="7"/>
      <c r="FG32" s="39">
        <f t="shared" si="42"/>
        <v>0</v>
      </c>
      <c r="FH32" s="7"/>
      <c r="FI32" s="7"/>
      <c r="FJ32" s="7"/>
      <c r="FK32" s="39">
        <f t="shared" si="43"/>
        <v>0</v>
      </c>
      <c r="FL32" s="7"/>
      <c r="FM32" s="7"/>
      <c r="FN32" s="7"/>
      <c r="FO32" s="39">
        <f t="shared" si="44"/>
        <v>0</v>
      </c>
      <c r="FP32" s="7"/>
      <c r="FQ32" s="7"/>
      <c r="FR32" s="7"/>
      <c r="FS32" s="39">
        <f t="shared" si="45"/>
        <v>0</v>
      </c>
      <c r="FT32" s="7"/>
      <c r="FU32" s="7"/>
      <c r="FV32" s="7"/>
      <c r="FW32" s="39">
        <f t="shared" si="46"/>
        <v>0</v>
      </c>
      <c r="FX32" s="7"/>
      <c r="FY32" s="7"/>
      <c r="FZ32" s="7"/>
      <c r="GA32" s="39">
        <f t="shared" si="47"/>
        <v>0</v>
      </c>
      <c r="GB32" s="7"/>
      <c r="GC32" s="7"/>
      <c r="GD32" s="7"/>
      <c r="GE32" s="39">
        <f t="shared" si="48"/>
        <v>0</v>
      </c>
      <c r="GF32" s="7"/>
      <c r="GG32" s="7"/>
      <c r="GH32" s="7"/>
      <c r="GI32" s="39">
        <f t="shared" si="49"/>
        <v>0</v>
      </c>
      <c r="GJ32" s="7"/>
      <c r="GK32" s="7"/>
      <c r="GL32" s="7">
        <v>1.0</v>
      </c>
      <c r="GM32" s="39">
        <f t="shared" si="50"/>
        <v>7</v>
      </c>
      <c r="GN32" s="7"/>
      <c r="GO32" s="7"/>
      <c r="GP32" s="7"/>
      <c r="GQ32" s="39">
        <f t="shared" si="64"/>
        <v>0</v>
      </c>
      <c r="GR32" s="7"/>
      <c r="GS32" s="7"/>
      <c r="GT32" s="7"/>
      <c r="GU32" s="39">
        <f t="shared" si="62"/>
        <v>0</v>
      </c>
      <c r="GV32" s="7"/>
      <c r="GW32" s="7"/>
      <c r="GX32" s="7"/>
      <c r="GY32" s="39">
        <f t="shared" si="53"/>
        <v>0</v>
      </c>
      <c r="GZ32" s="7"/>
      <c r="HA32" s="7"/>
      <c r="HB32" s="7"/>
      <c r="HC32" s="39">
        <f t="shared" si="63"/>
        <v>0</v>
      </c>
      <c r="HD32" s="7"/>
      <c r="HE32" s="7"/>
      <c r="HF32" s="7"/>
      <c r="HG32" s="39">
        <f t="shared" si="68"/>
        <v>0</v>
      </c>
      <c r="HH32" s="7"/>
      <c r="HI32" s="7"/>
      <c r="HJ32" s="7"/>
      <c r="HK32" s="39">
        <f t="shared" si="56"/>
        <v>0</v>
      </c>
    </row>
    <row r="33">
      <c r="A33" s="20" t="s">
        <v>121</v>
      </c>
      <c r="B33" s="21"/>
      <c r="C33" s="1">
        <f t="shared" si="1"/>
        <v>31</v>
      </c>
      <c r="D33" s="15">
        <f>VLOOKUP(A33,TDP!A:C,3,FALSE)</f>
        <v>0.12</v>
      </c>
      <c r="E33" s="37">
        <f t="shared" si="2"/>
        <v>11.2</v>
      </c>
      <c r="F33" s="7"/>
      <c r="G33" s="39">
        <f t="shared" si="65"/>
        <v>0</v>
      </c>
      <c r="H33" s="7"/>
      <c r="I33" s="7"/>
      <c r="J33" s="7"/>
      <c r="K33" s="39">
        <f t="shared" si="4"/>
        <v>0</v>
      </c>
      <c r="L33" s="7"/>
      <c r="M33" s="7"/>
      <c r="N33" s="7"/>
      <c r="O33" s="39">
        <f t="shared" si="71"/>
        <v>0</v>
      </c>
      <c r="P33" s="7"/>
      <c r="Q33" s="7"/>
      <c r="R33" s="7"/>
      <c r="S33" s="39">
        <f t="shared" si="6"/>
        <v>0</v>
      </c>
      <c r="T33" s="7"/>
      <c r="U33" s="7"/>
      <c r="V33" s="7"/>
      <c r="W33" s="39">
        <f t="shared" si="7"/>
        <v>0</v>
      </c>
      <c r="X33" s="7"/>
      <c r="Y33" s="7"/>
      <c r="Z33" s="7"/>
      <c r="AA33" s="39">
        <f t="shared" si="8"/>
        <v>0</v>
      </c>
      <c r="AB33" s="7"/>
      <c r="AC33" s="7"/>
      <c r="AD33" s="7"/>
      <c r="AE33" s="39">
        <f t="shared" si="9"/>
        <v>0</v>
      </c>
      <c r="AF33" s="7"/>
      <c r="AG33" s="7"/>
      <c r="AH33" s="7"/>
      <c r="AI33" s="39">
        <f t="shared" si="69"/>
        <v>0</v>
      </c>
      <c r="AJ33" s="7"/>
      <c r="AK33" s="7"/>
      <c r="AL33" s="7"/>
      <c r="AM33" s="39">
        <f t="shared" si="61"/>
        <v>0</v>
      </c>
      <c r="AN33" s="7"/>
      <c r="AO33" s="7"/>
      <c r="AP33" s="7"/>
      <c r="AQ33" s="39">
        <f t="shared" si="67"/>
        <v>0</v>
      </c>
      <c r="AR33" s="41"/>
      <c r="AS33" s="41"/>
      <c r="AT33" s="41"/>
      <c r="AU33" s="42">
        <f t="shared" si="13"/>
        <v>0</v>
      </c>
      <c r="AV33" s="7"/>
      <c r="AW33" s="7"/>
      <c r="AX33" s="7"/>
      <c r="AY33" s="39">
        <f t="shared" si="14"/>
        <v>0</v>
      </c>
      <c r="AZ33" s="7"/>
      <c r="BA33" s="7"/>
      <c r="BB33" s="7"/>
      <c r="BC33" s="39">
        <f t="shared" si="60"/>
        <v>0</v>
      </c>
      <c r="BD33" s="7"/>
      <c r="BE33" s="7"/>
      <c r="BF33" s="7"/>
      <c r="BG33" s="39">
        <f t="shared" si="16"/>
        <v>0</v>
      </c>
      <c r="BH33" s="7"/>
      <c r="BI33" s="7"/>
      <c r="BJ33" s="7"/>
      <c r="BK33" s="39">
        <f t="shared" si="17"/>
        <v>0</v>
      </c>
      <c r="BL33" s="7"/>
      <c r="BM33" s="7"/>
      <c r="BN33" s="7"/>
      <c r="BO33" s="39">
        <f t="shared" si="18"/>
        <v>0</v>
      </c>
      <c r="BP33" s="7"/>
      <c r="BQ33" s="7"/>
      <c r="BR33" s="7"/>
      <c r="BS33" s="39">
        <f t="shared" si="19"/>
        <v>0</v>
      </c>
      <c r="BT33" s="7"/>
      <c r="BU33" s="7"/>
      <c r="BV33" s="7"/>
      <c r="BW33" s="39">
        <f t="shared" si="20"/>
        <v>0</v>
      </c>
      <c r="BX33" s="7"/>
      <c r="BY33" s="7"/>
      <c r="BZ33" s="7"/>
      <c r="CA33" s="39">
        <f t="shared" si="21"/>
        <v>0</v>
      </c>
      <c r="CB33" s="7"/>
      <c r="CC33" s="7"/>
      <c r="CD33" s="7"/>
      <c r="CE33" s="39">
        <f t="shared" si="22"/>
        <v>0</v>
      </c>
      <c r="CF33" s="7">
        <v>1.0</v>
      </c>
      <c r="CG33" s="7">
        <v>1.0</v>
      </c>
      <c r="CH33" s="7">
        <v>1.0</v>
      </c>
      <c r="CI33" s="39">
        <f t="shared" si="23"/>
        <v>5</v>
      </c>
      <c r="CJ33" s="7">
        <v>1.0</v>
      </c>
      <c r="CK33" s="7">
        <v>1.0</v>
      </c>
      <c r="CL33" s="7">
        <v>1.0</v>
      </c>
      <c r="CM33" s="39">
        <f t="shared" si="24"/>
        <v>5</v>
      </c>
      <c r="CN33" s="7"/>
      <c r="CO33" s="7"/>
      <c r="CP33" s="7"/>
      <c r="CQ33" s="39">
        <f t="shared" si="25"/>
        <v>0</v>
      </c>
      <c r="CR33" s="7"/>
      <c r="CS33" s="7"/>
      <c r="CT33" s="7"/>
      <c r="CU33" s="39">
        <f t="shared" si="26"/>
        <v>0</v>
      </c>
      <c r="CV33" s="7"/>
      <c r="CW33" s="7"/>
      <c r="CX33" s="7"/>
      <c r="CY33" s="39">
        <f t="shared" si="27"/>
        <v>0</v>
      </c>
      <c r="CZ33" s="7"/>
      <c r="DA33" s="7"/>
      <c r="DB33" s="7"/>
      <c r="DC33" s="39">
        <f t="shared" si="28"/>
        <v>0</v>
      </c>
      <c r="DD33" s="7"/>
      <c r="DE33" s="7"/>
      <c r="DF33" s="7"/>
      <c r="DG33" s="39">
        <f t="shared" si="29"/>
        <v>0</v>
      </c>
      <c r="DH33" s="7"/>
      <c r="DI33" s="7"/>
      <c r="DJ33" s="7"/>
      <c r="DK33" s="39">
        <f t="shared" si="30"/>
        <v>0</v>
      </c>
      <c r="DL33" s="7"/>
      <c r="DM33" s="7"/>
      <c r="DN33" s="7"/>
      <c r="DO33" s="39">
        <f t="shared" si="31"/>
        <v>0</v>
      </c>
      <c r="DP33" s="7"/>
      <c r="DQ33" s="7"/>
      <c r="DR33" s="7"/>
      <c r="DS33" s="39">
        <f t="shared" si="32"/>
        <v>0</v>
      </c>
      <c r="DT33" s="7"/>
      <c r="DU33" s="7"/>
      <c r="DV33" s="7"/>
      <c r="DW33" s="39">
        <f t="shared" si="33"/>
        <v>0</v>
      </c>
      <c r="DX33" s="7"/>
      <c r="DY33" s="7"/>
      <c r="DZ33" s="7"/>
      <c r="EA33" s="39">
        <f t="shared" si="34"/>
        <v>0</v>
      </c>
      <c r="EB33" s="7"/>
      <c r="EC33" s="7"/>
      <c r="ED33" s="7"/>
      <c r="EE33" s="39">
        <f t="shared" si="35"/>
        <v>0</v>
      </c>
      <c r="EF33" s="7"/>
      <c r="EG33" s="7"/>
      <c r="EH33" s="7"/>
      <c r="EI33" s="39">
        <f t="shared" si="36"/>
        <v>0</v>
      </c>
      <c r="EJ33" s="7"/>
      <c r="EK33" s="7"/>
      <c r="EL33" s="7"/>
      <c r="EM33" s="39">
        <f t="shared" si="37"/>
        <v>0</v>
      </c>
      <c r="EN33" s="7"/>
      <c r="EO33" s="7"/>
      <c r="EP33" s="7"/>
      <c r="EQ33" s="39">
        <f t="shared" si="38"/>
        <v>0</v>
      </c>
      <c r="ER33" s="7"/>
      <c r="ES33" s="7"/>
      <c r="ET33" s="7"/>
      <c r="EU33" s="39">
        <f t="shared" si="39"/>
        <v>0</v>
      </c>
      <c r="EV33" s="7"/>
      <c r="EW33" s="7"/>
      <c r="EX33" s="7"/>
      <c r="EY33" s="39">
        <f t="shared" si="40"/>
        <v>0</v>
      </c>
      <c r="EZ33" s="7"/>
      <c r="FA33" s="7"/>
      <c r="FB33" s="7"/>
      <c r="FC33" s="39">
        <f t="shared" si="41"/>
        <v>0</v>
      </c>
      <c r="FD33" s="7"/>
      <c r="FE33" s="7"/>
      <c r="FF33" s="7"/>
      <c r="FG33" s="39">
        <f t="shared" si="42"/>
        <v>0</v>
      </c>
      <c r="FH33" s="7"/>
      <c r="FI33" s="7"/>
      <c r="FJ33" s="7"/>
      <c r="FK33" s="39">
        <f t="shared" si="43"/>
        <v>0</v>
      </c>
      <c r="FL33" s="7"/>
      <c r="FM33" s="7"/>
      <c r="FN33" s="7"/>
      <c r="FO33" s="39">
        <f t="shared" si="44"/>
        <v>0</v>
      </c>
      <c r="FP33" s="7"/>
      <c r="FQ33" s="7"/>
      <c r="FR33" s="7"/>
      <c r="FS33" s="39">
        <f t="shared" si="45"/>
        <v>0</v>
      </c>
      <c r="FT33" s="7"/>
      <c r="FU33" s="7"/>
      <c r="FV33" s="7"/>
      <c r="FW33" s="39">
        <f t="shared" si="46"/>
        <v>0</v>
      </c>
      <c r="FX33" s="7"/>
      <c r="FY33" s="7"/>
      <c r="FZ33" s="7"/>
      <c r="GA33" s="39">
        <f t="shared" si="47"/>
        <v>0</v>
      </c>
      <c r="GB33" s="7"/>
      <c r="GC33" s="7"/>
      <c r="GD33" s="7"/>
      <c r="GE33" s="39">
        <f t="shared" si="48"/>
        <v>0</v>
      </c>
      <c r="GF33" s="7"/>
      <c r="GG33" s="7"/>
      <c r="GH33" s="7"/>
      <c r="GI33" s="39">
        <f t="shared" si="49"/>
        <v>0</v>
      </c>
      <c r="GJ33" s="7"/>
      <c r="GK33" s="7"/>
      <c r="GL33" s="7"/>
      <c r="GM33" s="39">
        <f t="shared" si="50"/>
        <v>0</v>
      </c>
      <c r="GN33" s="7"/>
      <c r="GO33" s="7"/>
      <c r="GP33" s="7"/>
      <c r="GQ33" s="39">
        <f t="shared" si="64"/>
        <v>0</v>
      </c>
      <c r="GR33" s="7"/>
      <c r="GS33" s="7"/>
      <c r="GT33" s="7"/>
      <c r="GU33" s="39">
        <f t="shared" si="62"/>
        <v>0</v>
      </c>
      <c r="GV33" s="7"/>
      <c r="GW33" s="7"/>
      <c r="GX33" s="7"/>
      <c r="GY33" s="39">
        <f t="shared" si="53"/>
        <v>0</v>
      </c>
      <c r="GZ33" s="7"/>
      <c r="HA33" s="7"/>
      <c r="HB33" s="7"/>
      <c r="HC33" s="39">
        <f t="shared" si="63"/>
        <v>0</v>
      </c>
      <c r="HD33" s="7"/>
      <c r="HE33" s="7"/>
      <c r="HF33" s="7"/>
      <c r="HG33" s="39">
        <f t="shared" si="68"/>
        <v>0</v>
      </c>
      <c r="HH33" s="7"/>
      <c r="HI33" s="7"/>
      <c r="HJ33" s="7"/>
      <c r="HK33" s="39">
        <f t="shared" si="56"/>
        <v>0</v>
      </c>
    </row>
    <row r="34">
      <c r="A34" s="20" t="s">
        <v>129</v>
      </c>
      <c r="B34" s="21"/>
      <c r="C34" s="1">
        <f t="shared" si="1"/>
        <v>32</v>
      </c>
      <c r="D34" s="15">
        <f>VLOOKUP(A34,TDP!A:C,3,FALSE)</f>
        <v>0.1</v>
      </c>
      <c r="E34" s="37">
        <f t="shared" si="2"/>
        <v>9.9</v>
      </c>
      <c r="F34" s="7"/>
      <c r="G34" s="39">
        <f t="shared" si="65"/>
        <v>0</v>
      </c>
      <c r="H34" s="7">
        <v>1.0</v>
      </c>
      <c r="I34" s="7">
        <v>1.0</v>
      </c>
      <c r="J34" s="7"/>
      <c r="K34" s="39">
        <f t="shared" si="4"/>
        <v>3</v>
      </c>
      <c r="L34" s="7">
        <v>1.0</v>
      </c>
      <c r="M34" s="7">
        <v>1.0</v>
      </c>
      <c r="N34" s="7"/>
      <c r="O34" s="39">
        <f t="shared" si="71"/>
        <v>3</v>
      </c>
      <c r="P34" s="7"/>
      <c r="Q34" s="7"/>
      <c r="R34" s="7"/>
      <c r="S34" s="39">
        <f t="shared" si="6"/>
        <v>0</v>
      </c>
      <c r="T34" s="7"/>
      <c r="U34" s="7"/>
      <c r="V34" s="7"/>
      <c r="W34" s="39">
        <f t="shared" si="7"/>
        <v>0</v>
      </c>
      <c r="X34" s="7"/>
      <c r="Y34" s="7"/>
      <c r="Z34" s="7"/>
      <c r="AA34" s="39">
        <f t="shared" si="8"/>
        <v>0</v>
      </c>
      <c r="AB34" s="7"/>
      <c r="AC34" s="7"/>
      <c r="AD34" s="7"/>
      <c r="AE34" s="39">
        <f t="shared" si="9"/>
        <v>0</v>
      </c>
      <c r="AF34" s="7"/>
      <c r="AG34" s="7"/>
      <c r="AH34" s="7"/>
      <c r="AI34" s="39">
        <f t="shared" si="69"/>
        <v>0</v>
      </c>
      <c r="AJ34" s="7"/>
      <c r="AK34" s="7"/>
      <c r="AL34" s="7"/>
      <c r="AM34" s="39">
        <f t="shared" si="61"/>
        <v>0</v>
      </c>
      <c r="AN34" s="7"/>
      <c r="AO34" s="7"/>
      <c r="AP34" s="7"/>
      <c r="AQ34" s="39">
        <f t="shared" si="67"/>
        <v>0</v>
      </c>
      <c r="AR34" s="41"/>
      <c r="AS34" s="41"/>
      <c r="AT34" s="41"/>
      <c r="AU34" s="42">
        <f t="shared" si="13"/>
        <v>0</v>
      </c>
      <c r="AV34" s="7"/>
      <c r="AW34" s="7"/>
      <c r="AX34" s="7"/>
      <c r="AY34" s="39">
        <f t="shared" si="14"/>
        <v>0</v>
      </c>
      <c r="AZ34" s="7"/>
      <c r="BA34" s="7"/>
      <c r="BB34" s="7"/>
      <c r="BC34" s="39">
        <f t="shared" si="60"/>
        <v>0</v>
      </c>
      <c r="BD34" s="7"/>
      <c r="BE34" s="7"/>
      <c r="BF34" s="7"/>
      <c r="BG34" s="39">
        <f t="shared" si="16"/>
        <v>0</v>
      </c>
      <c r="BH34" s="7"/>
      <c r="BI34" s="7"/>
      <c r="BJ34" s="7"/>
      <c r="BK34" s="39">
        <f t="shared" si="17"/>
        <v>0</v>
      </c>
      <c r="BL34" s="7"/>
      <c r="BM34" s="7"/>
      <c r="BN34" s="7"/>
      <c r="BO34" s="39">
        <f t="shared" si="18"/>
        <v>0</v>
      </c>
      <c r="BP34" s="7"/>
      <c r="BQ34" s="7"/>
      <c r="BR34" s="7"/>
      <c r="BS34" s="39">
        <f t="shared" si="19"/>
        <v>0</v>
      </c>
      <c r="BT34" s="7"/>
      <c r="BU34" s="7"/>
      <c r="BV34" s="7"/>
      <c r="BW34" s="39">
        <f t="shared" si="20"/>
        <v>0</v>
      </c>
      <c r="BX34" s="7"/>
      <c r="BY34" s="7"/>
      <c r="BZ34" s="7"/>
      <c r="CA34" s="39">
        <f t="shared" si="21"/>
        <v>0</v>
      </c>
      <c r="CB34" s="7"/>
      <c r="CC34" s="7"/>
      <c r="CD34" s="7"/>
      <c r="CE34" s="39">
        <f t="shared" si="22"/>
        <v>0</v>
      </c>
      <c r="CF34" s="7"/>
      <c r="CG34" s="7"/>
      <c r="CH34" s="7"/>
      <c r="CI34" s="39">
        <f t="shared" si="23"/>
        <v>0</v>
      </c>
      <c r="CJ34" s="7"/>
      <c r="CK34" s="7"/>
      <c r="CL34" s="7"/>
      <c r="CM34" s="39">
        <f t="shared" si="24"/>
        <v>0</v>
      </c>
      <c r="CN34" s="7"/>
      <c r="CO34" s="7"/>
      <c r="CP34" s="7"/>
      <c r="CQ34" s="39">
        <f t="shared" si="25"/>
        <v>0</v>
      </c>
      <c r="CR34" s="7"/>
      <c r="CS34" s="7"/>
      <c r="CT34" s="7"/>
      <c r="CU34" s="39">
        <f t="shared" si="26"/>
        <v>0</v>
      </c>
      <c r="CV34" s="7"/>
      <c r="CW34" s="7"/>
      <c r="CX34" s="7"/>
      <c r="CY34" s="39">
        <f t="shared" si="27"/>
        <v>0</v>
      </c>
      <c r="CZ34" s="7"/>
      <c r="DA34" s="7"/>
      <c r="DB34" s="7"/>
      <c r="DC34" s="39">
        <f t="shared" si="28"/>
        <v>0</v>
      </c>
      <c r="DD34" s="7"/>
      <c r="DE34" s="7"/>
      <c r="DF34" s="7"/>
      <c r="DG34" s="39">
        <f t="shared" si="29"/>
        <v>0</v>
      </c>
      <c r="DH34" s="7"/>
      <c r="DI34" s="7"/>
      <c r="DJ34" s="7"/>
      <c r="DK34" s="39">
        <f t="shared" si="30"/>
        <v>0</v>
      </c>
      <c r="DL34" s="7"/>
      <c r="DM34" s="7"/>
      <c r="DN34" s="7"/>
      <c r="DO34" s="39">
        <f t="shared" si="31"/>
        <v>0</v>
      </c>
      <c r="DP34" s="7"/>
      <c r="DQ34" s="7"/>
      <c r="DR34" s="7"/>
      <c r="DS34" s="39">
        <f t="shared" si="32"/>
        <v>0</v>
      </c>
      <c r="DT34" s="7"/>
      <c r="DU34" s="7"/>
      <c r="DV34" s="7"/>
      <c r="DW34" s="39">
        <f t="shared" si="33"/>
        <v>0</v>
      </c>
      <c r="DX34" s="7"/>
      <c r="DY34" s="7"/>
      <c r="DZ34" s="7"/>
      <c r="EA34" s="39">
        <f t="shared" si="34"/>
        <v>0</v>
      </c>
      <c r="EB34" s="7"/>
      <c r="EC34" s="7"/>
      <c r="ED34" s="7"/>
      <c r="EE34" s="39">
        <f t="shared" si="35"/>
        <v>0</v>
      </c>
      <c r="EF34" s="7"/>
      <c r="EG34" s="7"/>
      <c r="EH34" s="7"/>
      <c r="EI34" s="39">
        <f t="shared" si="36"/>
        <v>0</v>
      </c>
      <c r="EJ34" s="7"/>
      <c r="EK34" s="7"/>
      <c r="EL34" s="7"/>
      <c r="EM34" s="39">
        <f t="shared" si="37"/>
        <v>0</v>
      </c>
      <c r="EN34" s="7"/>
      <c r="EO34" s="7"/>
      <c r="EP34" s="7"/>
      <c r="EQ34" s="39">
        <f t="shared" si="38"/>
        <v>0</v>
      </c>
      <c r="ER34" s="7"/>
      <c r="ES34" s="7"/>
      <c r="ET34" s="7"/>
      <c r="EU34" s="39">
        <f t="shared" si="39"/>
        <v>0</v>
      </c>
      <c r="EV34" s="7"/>
      <c r="EW34" s="7"/>
      <c r="EX34" s="7"/>
      <c r="EY34" s="39">
        <f t="shared" si="40"/>
        <v>0</v>
      </c>
      <c r="EZ34" s="7"/>
      <c r="FA34" s="7"/>
      <c r="FB34" s="7"/>
      <c r="FC34" s="39">
        <f t="shared" si="41"/>
        <v>0</v>
      </c>
      <c r="FD34" s="7"/>
      <c r="FE34" s="7"/>
      <c r="FF34" s="7"/>
      <c r="FG34" s="39">
        <f t="shared" si="42"/>
        <v>0</v>
      </c>
      <c r="FH34" s="7"/>
      <c r="FI34" s="7"/>
      <c r="FJ34" s="7"/>
      <c r="FK34" s="39">
        <f t="shared" si="43"/>
        <v>0</v>
      </c>
      <c r="FL34" s="7"/>
      <c r="FM34" s="7"/>
      <c r="FN34" s="7"/>
      <c r="FO34" s="39">
        <f t="shared" si="44"/>
        <v>0</v>
      </c>
      <c r="FP34" s="7"/>
      <c r="FQ34" s="7"/>
      <c r="FR34" s="7"/>
      <c r="FS34" s="39">
        <f t="shared" si="45"/>
        <v>0</v>
      </c>
      <c r="FT34" s="7"/>
      <c r="FU34" s="7"/>
      <c r="FV34" s="7"/>
      <c r="FW34" s="39">
        <f t="shared" si="46"/>
        <v>0</v>
      </c>
      <c r="FX34" s="7"/>
      <c r="FY34" s="7"/>
      <c r="FZ34" s="7"/>
      <c r="GA34" s="39">
        <f t="shared" si="47"/>
        <v>0</v>
      </c>
      <c r="GB34" s="7"/>
      <c r="GC34" s="7"/>
      <c r="GD34" s="7"/>
      <c r="GE34" s="39">
        <f t="shared" si="48"/>
        <v>0</v>
      </c>
      <c r="GF34" s="7"/>
      <c r="GG34" s="7"/>
      <c r="GH34" s="7"/>
      <c r="GI34" s="39">
        <f t="shared" si="49"/>
        <v>0</v>
      </c>
      <c r="GJ34" s="7"/>
      <c r="GK34" s="7"/>
      <c r="GL34" s="7"/>
      <c r="GM34" s="39">
        <f t="shared" si="50"/>
        <v>0</v>
      </c>
      <c r="GN34" s="7"/>
      <c r="GO34" s="7"/>
      <c r="GP34" s="7"/>
      <c r="GQ34" s="39">
        <f t="shared" si="64"/>
        <v>0</v>
      </c>
      <c r="GR34" s="7"/>
      <c r="GS34" s="7"/>
      <c r="GT34" s="7"/>
      <c r="GU34" s="39">
        <f t="shared" si="62"/>
        <v>0</v>
      </c>
      <c r="GV34" s="7"/>
      <c r="GW34" s="7"/>
      <c r="GX34" s="7"/>
      <c r="GY34" s="39">
        <f t="shared" si="53"/>
        <v>0</v>
      </c>
      <c r="GZ34" s="7">
        <v>1.0</v>
      </c>
      <c r="HA34" s="7">
        <v>1.0</v>
      </c>
      <c r="HB34" s="7"/>
      <c r="HC34" s="39">
        <f t="shared" si="63"/>
        <v>3</v>
      </c>
      <c r="HD34" s="7"/>
      <c r="HE34" s="7"/>
      <c r="HF34" s="7"/>
      <c r="HG34" s="39">
        <f t="shared" si="68"/>
        <v>0</v>
      </c>
      <c r="HH34" s="7"/>
      <c r="HI34" s="7"/>
      <c r="HJ34" s="7"/>
      <c r="HK34" s="39">
        <f t="shared" si="56"/>
        <v>0</v>
      </c>
    </row>
    <row r="35">
      <c r="A35" s="4" t="s">
        <v>59</v>
      </c>
      <c r="B35" s="7" t="s">
        <v>60</v>
      </c>
      <c r="C35" s="30">
        <f t="shared" si="1"/>
        <v>33</v>
      </c>
      <c r="D35" s="15">
        <f>VLOOKUP(A35,TDP!A:C,3,FALSE)</f>
        <v>0.27</v>
      </c>
      <c r="E35" s="37">
        <f t="shared" si="2"/>
        <v>6.35</v>
      </c>
      <c r="F35" s="7"/>
      <c r="G35" s="39">
        <f t="shared" si="65"/>
        <v>0</v>
      </c>
      <c r="H35" s="7"/>
      <c r="I35" s="7"/>
      <c r="J35" s="7"/>
      <c r="K35" s="39">
        <f t="shared" si="4"/>
        <v>0</v>
      </c>
      <c r="L35" s="7"/>
      <c r="M35" s="7"/>
      <c r="N35" s="7"/>
      <c r="O35" s="39">
        <f t="shared" si="71"/>
        <v>0</v>
      </c>
      <c r="P35" s="7"/>
      <c r="Q35" s="7"/>
      <c r="R35" s="7"/>
      <c r="S35" s="39">
        <f t="shared" si="6"/>
        <v>0</v>
      </c>
      <c r="T35" s="7"/>
      <c r="U35" s="7"/>
      <c r="V35" s="7"/>
      <c r="W35" s="39">
        <f t="shared" si="7"/>
        <v>0</v>
      </c>
      <c r="X35" s="7"/>
      <c r="Y35" s="7"/>
      <c r="Z35" s="7"/>
      <c r="AA35" s="39">
        <f t="shared" si="8"/>
        <v>0</v>
      </c>
      <c r="AB35" s="7"/>
      <c r="AC35" s="7"/>
      <c r="AD35" s="7"/>
      <c r="AE35" s="39">
        <f t="shared" si="9"/>
        <v>0</v>
      </c>
      <c r="AF35" s="7"/>
      <c r="AG35" s="7"/>
      <c r="AH35" s="7"/>
      <c r="AI35" s="39">
        <f t="shared" si="69"/>
        <v>0</v>
      </c>
      <c r="AJ35" s="7"/>
      <c r="AK35" s="7"/>
      <c r="AL35" s="7"/>
      <c r="AM35" s="39">
        <f t="shared" si="61"/>
        <v>0</v>
      </c>
      <c r="AN35" s="7"/>
      <c r="AO35" s="7"/>
      <c r="AP35" s="7"/>
      <c r="AQ35" s="39">
        <f t="shared" si="67"/>
        <v>0</v>
      </c>
      <c r="AR35" s="41"/>
      <c r="AS35" s="41"/>
      <c r="AT35" s="41"/>
      <c r="AU35" s="42">
        <f t="shared" si="13"/>
        <v>0</v>
      </c>
      <c r="AV35" s="7"/>
      <c r="AW35" s="7"/>
      <c r="AX35" s="7"/>
      <c r="AY35" s="39">
        <f t="shared" si="14"/>
        <v>0</v>
      </c>
      <c r="AZ35" s="7"/>
      <c r="BA35" s="7"/>
      <c r="BB35" s="7"/>
      <c r="BC35" s="39">
        <f t="shared" si="60"/>
        <v>0</v>
      </c>
      <c r="BD35" s="7"/>
      <c r="BE35" s="7"/>
      <c r="BF35" s="7"/>
      <c r="BG35" s="39">
        <f t="shared" si="16"/>
        <v>0</v>
      </c>
      <c r="BH35" s="7"/>
      <c r="BI35" s="7"/>
      <c r="BJ35" s="7"/>
      <c r="BK35" s="39">
        <f t="shared" si="17"/>
        <v>0</v>
      </c>
      <c r="BL35" s="7"/>
      <c r="BM35" s="7"/>
      <c r="BN35" s="7"/>
      <c r="BO35" s="39">
        <f t="shared" si="18"/>
        <v>0</v>
      </c>
      <c r="BP35" s="7"/>
      <c r="BQ35" s="7"/>
      <c r="BR35" s="7"/>
      <c r="BS35" s="39">
        <f t="shared" si="19"/>
        <v>0</v>
      </c>
      <c r="BT35" s="7"/>
      <c r="BU35" s="7"/>
      <c r="BV35" s="7"/>
      <c r="BW35" s="39">
        <f t="shared" si="20"/>
        <v>0</v>
      </c>
      <c r="BX35" s="7"/>
      <c r="BY35" s="7"/>
      <c r="BZ35" s="7"/>
      <c r="CA35" s="39">
        <f t="shared" si="21"/>
        <v>0</v>
      </c>
      <c r="CB35" s="7"/>
      <c r="CC35" s="7"/>
      <c r="CD35" s="7"/>
      <c r="CE35" s="39">
        <f t="shared" si="22"/>
        <v>0</v>
      </c>
      <c r="CF35" s="7"/>
      <c r="CG35" s="7"/>
      <c r="CH35" s="7"/>
      <c r="CI35" s="39">
        <f t="shared" si="23"/>
        <v>0</v>
      </c>
      <c r="CJ35" s="7"/>
      <c r="CK35" s="7"/>
      <c r="CL35" s="7"/>
      <c r="CM35" s="39">
        <f t="shared" si="24"/>
        <v>0</v>
      </c>
      <c r="CN35" s="7"/>
      <c r="CO35" s="7"/>
      <c r="CP35" s="7"/>
      <c r="CQ35" s="39">
        <f t="shared" si="25"/>
        <v>0</v>
      </c>
      <c r="CR35" s="7"/>
      <c r="CS35" s="7"/>
      <c r="CT35" s="7"/>
      <c r="CU35" s="39">
        <f t="shared" si="26"/>
        <v>0</v>
      </c>
      <c r="CV35" s="7"/>
      <c r="CW35" s="7"/>
      <c r="CX35" s="7"/>
      <c r="CY35" s="39">
        <f t="shared" si="27"/>
        <v>0</v>
      </c>
      <c r="CZ35" s="7"/>
      <c r="DA35" s="7"/>
      <c r="DB35" s="7"/>
      <c r="DC35" s="39">
        <f t="shared" si="28"/>
        <v>0</v>
      </c>
      <c r="DD35" s="7"/>
      <c r="DE35" s="7"/>
      <c r="DF35" s="7"/>
      <c r="DG35" s="39">
        <f t="shared" si="29"/>
        <v>0</v>
      </c>
      <c r="DH35" s="7">
        <v>1.0</v>
      </c>
      <c r="DI35" s="7">
        <v>1.0</v>
      </c>
      <c r="DJ35" s="7">
        <v>1.0</v>
      </c>
      <c r="DK35" s="39">
        <f t="shared" si="30"/>
        <v>5</v>
      </c>
      <c r="DL35" s="7"/>
      <c r="DM35" s="7"/>
      <c r="DN35" s="7"/>
      <c r="DO35" s="39">
        <f t="shared" si="31"/>
        <v>0</v>
      </c>
      <c r="DP35" s="7"/>
      <c r="DQ35" s="7"/>
      <c r="DR35" s="7"/>
      <c r="DS35" s="39">
        <f t="shared" si="32"/>
        <v>0</v>
      </c>
      <c r="DT35" s="7"/>
      <c r="DU35" s="7"/>
      <c r="DV35" s="7"/>
      <c r="DW35" s="39">
        <f t="shared" si="33"/>
        <v>0</v>
      </c>
      <c r="DX35" s="7"/>
      <c r="DY35" s="7"/>
      <c r="DZ35" s="7"/>
      <c r="EA35" s="39">
        <f t="shared" si="34"/>
        <v>0</v>
      </c>
      <c r="EB35" s="7"/>
      <c r="EC35" s="7"/>
      <c r="ED35" s="7"/>
      <c r="EE35" s="39">
        <f t="shared" si="35"/>
        <v>0</v>
      </c>
      <c r="EF35" s="7"/>
      <c r="EG35" s="7"/>
      <c r="EH35" s="7"/>
      <c r="EI35" s="39">
        <f t="shared" si="36"/>
        <v>0</v>
      </c>
      <c r="EJ35" s="7"/>
      <c r="EK35" s="7"/>
      <c r="EL35" s="7"/>
      <c r="EM35" s="39">
        <f t="shared" si="37"/>
        <v>0</v>
      </c>
      <c r="EN35" s="7"/>
      <c r="EO35" s="7"/>
      <c r="EP35" s="7"/>
      <c r="EQ35" s="39">
        <f t="shared" si="38"/>
        <v>0</v>
      </c>
      <c r="ER35" s="7"/>
      <c r="ES35" s="7"/>
      <c r="ET35" s="7"/>
      <c r="EU35" s="39">
        <f t="shared" si="39"/>
        <v>0</v>
      </c>
      <c r="EV35" s="7"/>
      <c r="EW35" s="7"/>
      <c r="EX35" s="7"/>
      <c r="EY35" s="39">
        <f t="shared" si="40"/>
        <v>0</v>
      </c>
      <c r="EZ35" s="7"/>
      <c r="FA35" s="7"/>
      <c r="FB35" s="7"/>
      <c r="FC35" s="39">
        <f t="shared" si="41"/>
        <v>0</v>
      </c>
      <c r="FD35" s="7"/>
      <c r="FE35" s="7"/>
      <c r="FF35" s="7"/>
      <c r="FG35" s="39">
        <f t="shared" si="42"/>
        <v>0</v>
      </c>
      <c r="FH35" s="7"/>
      <c r="FI35" s="7"/>
      <c r="FJ35" s="7"/>
      <c r="FK35" s="39">
        <f t="shared" si="43"/>
        <v>0</v>
      </c>
      <c r="FL35" s="7"/>
      <c r="FM35" s="7"/>
      <c r="FN35" s="7"/>
      <c r="FO35" s="39">
        <f t="shared" si="44"/>
        <v>0</v>
      </c>
      <c r="FP35" s="7"/>
      <c r="FQ35" s="7"/>
      <c r="FR35" s="7"/>
      <c r="FS35" s="39">
        <f t="shared" si="45"/>
        <v>0</v>
      </c>
      <c r="FT35" s="7"/>
      <c r="FU35" s="7"/>
      <c r="FV35" s="7"/>
      <c r="FW35" s="39">
        <f t="shared" si="46"/>
        <v>0</v>
      </c>
      <c r="FX35" s="7"/>
      <c r="FY35" s="7"/>
      <c r="FZ35" s="7"/>
      <c r="GA35" s="39">
        <f t="shared" si="47"/>
        <v>0</v>
      </c>
      <c r="GB35" s="7"/>
      <c r="GC35" s="7"/>
      <c r="GD35" s="7"/>
      <c r="GE35" s="39">
        <f t="shared" si="48"/>
        <v>0</v>
      </c>
      <c r="GF35" s="7"/>
      <c r="GG35" s="7"/>
      <c r="GH35" s="7"/>
      <c r="GI35" s="39">
        <f t="shared" si="49"/>
        <v>0</v>
      </c>
      <c r="GJ35" s="7"/>
      <c r="GK35" s="7"/>
      <c r="GL35" s="7"/>
      <c r="GM35" s="39">
        <f t="shared" si="50"/>
        <v>0</v>
      </c>
      <c r="GN35" s="7"/>
      <c r="GO35" s="7"/>
      <c r="GP35" s="7"/>
      <c r="GQ35" s="39">
        <f t="shared" si="64"/>
        <v>0</v>
      </c>
      <c r="GR35" s="7"/>
      <c r="GS35" s="7"/>
      <c r="GT35" s="7"/>
      <c r="GU35" s="39">
        <f t="shared" si="62"/>
        <v>0</v>
      </c>
      <c r="GV35" s="7"/>
      <c r="GW35" s="7"/>
      <c r="GX35" s="7"/>
      <c r="GY35" s="39">
        <f t="shared" si="53"/>
        <v>0</v>
      </c>
      <c r="GZ35" s="7"/>
      <c r="HA35" s="7"/>
      <c r="HB35" s="7"/>
      <c r="HC35" s="39">
        <f t="shared" si="63"/>
        <v>0</v>
      </c>
      <c r="HD35" s="7"/>
      <c r="HE35" s="7"/>
      <c r="HF35" s="7"/>
      <c r="HG35" s="39">
        <f t="shared" si="68"/>
        <v>0</v>
      </c>
      <c r="HH35" s="7"/>
      <c r="HI35" s="7"/>
      <c r="HJ35" s="7"/>
      <c r="HK35" s="39">
        <f t="shared" si="56"/>
        <v>0</v>
      </c>
    </row>
    <row r="36">
      <c r="A36" s="20" t="s">
        <v>174</v>
      </c>
      <c r="B36" s="21" t="s">
        <v>199</v>
      </c>
      <c r="C36" s="1">
        <f t="shared" si="1"/>
        <v>34</v>
      </c>
      <c r="D36" s="15">
        <f>VLOOKUP(A36,TDP!A:C,3,FALSE)</f>
        <v>0.02</v>
      </c>
      <c r="E36" s="37">
        <f t="shared" si="2"/>
        <v>5.1</v>
      </c>
      <c r="F36" s="7"/>
      <c r="G36" s="39">
        <f t="shared" si="65"/>
        <v>0</v>
      </c>
      <c r="H36" s="7"/>
      <c r="I36" s="7"/>
      <c r="J36" s="7"/>
      <c r="K36" s="39">
        <f t="shared" si="4"/>
        <v>0</v>
      </c>
      <c r="L36" s="7">
        <v>1.0</v>
      </c>
      <c r="M36" s="7">
        <v>1.0</v>
      </c>
      <c r="N36" s="7"/>
      <c r="O36" s="93">
        <v>0.0</v>
      </c>
      <c r="P36" s="7"/>
      <c r="Q36" s="7"/>
      <c r="R36" s="7"/>
      <c r="S36" s="39">
        <f t="shared" si="6"/>
        <v>0</v>
      </c>
      <c r="T36" s="7"/>
      <c r="U36" s="7"/>
      <c r="V36" s="7"/>
      <c r="W36" s="39">
        <f t="shared" si="7"/>
        <v>0</v>
      </c>
      <c r="X36" s="7"/>
      <c r="Y36" s="7"/>
      <c r="Z36" s="7"/>
      <c r="AA36" s="39">
        <f t="shared" si="8"/>
        <v>0</v>
      </c>
      <c r="AB36" s="7"/>
      <c r="AC36" s="7"/>
      <c r="AD36" s="7"/>
      <c r="AE36" s="39">
        <f t="shared" si="9"/>
        <v>0</v>
      </c>
      <c r="AF36" s="7"/>
      <c r="AG36" s="7"/>
      <c r="AH36" s="7"/>
      <c r="AI36" s="39">
        <f t="shared" si="69"/>
        <v>0</v>
      </c>
      <c r="AJ36" s="7"/>
      <c r="AK36" s="7"/>
      <c r="AL36" s="7"/>
      <c r="AM36" s="39">
        <f t="shared" si="61"/>
        <v>0</v>
      </c>
      <c r="AN36" s="7"/>
      <c r="AO36" s="7"/>
      <c r="AP36" s="7"/>
      <c r="AQ36" s="39">
        <f t="shared" si="67"/>
        <v>0</v>
      </c>
      <c r="AR36" s="41"/>
      <c r="AS36" s="41"/>
      <c r="AT36" s="41"/>
      <c r="AU36" s="42">
        <f t="shared" si="13"/>
        <v>0</v>
      </c>
      <c r="AV36" s="7"/>
      <c r="AW36" s="7"/>
      <c r="AX36" s="7"/>
      <c r="AY36" s="39">
        <f t="shared" si="14"/>
        <v>0</v>
      </c>
      <c r="AZ36" s="7"/>
      <c r="BA36" s="7"/>
      <c r="BB36" s="7"/>
      <c r="BC36" s="39">
        <f t="shared" si="60"/>
        <v>0</v>
      </c>
      <c r="BD36" s="7"/>
      <c r="BE36" s="7"/>
      <c r="BF36" s="7"/>
      <c r="BG36" s="39">
        <f t="shared" si="16"/>
        <v>0</v>
      </c>
      <c r="BH36" s="7"/>
      <c r="BI36" s="7"/>
      <c r="BJ36" s="7"/>
      <c r="BK36" s="39">
        <f t="shared" si="17"/>
        <v>0</v>
      </c>
      <c r="BL36" s="7"/>
      <c r="BM36" s="7"/>
      <c r="BN36" s="7"/>
      <c r="BO36" s="39">
        <f t="shared" si="18"/>
        <v>0</v>
      </c>
      <c r="BP36" s="7"/>
      <c r="BQ36" s="7"/>
      <c r="BR36" s="7"/>
      <c r="BS36" s="39">
        <f t="shared" si="19"/>
        <v>0</v>
      </c>
      <c r="BT36" s="7"/>
      <c r="BU36" s="7"/>
      <c r="BV36" s="7"/>
      <c r="BW36" s="39">
        <f t="shared" si="20"/>
        <v>0</v>
      </c>
      <c r="BX36" s="7"/>
      <c r="BY36" s="7"/>
      <c r="BZ36" s="7"/>
      <c r="CA36" s="39">
        <f t="shared" si="21"/>
        <v>0</v>
      </c>
      <c r="CB36" s="7"/>
      <c r="CC36" s="7"/>
      <c r="CD36" s="7"/>
      <c r="CE36" s="39">
        <f t="shared" si="22"/>
        <v>0</v>
      </c>
      <c r="CF36" s="7"/>
      <c r="CG36" s="7"/>
      <c r="CH36" s="7"/>
      <c r="CI36" s="39">
        <f t="shared" si="23"/>
        <v>0</v>
      </c>
      <c r="CJ36" s="7"/>
      <c r="CK36" s="7"/>
      <c r="CL36" s="7"/>
      <c r="CM36" s="39">
        <f t="shared" si="24"/>
        <v>0</v>
      </c>
      <c r="CN36" s="7"/>
      <c r="CO36" s="7"/>
      <c r="CP36" s="7"/>
      <c r="CQ36" s="39">
        <f t="shared" si="25"/>
        <v>0</v>
      </c>
      <c r="CR36" s="7"/>
      <c r="CS36" s="7"/>
      <c r="CT36" s="7"/>
      <c r="CU36" s="39">
        <f t="shared" si="26"/>
        <v>0</v>
      </c>
      <c r="CV36" s="7"/>
      <c r="CW36" s="7"/>
      <c r="CX36" s="7"/>
      <c r="CY36" s="39">
        <f t="shared" si="27"/>
        <v>0</v>
      </c>
      <c r="CZ36" s="7"/>
      <c r="DA36" s="7"/>
      <c r="DB36" s="7"/>
      <c r="DC36" s="39">
        <f t="shared" si="28"/>
        <v>0</v>
      </c>
      <c r="DD36" s="7"/>
      <c r="DE36" s="7"/>
      <c r="DF36" s="7"/>
      <c r="DG36" s="39">
        <f t="shared" si="29"/>
        <v>0</v>
      </c>
      <c r="DH36" s="7"/>
      <c r="DI36" s="7"/>
      <c r="DJ36" s="7"/>
      <c r="DK36" s="39">
        <f t="shared" si="30"/>
        <v>0</v>
      </c>
      <c r="DL36" s="7"/>
      <c r="DM36" s="7"/>
      <c r="DN36" s="7"/>
      <c r="DO36" s="39">
        <f t="shared" si="31"/>
        <v>0</v>
      </c>
      <c r="DP36" s="7">
        <v>1.0</v>
      </c>
      <c r="DQ36" s="7">
        <v>1.0</v>
      </c>
      <c r="DR36" s="7">
        <v>1.0</v>
      </c>
      <c r="DS36" s="39">
        <f t="shared" si="32"/>
        <v>5</v>
      </c>
      <c r="DT36" s="7"/>
      <c r="DU36" s="7"/>
      <c r="DV36" s="7"/>
      <c r="DW36" s="39">
        <f t="shared" si="33"/>
        <v>0</v>
      </c>
      <c r="DX36" s="7"/>
      <c r="DY36" s="7"/>
      <c r="DZ36" s="7"/>
      <c r="EA36" s="39">
        <f t="shared" si="34"/>
        <v>0</v>
      </c>
      <c r="EB36" s="7"/>
      <c r="EC36" s="7"/>
      <c r="ED36" s="7"/>
      <c r="EE36" s="39">
        <f t="shared" si="35"/>
        <v>0</v>
      </c>
      <c r="EF36" s="7"/>
      <c r="EG36" s="7"/>
      <c r="EH36" s="7"/>
      <c r="EI36" s="39">
        <f t="shared" si="36"/>
        <v>0</v>
      </c>
      <c r="EJ36" s="7"/>
      <c r="EK36" s="7"/>
      <c r="EL36" s="7"/>
      <c r="EM36" s="39">
        <f t="shared" si="37"/>
        <v>0</v>
      </c>
      <c r="EN36" s="7"/>
      <c r="EO36" s="7"/>
      <c r="EP36" s="7"/>
      <c r="EQ36" s="39">
        <f t="shared" si="38"/>
        <v>0</v>
      </c>
      <c r="ER36" s="7"/>
      <c r="ES36" s="7"/>
      <c r="ET36" s="7"/>
      <c r="EU36" s="39">
        <f t="shared" si="39"/>
        <v>0</v>
      </c>
      <c r="EV36" s="7"/>
      <c r="EW36" s="7"/>
      <c r="EX36" s="7"/>
      <c r="EY36" s="39">
        <f t="shared" si="40"/>
        <v>0</v>
      </c>
      <c r="EZ36" s="7"/>
      <c r="FA36" s="7"/>
      <c r="FB36" s="7"/>
      <c r="FC36" s="39">
        <f t="shared" si="41"/>
        <v>0</v>
      </c>
      <c r="FD36" s="7"/>
      <c r="FE36" s="7"/>
      <c r="FF36" s="7"/>
      <c r="FG36" s="39">
        <f t="shared" si="42"/>
        <v>0</v>
      </c>
      <c r="FH36" s="7"/>
      <c r="FI36" s="7"/>
      <c r="FJ36" s="7"/>
      <c r="FK36" s="39">
        <f t="shared" si="43"/>
        <v>0</v>
      </c>
      <c r="FL36" s="7"/>
      <c r="FM36" s="7"/>
      <c r="FN36" s="7"/>
      <c r="FO36" s="39">
        <f t="shared" si="44"/>
        <v>0</v>
      </c>
      <c r="FP36" s="7"/>
      <c r="FQ36" s="7"/>
      <c r="FR36" s="7"/>
      <c r="FS36" s="39">
        <f t="shared" si="45"/>
        <v>0</v>
      </c>
      <c r="FT36" s="7"/>
      <c r="FU36" s="7"/>
      <c r="FV36" s="7"/>
      <c r="FW36" s="39">
        <f t="shared" si="46"/>
        <v>0</v>
      </c>
      <c r="FX36" s="7"/>
      <c r="FY36" s="7"/>
      <c r="FZ36" s="7"/>
      <c r="GA36" s="39">
        <f t="shared" si="47"/>
        <v>0</v>
      </c>
      <c r="GB36" s="7"/>
      <c r="GC36" s="7"/>
      <c r="GD36" s="7"/>
      <c r="GE36" s="39">
        <f t="shared" si="48"/>
        <v>0</v>
      </c>
      <c r="GF36" s="7"/>
      <c r="GG36" s="7"/>
      <c r="GH36" s="7"/>
      <c r="GI36" s="39">
        <f t="shared" si="49"/>
        <v>0</v>
      </c>
      <c r="GJ36" s="7"/>
      <c r="GK36" s="7"/>
      <c r="GL36" s="7"/>
      <c r="GM36" s="39">
        <f t="shared" si="50"/>
        <v>0</v>
      </c>
      <c r="GN36" s="7"/>
      <c r="GO36" s="7"/>
      <c r="GP36" s="7"/>
      <c r="GQ36" s="39">
        <f t="shared" si="64"/>
        <v>0</v>
      </c>
      <c r="GR36" s="7"/>
      <c r="GS36" s="7"/>
      <c r="GT36" s="7"/>
      <c r="GU36" s="39">
        <f t="shared" si="62"/>
        <v>0</v>
      </c>
      <c r="GV36" s="7"/>
      <c r="GW36" s="7"/>
      <c r="GX36" s="7"/>
      <c r="GY36" s="39">
        <f t="shared" si="53"/>
        <v>0</v>
      </c>
      <c r="GZ36" s="7"/>
      <c r="HA36" s="7"/>
      <c r="HB36" s="7"/>
      <c r="HC36" s="39">
        <f t="shared" si="63"/>
        <v>0</v>
      </c>
      <c r="HD36" s="7"/>
      <c r="HE36" s="7"/>
      <c r="HF36" s="7"/>
      <c r="HG36" s="39">
        <f t="shared" si="68"/>
        <v>0</v>
      </c>
      <c r="HH36" s="7"/>
      <c r="HI36" s="7"/>
      <c r="HJ36" s="7"/>
      <c r="HK36" s="39">
        <f t="shared" si="56"/>
        <v>0</v>
      </c>
    </row>
    <row r="37">
      <c r="A37" s="20" t="s">
        <v>103</v>
      </c>
      <c r="B37" s="21" t="s">
        <v>104</v>
      </c>
      <c r="C37" s="1">
        <f t="shared" si="1"/>
        <v>35</v>
      </c>
      <c r="D37" s="15">
        <f>VLOOKUP(A37,TDP!A:C,3,FALSE)</f>
        <v>0.17</v>
      </c>
      <c r="E37" s="37">
        <f t="shared" si="2"/>
        <v>3.51</v>
      </c>
      <c r="F37" s="7"/>
      <c r="G37" s="39">
        <f t="shared" si="65"/>
        <v>0</v>
      </c>
      <c r="H37" s="7"/>
      <c r="I37" s="7"/>
      <c r="J37" s="7"/>
      <c r="K37" s="39">
        <f t="shared" si="4"/>
        <v>0</v>
      </c>
      <c r="L37" s="7"/>
      <c r="M37" s="7"/>
      <c r="N37" s="7"/>
      <c r="O37" s="39">
        <f t="shared" ref="O37:O45" si="72"> if( L37=1, if( M37=1, if( N37=1, 5, 3), if( N37=1, 1, -3 ) ), if(M37=1,if(N37=1, -1, -2 ), if(N37=1, 7, 0 ) ) )</f>
        <v>0</v>
      </c>
      <c r="P37" s="7"/>
      <c r="Q37" s="7"/>
      <c r="R37" s="7"/>
      <c r="S37" s="39">
        <f t="shared" si="6"/>
        <v>0</v>
      </c>
      <c r="T37" s="7"/>
      <c r="U37" s="7"/>
      <c r="V37" s="7"/>
      <c r="W37" s="39">
        <f t="shared" si="7"/>
        <v>0</v>
      </c>
      <c r="X37" s="7"/>
      <c r="Y37" s="7"/>
      <c r="Z37" s="7"/>
      <c r="AA37" s="39">
        <f t="shared" si="8"/>
        <v>0</v>
      </c>
      <c r="AB37" s="7"/>
      <c r="AC37" s="7"/>
      <c r="AD37" s="7"/>
      <c r="AE37" s="39">
        <f t="shared" si="9"/>
        <v>0</v>
      </c>
      <c r="AF37" s="7"/>
      <c r="AG37" s="7"/>
      <c r="AH37" s="7"/>
      <c r="AI37" s="39">
        <f t="shared" si="69"/>
        <v>0</v>
      </c>
      <c r="AJ37" s="7"/>
      <c r="AK37" s="7"/>
      <c r="AL37" s="7"/>
      <c r="AM37" s="39">
        <f t="shared" si="61"/>
        <v>0</v>
      </c>
      <c r="AN37" s="7"/>
      <c r="AO37" s="7"/>
      <c r="AP37" s="7"/>
      <c r="AQ37" s="39">
        <f t="shared" si="67"/>
        <v>0</v>
      </c>
      <c r="AR37" s="41"/>
      <c r="AS37" s="41"/>
      <c r="AT37" s="41"/>
      <c r="AU37" s="42">
        <f t="shared" si="13"/>
        <v>0</v>
      </c>
      <c r="AV37" s="7"/>
      <c r="AW37" s="7"/>
      <c r="AX37" s="7"/>
      <c r="AY37" s="39">
        <f t="shared" si="14"/>
        <v>0</v>
      </c>
      <c r="AZ37" s="7"/>
      <c r="BA37" s="7"/>
      <c r="BB37" s="7"/>
      <c r="BC37" s="39">
        <f t="shared" si="60"/>
        <v>0</v>
      </c>
      <c r="BD37" s="7"/>
      <c r="BE37" s="7"/>
      <c r="BF37" s="7"/>
      <c r="BG37" s="39">
        <f t="shared" si="16"/>
        <v>0</v>
      </c>
      <c r="BH37" s="7"/>
      <c r="BI37" s="7"/>
      <c r="BJ37" s="7"/>
      <c r="BK37" s="39">
        <f t="shared" si="17"/>
        <v>0</v>
      </c>
      <c r="BL37" s="7"/>
      <c r="BM37" s="7"/>
      <c r="BN37" s="7"/>
      <c r="BO37" s="39">
        <f t="shared" si="18"/>
        <v>0</v>
      </c>
      <c r="BP37" s="7"/>
      <c r="BQ37" s="7"/>
      <c r="BR37" s="7"/>
      <c r="BS37" s="39">
        <f t="shared" si="19"/>
        <v>0</v>
      </c>
      <c r="BT37" s="7"/>
      <c r="BU37" s="7"/>
      <c r="BV37" s="7"/>
      <c r="BW37" s="39">
        <f t="shared" si="20"/>
        <v>0</v>
      </c>
      <c r="BX37" s="7"/>
      <c r="BY37" s="7"/>
      <c r="BZ37" s="7"/>
      <c r="CA37" s="39">
        <f t="shared" si="21"/>
        <v>0</v>
      </c>
      <c r="CB37" s="7"/>
      <c r="CC37" s="7"/>
      <c r="CD37" s="7"/>
      <c r="CE37" s="39">
        <f t="shared" si="22"/>
        <v>0</v>
      </c>
      <c r="CF37" s="7"/>
      <c r="CG37" s="7"/>
      <c r="CH37" s="7"/>
      <c r="CI37" s="39">
        <f t="shared" si="23"/>
        <v>0</v>
      </c>
      <c r="CJ37" s="7"/>
      <c r="CK37" s="7"/>
      <c r="CL37" s="7"/>
      <c r="CM37" s="39">
        <f t="shared" si="24"/>
        <v>0</v>
      </c>
      <c r="CN37" s="7"/>
      <c r="CO37" s="7"/>
      <c r="CP37" s="7"/>
      <c r="CQ37" s="39">
        <f t="shared" si="25"/>
        <v>0</v>
      </c>
      <c r="CR37" s="7"/>
      <c r="CS37" s="7"/>
      <c r="CT37" s="7"/>
      <c r="CU37" s="39">
        <f t="shared" si="26"/>
        <v>0</v>
      </c>
      <c r="CV37" s="7"/>
      <c r="CW37" s="7"/>
      <c r="CX37" s="7"/>
      <c r="CY37" s="39">
        <f t="shared" si="27"/>
        <v>0</v>
      </c>
      <c r="CZ37" s="7"/>
      <c r="DA37" s="7"/>
      <c r="DB37" s="7"/>
      <c r="DC37" s="39">
        <f t="shared" si="28"/>
        <v>0</v>
      </c>
      <c r="DD37" s="7"/>
      <c r="DE37" s="7"/>
      <c r="DF37" s="7"/>
      <c r="DG37" s="39">
        <f t="shared" si="29"/>
        <v>0</v>
      </c>
      <c r="DH37" s="7"/>
      <c r="DI37" s="7"/>
      <c r="DJ37" s="7"/>
      <c r="DK37" s="39">
        <f t="shared" si="30"/>
        <v>0</v>
      </c>
      <c r="DL37" s="7"/>
      <c r="DM37" s="7"/>
      <c r="DN37" s="7"/>
      <c r="DO37" s="39">
        <f t="shared" si="31"/>
        <v>0</v>
      </c>
      <c r="DP37" s="7"/>
      <c r="DQ37" s="7"/>
      <c r="DR37" s="7"/>
      <c r="DS37" s="39">
        <f t="shared" si="32"/>
        <v>0</v>
      </c>
      <c r="DT37" s="7"/>
      <c r="DU37" s="7"/>
      <c r="DV37" s="7"/>
      <c r="DW37" s="39">
        <f t="shared" si="33"/>
        <v>0</v>
      </c>
      <c r="DX37" s="7"/>
      <c r="DY37" s="7"/>
      <c r="DZ37" s="7"/>
      <c r="EA37" s="39">
        <f t="shared" si="34"/>
        <v>0</v>
      </c>
      <c r="EB37" s="7"/>
      <c r="EC37" s="7"/>
      <c r="ED37" s="7"/>
      <c r="EE37" s="39">
        <f t="shared" si="35"/>
        <v>0</v>
      </c>
      <c r="EF37" s="7"/>
      <c r="EG37" s="7"/>
      <c r="EH37" s="7"/>
      <c r="EI37" s="39">
        <f t="shared" si="36"/>
        <v>0</v>
      </c>
      <c r="EJ37" s="7"/>
      <c r="EK37" s="7"/>
      <c r="EL37" s="7"/>
      <c r="EM37" s="39">
        <f t="shared" si="37"/>
        <v>0</v>
      </c>
      <c r="EN37" s="7"/>
      <c r="EO37" s="7"/>
      <c r="EP37" s="7"/>
      <c r="EQ37" s="39">
        <f t="shared" si="38"/>
        <v>0</v>
      </c>
      <c r="ER37" s="7"/>
      <c r="ES37" s="7"/>
      <c r="ET37" s="7"/>
      <c r="EU37" s="39">
        <f t="shared" si="39"/>
        <v>0</v>
      </c>
      <c r="EV37" s="7"/>
      <c r="EW37" s="7"/>
      <c r="EX37" s="7"/>
      <c r="EY37" s="39">
        <f t="shared" si="40"/>
        <v>0</v>
      </c>
      <c r="EZ37" s="7"/>
      <c r="FA37" s="7"/>
      <c r="FB37" s="7"/>
      <c r="FC37" s="39">
        <f t="shared" si="41"/>
        <v>0</v>
      </c>
      <c r="FD37" s="7"/>
      <c r="FE37" s="7"/>
      <c r="FF37" s="7"/>
      <c r="FG37" s="39">
        <f t="shared" si="42"/>
        <v>0</v>
      </c>
      <c r="FH37" s="7"/>
      <c r="FI37" s="7"/>
      <c r="FJ37" s="7"/>
      <c r="FK37" s="39">
        <f t="shared" si="43"/>
        <v>0</v>
      </c>
      <c r="FL37" s="7"/>
      <c r="FM37" s="7"/>
      <c r="FN37" s="7"/>
      <c r="FO37" s="39">
        <f t="shared" si="44"/>
        <v>0</v>
      </c>
      <c r="FP37" s="7"/>
      <c r="FQ37" s="7"/>
      <c r="FR37" s="7"/>
      <c r="FS37" s="39">
        <f t="shared" si="45"/>
        <v>0</v>
      </c>
      <c r="FT37" s="7"/>
      <c r="FU37" s="7"/>
      <c r="FV37" s="7"/>
      <c r="FW37" s="39">
        <f t="shared" si="46"/>
        <v>0</v>
      </c>
      <c r="FX37" s="7"/>
      <c r="FY37" s="7"/>
      <c r="FZ37" s="7"/>
      <c r="GA37" s="39">
        <f t="shared" si="47"/>
        <v>0</v>
      </c>
      <c r="GB37" s="7"/>
      <c r="GC37" s="7"/>
      <c r="GD37" s="7"/>
      <c r="GE37" s="39">
        <f t="shared" si="48"/>
        <v>0</v>
      </c>
      <c r="GF37" s="7"/>
      <c r="GG37" s="7"/>
      <c r="GH37" s="7"/>
      <c r="GI37" s="39">
        <f t="shared" si="49"/>
        <v>0</v>
      </c>
      <c r="GJ37" s="7"/>
      <c r="GK37" s="7"/>
      <c r="GL37" s="7"/>
      <c r="GM37" s="39">
        <f t="shared" si="50"/>
        <v>0</v>
      </c>
      <c r="GN37" s="7"/>
      <c r="GO37" s="7"/>
      <c r="GP37" s="7"/>
      <c r="GQ37" s="39">
        <f t="shared" si="64"/>
        <v>0</v>
      </c>
      <c r="GR37" s="7"/>
      <c r="GS37" s="7"/>
      <c r="GT37" s="7"/>
      <c r="GU37" s="39">
        <f t="shared" si="62"/>
        <v>0</v>
      </c>
      <c r="GV37" s="7"/>
      <c r="GW37" s="7"/>
      <c r="GX37" s="7"/>
      <c r="GY37" s="39">
        <f t="shared" si="53"/>
        <v>0</v>
      </c>
      <c r="GZ37" s="7">
        <v>1.0</v>
      </c>
      <c r="HA37" s="7">
        <v>1.0</v>
      </c>
      <c r="HB37" s="7"/>
      <c r="HC37" s="39">
        <f t="shared" si="63"/>
        <v>3</v>
      </c>
      <c r="HD37" s="7"/>
      <c r="HE37" s="7"/>
      <c r="HF37" s="7"/>
      <c r="HG37" s="39">
        <f t="shared" si="68"/>
        <v>0</v>
      </c>
      <c r="HH37" s="7"/>
      <c r="HI37" s="7"/>
      <c r="HJ37" s="7"/>
      <c r="HK37" s="39">
        <f t="shared" si="56"/>
        <v>0</v>
      </c>
    </row>
    <row r="38">
      <c r="A38" s="20" t="s">
        <v>36</v>
      </c>
      <c r="B38" s="21" t="s">
        <v>37</v>
      </c>
      <c r="C38" s="1">
        <f t="shared" si="1"/>
        <v>36</v>
      </c>
      <c r="D38" s="15">
        <f>VLOOKUP(A38,TDP!A:C,3,FALSE)</f>
        <v>0.37</v>
      </c>
      <c r="E38" s="37">
        <f t="shared" si="2"/>
        <v>0</v>
      </c>
      <c r="F38" s="7"/>
      <c r="G38" s="39">
        <f t="shared" si="65"/>
        <v>0</v>
      </c>
      <c r="H38" s="7"/>
      <c r="I38" s="7"/>
      <c r="J38" s="7"/>
      <c r="K38" s="39">
        <f t="shared" si="4"/>
        <v>0</v>
      </c>
      <c r="L38" s="7"/>
      <c r="M38" s="7"/>
      <c r="N38" s="7"/>
      <c r="O38" s="39">
        <f t="shared" si="72"/>
        <v>0</v>
      </c>
      <c r="P38" s="7"/>
      <c r="Q38" s="7"/>
      <c r="R38" s="7"/>
      <c r="S38" s="39">
        <f t="shared" si="6"/>
        <v>0</v>
      </c>
      <c r="T38" s="7"/>
      <c r="U38" s="7"/>
      <c r="V38" s="7"/>
      <c r="W38" s="39">
        <f t="shared" si="7"/>
        <v>0</v>
      </c>
      <c r="X38" s="7"/>
      <c r="Y38" s="7"/>
      <c r="Z38" s="7"/>
      <c r="AA38" s="39">
        <f t="shared" si="8"/>
        <v>0</v>
      </c>
      <c r="AB38" s="7"/>
      <c r="AC38" s="7"/>
      <c r="AD38" s="7"/>
      <c r="AE38" s="39">
        <f t="shared" si="9"/>
        <v>0</v>
      </c>
      <c r="AF38" s="7"/>
      <c r="AG38" s="7"/>
      <c r="AH38" s="7"/>
      <c r="AI38" s="39">
        <f t="shared" si="69"/>
        <v>0</v>
      </c>
      <c r="AJ38" s="7"/>
      <c r="AK38" s="7"/>
      <c r="AL38" s="7"/>
      <c r="AM38" s="39">
        <f t="shared" si="61"/>
        <v>0</v>
      </c>
      <c r="AN38" s="7"/>
      <c r="AO38" s="7"/>
      <c r="AP38" s="7"/>
      <c r="AQ38" s="39">
        <f t="shared" si="67"/>
        <v>0</v>
      </c>
      <c r="AR38" s="41"/>
      <c r="AS38" s="41"/>
      <c r="AT38" s="41"/>
      <c r="AU38" s="42">
        <f t="shared" si="13"/>
        <v>0</v>
      </c>
      <c r="AV38" s="7"/>
      <c r="AW38" s="7"/>
      <c r="AX38" s="7"/>
      <c r="AY38" s="39">
        <f t="shared" si="14"/>
        <v>0</v>
      </c>
      <c r="AZ38" s="7"/>
      <c r="BA38" s="7"/>
      <c r="BB38" s="7"/>
      <c r="BC38" s="39">
        <f t="shared" si="60"/>
        <v>0</v>
      </c>
      <c r="BD38" s="7"/>
      <c r="BE38" s="7"/>
      <c r="BF38" s="7"/>
      <c r="BG38" s="39">
        <f t="shared" si="16"/>
        <v>0</v>
      </c>
      <c r="BH38" s="7"/>
      <c r="BI38" s="7"/>
      <c r="BJ38" s="7"/>
      <c r="BK38" s="39">
        <f t="shared" si="17"/>
        <v>0</v>
      </c>
      <c r="BL38" s="7"/>
      <c r="BM38" s="7"/>
      <c r="BN38" s="7"/>
      <c r="BO38" s="39">
        <f t="shared" si="18"/>
        <v>0</v>
      </c>
      <c r="BP38" s="7"/>
      <c r="BQ38" s="7"/>
      <c r="BR38" s="7"/>
      <c r="BS38" s="39">
        <f t="shared" si="19"/>
        <v>0</v>
      </c>
      <c r="BT38" s="7"/>
      <c r="BU38" s="7"/>
      <c r="BV38" s="7"/>
      <c r="BW38" s="39">
        <f t="shared" si="20"/>
        <v>0</v>
      </c>
      <c r="BX38" s="7"/>
      <c r="BY38" s="7"/>
      <c r="BZ38" s="7"/>
      <c r="CA38" s="39">
        <f t="shared" si="21"/>
        <v>0</v>
      </c>
      <c r="CB38" s="7"/>
      <c r="CC38" s="7"/>
      <c r="CD38" s="7"/>
      <c r="CE38" s="39">
        <f t="shared" si="22"/>
        <v>0</v>
      </c>
      <c r="CF38" s="7"/>
      <c r="CG38" s="7"/>
      <c r="CH38" s="7"/>
      <c r="CI38" s="39">
        <f t="shared" si="23"/>
        <v>0</v>
      </c>
      <c r="CJ38" s="7"/>
      <c r="CK38" s="7"/>
      <c r="CL38" s="7"/>
      <c r="CM38" s="39">
        <f t="shared" si="24"/>
        <v>0</v>
      </c>
      <c r="CN38" s="7"/>
      <c r="CO38" s="7"/>
      <c r="CP38" s="7"/>
      <c r="CQ38" s="39">
        <f t="shared" si="25"/>
        <v>0</v>
      </c>
      <c r="CR38" s="7"/>
      <c r="CS38" s="7"/>
      <c r="CT38" s="7"/>
      <c r="CU38" s="39">
        <f t="shared" si="26"/>
        <v>0</v>
      </c>
      <c r="CV38" s="7"/>
      <c r="CW38" s="7"/>
      <c r="CX38" s="7"/>
      <c r="CY38" s="39">
        <f t="shared" si="27"/>
        <v>0</v>
      </c>
      <c r="CZ38" s="7"/>
      <c r="DA38" s="7"/>
      <c r="DB38" s="7"/>
      <c r="DC38" s="39">
        <f t="shared" si="28"/>
        <v>0</v>
      </c>
      <c r="DD38" s="7"/>
      <c r="DE38" s="7"/>
      <c r="DF38" s="7"/>
      <c r="DG38" s="39">
        <f t="shared" si="29"/>
        <v>0</v>
      </c>
      <c r="DH38" s="7"/>
      <c r="DI38" s="7"/>
      <c r="DJ38" s="7"/>
      <c r="DK38" s="39">
        <f t="shared" si="30"/>
        <v>0</v>
      </c>
      <c r="DL38" s="7"/>
      <c r="DM38" s="7"/>
      <c r="DN38" s="7"/>
      <c r="DO38" s="39">
        <f t="shared" si="31"/>
        <v>0</v>
      </c>
      <c r="DP38" s="7"/>
      <c r="DQ38" s="7"/>
      <c r="DR38" s="7"/>
      <c r="DS38" s="39">
        <f t="shared" si="32"/>
        <v>0</v>
      </c>
      <c r="DT38" s="7"/>
      <c r="DU38" s="7"/>
      <c r="DV38" s="7"/>
      <c r="DW38" s="39">
        <f t="shared" si="33"/>
        <v>0</v>
      </c>
      <c r="DX38" s="7"/>
      <c r="DY38" s="7"/>
      <c r="DZ38" s="7"/>
      <c r="EA38" s="39">
        <f t="shared" si="34"/>
        <v>0</v>
      </c>
      <c r="EB38" s="7"/>
      <c r="EC38" s="7"/>
      <c r="ED38" s="7"/>
      <c r="EE38" s="39">
        <f t="shared" si="35"/>
        <v>0</v>
      </c>
      <c r="EF38" s="7"/>
      <c r="EG38" s="7"/>
      <c r="EH38" s="7"/>
      <c r="EI38" s="39">
        <f t="shared" si="36"/>
        <v>0</v>
      </c>
      <c r="EJ38" s="7"/>
      <c r="EK38" s="7"/>
      <c r="EL38" s="7"/>
      <c r="EM38" s="39">
        <f t="shared" si="37"/>
        <v>0</v>
      </c>
      <c r="EN38" s="7"/>
      <c r="EO38" s="7"/>
      <c r="EP38" s="7"/>
      <c r="EQ38" s="39">
        <f t="shared" si="38"/>
        <v>0</v>
      </c>
      <c r="ER38" s="7"/>
      <c r="ES38" s="7"/>
      <c r="ET38" s="7"/>
      <c r="EU38" s="39">
        <f t="shared" si="39"/>
        <v>0</v>
      </c>
      <c r="EV38" s="7"/>
      <c r="EW38" s="7"/>
      <c r="EX38" s="7"/>
      <c r="EY38" s="39">
        <f t="shared" si="40"/>
        <v>0</v>
      </c>
      <c r="EZ38" s="7"/>
      <c r="FA38" s="7"/>
      <c r="FB38" s="7"/>
      <c r="FC38" s="39">
        <f t="shared" si="41"/>
        <v>0</v>
      </c>
      <c r="FD38" s="7"/>
      <c r="FE38" s="7"/>
      <c r="FF38" s="7"/>
      <c r="FG38" s="39">
        <f t="shared" si="42"/>
        <v>0</v>
      </c>
      <c r="FH38" s="7"/>
      <c r="FI38" s="7"/>
      <c r="FJ38" s="7"/>
      <c r="FK38" s="39">
        <f t="shared" si="43"/>
        <v>0</v>
      </c>
      <c r="FL38" s="7"/>
      <c r="FM38" s="7"/>
      <c r="FN38" s="7"/>
      <c r="FO38" s="39">
        <f t="shared" si="44"/>
        <v>0</v>
      </c>
      <c r="FP38" s="7"/>
      <c r="FQ38" s="7"/>
      <c r="FR38" s="7"/>
      <c r="FS38" s="39">
        <f t="shared" si="45"/>
        <v>0</v>
      </c>
      <c r="FT38" s="7"/>
      <c r="FU38" s="7"/>
      <c r="FV38" s="7"/>
      <c r="FW38" s="39">
        <f t="shared" si="46"/>
        <v>0</v>
      </c>
      <c r="FX38" s="7"/>
      <c r="FY38" s="7"/>
      <c r="FZ38" s="7"/>
      <c r="GA38" s="39">
        <f t="shared" si="47"/>
        <v>0</v>
      </c>
      <c r="GB38" s="7"/>
      <c r="GC38" s="7"/>
      <c r="GD38" s="7"/>
      <c r="GE38" s="39">
        <f t="shared" si="48"/>
        <v>0</v>
      </c>
      <c r="GF38" s="7"/>
      <c r="GG38" s="7"/>
      <c r="GH38" s="7"/>
      <c r="GI38" s="39">
        <f t="shared" si="49"/>
        <v>0</v>
      </c>
      <c r="GJ38" s="7"/>
      <c r="GK38" s="7"/>
      <c r="GL38" s="7"/>
      <c r="GM38" s="39">
        <f t="shared" si="50"/>
        <v>0</v>
      </c>
      <c r="GN38" s="7"/>
      <c r="GO38" s="7"/>
      <c r="GP38" s="7"/>
      <c r="GQ38" s="39">
        <f t="shared" si="64"/>
        <v>0</v>
      </c>
      <c r="GR38" s="7"/>
      <c r="GS38" s="7"/>
      <c r="GT38" s="7"/>
      <c r="GU38" s="39">
        <f t="shared" si="62"/>
        <v>0</v>
      </c>
      <c r="GV38" s="7"/>
      <c r="GW38" s="7"/>
      <c r="GX38" s="7"/>
      <c r="GY38" s="39">
        <f t="shared" si="53"/>
        <v>0</v>
      </c>
      <c r="GZ38" s="7"/>
      <c r="HA38" s="7"/>
      <c r="HB38" s="7"/>
      <c r="HC38" s="39">
        <f t="shared" si="63"/>
        <v>0</v>
      </c>
      <c r="HD38" s="7"/>
      <c r="HE38" s="7"/>
      <c r="HF38" s="7"/>
      <c r="HG38" s="39">
        <f t="shared" si="68"/>
        <v>0</v>
      </c>
      <c r="HH38" s="7"/>
      <c r="HI38" s="7"/>
      <c r="HJ38" s="7"/>
      <c r="HK38" s="39">
        <f t="shared" si="56"/>
        <v>0</v>
      </c>
    </row>
    <row r="39">
      <c r="A39" s="20" t="s">
        <v>80</v>
      </c>
      <c r="B39" s="21" t="s">
        <v>81</v>
      </c>
      <c r="C39" s="1">
        <f t="shared" si="1"/>
        <v>37</v>
      </c>
      <c r="D39" s="15">
        <f>VLOOKUP(A39,TDP!A:C,3,FALSE)</f>
        <v>0.22</v>
      </c>
      <c r="E39" s="37">
        <f t="shared" si="2"/>
        <v>0</v>
      </c>
      <c r="F39" s="7"/>
      <c r="G39" s="39">
        <f t="shared" si="65"/>
        <v>0</v>
      </c>
      <c r="H39" s="7"/>
      <c r="I39" s="7"/>
      <c r="J39" s="7"/>
      <c r="K39" s="39">
        <f t="shared" si="4"/>
        <v>0</v>
      </c>
      <c r="L39" s="7"/>
      <c r="M39" s="7"/>
      <c r="N39" s="7"/>
      <c r="O39" s="39">
        <f t="shared" si="72"/>
        <v>0</v>
      </c>
      <c r="P39" s="7"/>
      <c r="Q39" s="7"/>
      <c r="R39" s="7"/>
      <c r="S39" s="39">
        <f t="shared" si="6"/>
        <v>0</v>
      </c>
      <c r="T39" s="7"/>
      <c r="U39" s="7"/>
      <c r="V39" s="7"/>
      <c r="W39" s="39">
        <f t="shared" si="7"/>
        <v>0</v>
      </c>
      <c r="X39" s="7"/>
      <c r="Y39" s="7"/>
      <c r="Z39" s="7"/>
      <c r="AA39" s="39">
        <f t="shared" si="8"/>
        <v>0</v>
      </c>
      <c r="AB39" s="7"/>
      <c r="AC39" s="7"/>
      <c r="AD39" s="7"/>
      <c r="AE39" s="39">
        <f t="shared" si="9"/>
        <v>0</v>
      </c>
      <c r="AF39" s="7"/>
      <c r="AG39" s="7"/>
      <c r="AH39" s="7"/>
      <c r="AI39" s="39">
        <f t="shared" si="69"/>
        <v>0</v>
      </c>
      <c r="AJ39" s="7"/>
      <c r="AK39" s="7"/>
      <c r="AL39" s="7"/>
      <c r="AM39" s="39">
        <f t="shared" si="61"/>
        <v>0</v>
      </c>
      <c r="AN39" s="7"/>
      <c r="AO39" s="7"/>
      <c r="AP39" s="7"/>
      <c r="AQ39" s="39">
        <f t="shared" si="67"/>
        <v>0</v>
      </c>
      <c r="AR39" s="41"/>
      <c r="AS39" s="41"/>
      <c r="AT39" s="41"/>
      <c r="AU39" s="42">
        <f t="shared" si="13"/>
        <v>0</v>
      </c>
      <c r="AV39" s="7"/>
      <c r="AW39" s="7"/>
      <c r="AX39" s="7"/>
      <c r="AY39" s="39">
        <f t="shared" si="14"/>
        <v>0</v>
      </c>
      <c r="AZ39" s="7"/>
      <c r="BA39" s="7"/>
      <c r="BB39" s="7"/>
      <c r="BC39" s="39">
        <f t="shared" si="60"/>
        <v>0</v>
      </c>
      <c r="BD39" s="7"/>
      <c r="BE39" s="7"/>
      <c r="BF39" s="7"/>
      <c r="BG39" s="39">
        <f t="shared" si="16"/>
        <v>0</v>
      </c>
      <c r="BH39" s="7"/>
      <c r="BI39" s="7"/>
      <c r="BJ39" s="7"/>
      <c r="BK39" s="39">
        <f t="shared" si="17"/>
        <v>0</v>
      </c>
      <c r="BL39" s="7"/>
      <c r="BM39" s="7"/>
      <c r="BN39" s="7"/>
      <c r="BO39" s="39">
        <f t="shared" si="18"/>
        <v>0</v>
      </c>
      <c r="BP39" s="7"/>
      <c r="BQ39" s="7"/>
      <c r="BR39" s="7"/>
      <c r="BS39" s="39">
        <f t="shared" si="19"/>
        <v>0</v>
      </c>
      <c r="BT39" s="7"/>
      <c r="BU39" s="7"/>
      <c r="BV39" s="7"/>
      <c r="BW39" s="39">
        <f t="shared" si="20"/>
        <v>0</v>
      </c>
      <c r="BX39" s="7"/>
      <c r="BY39" s="7"/>
      <c r="BZ39" s="7"/>
      <c r="CA39" s="39">
        <f t="shared" si="21"/>
        <v>0</v>
      </c>
      <c r="CB39" s="7"/>
      <c r="CC39" s="7"/>
      <c r="CD39" s="7"/>
      <c r="CE39" s="39">
        <f t="shared" si="22"/>
        <v>0</v>
      </c>
      <c r="CF39" s="7"/>
      <c r="CG39" s="7"/>
      <c r="CH39" s="7"/>
      <c r="CI39" s="39">
        <f t="shared" si="23"/>
        <v>0</v>
      </c>
      <c r="CJ39" s="7"/>
      <c r="CK39" s="7"/>
      <c r="CL39" s="7"/>
      <c r="CM39" s="39">
        <f t="shared" si="24"/>
        <v>0</v>
      </c>
      <c r="CN39" s="7"/>
      <c r="CO39" s="7"/>
      <c r="CP39" s="7"/>
      <c r="CQ39" s="39">
        <f t="shared" si="25"/>
        <v>0</v>
      </c>
      <c r="CR39" s="7"/>
      <c r="CS39" s="7"/>
      <c r="CT39" s="7"/>
      <c r="CU39" s="39">
        <f t="shared" si="26"/>
        <v>0</v>
      </c>
      <c r="CV39" s="7"/>
      <c r="CW39" s="7"/>
      <c r="CX39" s="7"/>
      <c r="CY39" s="39">
        <f t="shared" si="27"/>
        <v>0</v>
      </c>
      <c r="CZ39" s="7"/>
      <c r="DA39" s="7"/>
      <c r="DB39" s="7"/>
      <c r="DC39" s="39">
        <f t="shared" si="28"/>
        <v>0</v>
      </c>
      <c r="DD39" s="7"/>
      <c r="DE39" s="7"/>
      <c r="DF39" s="7"/>
      <c r="DG39" s="39">
        <f t="shared" si="29"/>
        <v>0</v>
      </c>
      <c r="DH39" s="7"/>
      <c r="DI39" s="7"/>
      <c r="DJ39" s="7"/>
      <c r="DK39" s="39">
        <f t="shared" si="30"/>
        <v>0</v>
      </c>
      <c r="DL39" s="7"/>
      <c r="DM39" s="7"/>
      <c r="DN39" s="7"/>
      <c r="DO39" s="39">
        <f t="shared" si="31"/>
        <v>0</v>
      </c>
      <c r="DP39" s="7"/>
      <c r="DQ39" s="7"/>
      <c r="DR39" s="7"/>
      <c r="DS39" s="39">
        <f t="shared" si="32"/>
        <v>0</v>
      </c>
      <c r="DT39" s="7"/>
      <c r="DU39" s="7"/>
      <c r="DV39" s="7"/>
      <c r="DW39" s="39">
        <f t="shared" si="33"/>
        <v>0</v>
      </c>
      <c r="DX39" s="7"/>
      <c r="DY39" s="7"/>
      <c r="DZ39" s="7"/>
      <c r="EA39" s="39">
        <f t="shared" si="34"/>
        <v>0</v>
      </c>
      <c r="EB39" s="7"/>
      <c r="EC39" s="7"/>
      <c r="ED39" s="7"/>
      <c r="EE39" s="39">
        <f t="shared" si="35"/>
        <v>0</v>
      </c>
      <c r="EF39" s="7"/>
      <c r="EG39" s="7"/>
      <c r="EH39" s="7"/>
      <c r="EI39" s="39">
        <f t="shared" si="36"/>
        <v>0</v>
      </c>
      <c r="EJ39" s="7"/>
      <c r="EK39" s="7"/>
      <c r="EL39" s="7"/>
      <c r="EM39" s="39">
        <f t="shared" si="37"/>
        <v>0</v>
      </c>
      <c r="EN39" s="7"/>
      <c r="EO39" s="7"/>
      <c r="EP39" s="7"/>
      <c r="EQ39" s="39">
        <f t="shared" si="38"/>
        <v>0</v>
      </c>
      <c r="ER39" s="7"/>
      <c r="ES39" s="7"/>
      <c r="ET39" s="7"/>
      <c r="EU39" s="39">
        <f t="shared" si="39"/>
        <v>0</v>
      </c>
      <c r="EV39" s="7"/>
      <c r="EW39" s="7"/>
      <c r="EX39" s="7"/>
      <c r="EY39" s="39">
        <f t="shared" si="40"/>
        <v>0</v>
      </c>
      <c r="EZ39" s="7"/>
      <c r="FA39" s="7"/>
      <c r="FB39" s="7"/>
      <c r="FC39" s="39">
        <f t="shared" si="41"/>
        <v>0</v>
      </c>
      <c r="FD39" s="7"/>
      <c r="FE39" s="7"/>
      <c r="FF39" s="7"/>
      <c r="FG39" s="39">
        <f t="shared" si="42"/>
        <v>0</v>
      </c>
      <c r="FH39" s="7"/>
      <c r="FI39" s="7"/>
      <c r="FJ39" s="7"/>
      <c r="FK39" s="39">
        <f t="shared" si="43"/>
        <v>0</v>
      </c>
      <c r="FL39" s="7"/>
      <c r="FM39" s="7"/>
      <c r="FN39" s="7"/>
      <c r="FO39" s="39">
        <f t="shared" si="44"/>
        <v>0</v>
      </c>
      <c r="FP39" s="7"/>
      <c r="FQ39" s="7"/>
      <c r="FR39" s="7"/>
      <c r="FS39" s="39">
        <f t="shared" si="45"/>
        <v>0</v>
      </c>
      <c r="FT39" s="7"/>
      <c r="FU39" s="7"/>
      <c r="FV39" s="7"/>
      <c r="FW39" s="39">
        <f t="shared" si="46"/>
        <v>0</v>
      </c>
      <c r="FX39" s="7"/>
      <c r="FY39" s="7"/>
      <c r="FZ39" s="7"/>
      <c r="GA39" s="39">
        <f t="shared" si="47"/>
        <v>0</v>
      </c>
      <c r="GB39" s="7"/>
      <c r="GC39" s="7"/>
      <c r="GD39" s="7"/>
      <c r="GE39" s="39">
        <f t="shared" si="48"/>
        <v>0</v>
      </c>
      <c r="GF39" s="7"/>
      <c r="GG39" s="7"/>
      <c r="GH39" s="7"/>
      <c r="GI39" s="39">
        <f t="shared" si="49"/>
        <v>0</v>
      </c>
      <c r="GJ39" s="7"/>
      <c r="GK39" s="7"/>
      <c r="GL39" s="7"/>
      <c r="GM39" s="39">
        <f t="shared" si="50"/>
        <v>0</v>
      </c>
      <c r="GN39" s="7"/>
      <c r="GO39" s="7"/>
      <c r="GP39" s="7"/>
      <c r="GQ39" s="39">
        <f t="shared" si="64"/>
        <v>0</v>
      </c>
      <c r="GR39" s="7"/>
      <c r="GS39" s="7"/>
      <c r="GT39" s="7"/>
      <c r="GU39" s="39">
        <f t="shared" si="62"/>
        <v>0</v>
      </c>
      <c r="GV39" s="7"/>
      <c r="GW39" s="7"/>
      <c r="GX39" s="7"/>
      <c r="GY39" s="39">
        <f t="shared" si="53"/>
        <v>0</v>
      </c>
      <c r="GZ39" s="7"/>
      <c r="HA39" s="7"/>
      <c r="HB39" s="7"/>
      <c r="HC39" s="39">
        <f t="shared" si="63"/>
        <v>0</v>
      </c>
      <c r="HD39" s="7"/>
      <c r="HE39" s="7"/>
      <c r="HF39" s="7"/>
      <c r="HG39" s="39">
        <f t="shared" si="68"/>
        <v>0</v>
      </c>
      <c r="HH39" s="7"/>
      <c r="HI39" s="7"/>
      <c r="HJ39" s="7"/>
      <c r="HK39" s="39">
        <f t="shared" si="56"/>
        <v>0</v>
      </c>
    </row>
    <row r="40">
      <c r="A40" s="20" t="s">
        <v>82</v>
      </c>
      <c r="B40" s="21" t="s">
        <v>83</v>
      </c>
      <c r="C40" s="1">
        <f t="shared" si="1"/>
        <v>38</v>
      </c>
      <c r="D40" s="15">
        <f>VLOOKUP(A40,TDP!A:C,3,FALSE)</f>
        <v>0.25</v>
      </c>
      <c r="E40" s="37">
        <f t="shared" si="2"/>
        <v>0</v>
      </c>
      <c r="F40" s="7"/>
      <c r="G40" s="39">
        <f t="shared" si="65"/>
        <v>0</v>
      </c>
      <c r="H40" s="7"/>
      <c r="I40" s="7"/>
      <c r="J40" s="7"/>
      <c r="K40" s="39">
        <f t="shared" si="4"/>
        <v>0</v>
      </c>
      <c r="L40" s="7"/>
      <c r="M40" s="7"/>
      <c r="N40" s="7"/>
      <c r="O40" s="39">
        <f t="shared" si="72"/>
        <v>0</v>
      </c>
      <c r="P40" s="7"/>
      <c r="Q40" s="7"/>
      <c r="R40" s="7"/>
      <c r="S40" s="39">
        <f t="shared" si="6"/>
        <v>0</v>
      </c>
      <c r="T40" s="7"/>
      <c r="U40" s="7"/>
      <c r="V40" s="7"/>
      <c r="W40" s="39">
        <f t="shared" si="7"/>
        <v>0</v>
      </c>
      <c r="X40" s="7"/>
      <c r="Y40" s="7"/>
      <c r="Z40" s="7"/>
      <c r="AA40" s="39">
        <f t="shared" si="8"/>
        <v>0</v>
      </c>
      <c r="AB40" s="7"/>
      <c r="AC40" s="7"/>
      <c r="AD40" s="7"/>
      <c r="AE40" s="39">
        <f t="shared" si="9"/>
        <v>0</v>
      </c>
      <c r="AF40" s="7"/>
      <c r="AG40" s="7"/>
      <c r="AH40" s="7"/>
      <c r="AI40" s="39">
        <f t="shared" si="69"/>
        <v>0</v>
      </c>
      <c r="AJ40" s="7"/>
      <c r="AK40" s="7"/>
      <c r="AL40" s="7"/>
      <c r="AM40" s="39">
        <f t="shared" si="61"/>
        <v>0</v>
      </c>
      <c r="AN40" s="7"/>
      <c r="AO40" s="7"/>
      <c r="AP40" s="7"/>
      <c r="AQ40" s="39">
        <f t="shared" si="67"/>
        <v>0</v>
      </c>
      <c r="AR40" s="41"/>
      <c r="AS40" s="41"/>
      <c r="AT40" s="41"/>
      <c r="AU40" s="42">
        <f t="shared" si="13"/>
        <v>0</v>
      </c>
      <c r="AV40" s="7"/>
      <c r="AW40" s="7"/>
      <c r="AX40" s="7"/>
      <c r="AY40" s="39">
        <f t="shared" si="14"/>
        <v>0</v>
      </c>
      <c r="AZ40" s="7"/>
      <c r="BA40" s="7"/>
      <c r="BB40" s="7"/>
      <c r="BC40" s="39">
        <f t="shared" si="60"/>
        <v>0</v>
      </c>
      <c r="BD40" s="7"/>
      <c r="BE40" s="7"/>
      <c r="BF40" s="7"/>
      <c r="BG40" s="39">
        <f t="shared" si="16"/>
        <v>0</v>
      </c>
      <c r="BH40" s="7"/>
      <c r="BI40" s="7"/>
      <c r="BJ40" s="7"/>
      <c r="BK40" s="39">
        <f t="shared" si="17"/>
        <v>0</v>
      </c>
      <c r="BL40" s="7"/>
      <c r="BM40" s="7"/>
      <c r="BN40" s="7"/>
      <c r="BO40" s="39">
        <f t="shared" si="18"/>
        <v>0</v>
      </c>
      <c r="BP40" s="7"/>
      <c r="BQ40" s="7"/>
      <c r="BR40" s="7"/>
      <c r="BS40" s="39">
        <f t="shared" si="19"/>
        <v>0</v>
      </c>
      <c r="BT40" s="7"/>
      <c r="BU40" s="7"/>
      <c r="BV40" s="7"/>
      <c r="BW40" s="39">
        <f t="shared" si="20"/>
        <v>0</v>
      </c>
      <c r="BX40" s="7"/>
      <c r="BY40" s="7"/>
      <c r="BZ40" s="7"/>
      <c r="CA40" s="39">
        <f t="shared" si="21"/>
        <v>0</v>
      </c>
      <c r="CB40" s="7"/>
      <c r="CC40" s="7"/>
      <c r="CD40" s="7"/>
      <c r="CE40" s="39">
        <f t="shared" si="22"/>
        <v>0</v>
      </c>
      <c r="CF40" s="7"/>
      <c r="CG40" s="7"/>
      <c r="CH40" s="7"/>
      <c r="CI40" s="39">
        <f t="shared" si="23"/>
        <v>0</v>
      </c>
      <c r="CJ40" s="7"/>
      <c r="CK40" s="7"/>
      <c r="CL40" s="7"/>
      <c r="CM40" s="39">
        <f t="shared" si="24"/>
        <v>0</v>
      </c>
      <c r="CN40" s="7"/>
      <c r="CO40" s="7"/>
      <c r="CP40" s="7"/>
      <c r="CQ40" s="39">
        <f t="shared" si="25"/>
        <v>0</v>
      </c>
      <c r="CR40" s="7"/>
      <c r="CS40" s="7"/>
      <c r="CT40" s="7"/>
      <c r="CU40" s="39">
        <f t="shared" si="26"/>
        <v>0</v>
      </c>
      <c r="CV40" s="7"/>
      <c r="CW40" s="7"/>
      <c r="CX40" s="7"/>
      <c r="CY40" s="39">
        <f t="shared" si="27"/>
        <v>0</v>
      </c>
      <c r="CZ40" s="7"/>
      <c r="DA40" s="7"/>
      <c r="DB40" s="7"/>
      <c r="DC40" s="39">
        <f t="shared" si="28"/>
        <v>0</v>
      </c>
      <c r="DD40" s="7"/>
      <c r="DE40" s="7"/>
      <c r="DF40" s="7"/>
      <c r="DG40" s="39">
        <f t="shared" si="29"/>
        <v>0</v>
      </c>
      <c r="DH40" s="7"/>
      <c r="DI40" s="7"/>
      <c r="DJ40" s="7"/>
      <c r="DK40" s="39">
        <f t="shared" si="30"/>
        <v>0</v>
      </c>
      <c r="DL40" s="7"/>
      <c r="DM40" s="7"/>
      <c r="DN40" s="7"/>
      <c r="DO40" s="39">
        <f t="shared" si="31"/>
        <v>0</v>
      </c>
      <c r="DP40" s="7"/>
      <c r="DQ40" s="7"/>
      <c r="DR40" s="7"/>
      <c r="DS40" s="39">
        <f t="shared" si="32"/>
        <v>0</v>
      </c>
      <c r="DT40" s="7"/>
      <c r="DU40" s="7"/>
      <c r="DV40" s="7"/>
      <c r="DW40" s="39">
        <f t="shared" si="33"/>
        <v>0</v>
      </c>
      <c r="DX40" s="7"/>
      <c r="DY40" s="7"/>
      <c r="DZ40" s="7"/>
      <c r="EA40" s="39">
        <f t="shared" si="34"/>
        <v>0</v>
      </c>
      <c r="EB40" s="7"/>
      <c r="EC40" s="7"/>
      <c r="ED40" s="7"/>
      <c r="EE40" s="39">
        <f t="shared" si="35"/>
        <v>0</v>
      </c>
      <c r="EF40" s="7"/>
      <c r="EG40" s="7"/>
      <c r="EH40" s="7"/>
      <c r="EI40" s="39">
        <f t="shared" si="36"/>
        <v>0</v>
      </c>
      <c r="EJ40" s="7"/>
      <c r="EK40" s="7"/>
      <c r="EL40" s="7"/>
      <c r="EM40" s="39">
        <f t="shared" si="37"/>
        <v>0</v>
      </c>
      <c r="EN40" s="7"/>
      <c r="EO40" s="7"/>
      <c r="EP40" s="7"/>
      <c r="EQ40" s="39">
        <f t="shared" si="38"/>
        <v>0</v>
      </c>
      <c r="ER40" s="7"/>
      <c r="ES40" s="7"/>
      <c r="ET40" s="7"/>
      <c r="EU40" s="39">
        <f t="shared" si="39"/>
        <v>0</v>
      </c>
      <c r="EV40" s="7"/>
      <c r="EW40" s="7"/>
      <c r="EX40" s="7"/>
      <c r="EY40" s="39">
        <f t="shared" si="40"/>
        <v>0</v>
      </c>
      <c r="EZ40" s="7"/>
      <c r="FA40" s="7"/>
      <c r="FB40" s="7"/>
      <c r="FC40" s="39">
        <f t="shared" si="41"/>
        <v>0</v>
      </c>
      <c r="FD40" s="7"/>
      <c r="FE40" s="7"/>
      <c r="FF40" s="7"/>
      <c r="FG40" s="39">
        <f t="shared" si="42"/>
        <v>0</v>
      </c>
      <c r="FH40" s="7"/>
      <c r="FI40" s="7"/>
      <c r="FJ40" s="7"/>
      <c r="FK40" s="39">
        <f t="shared" si="43"/>
        <v>0</v>
      </c>
      <c r="FL40" s="7"/>
      <c r="FM40" s="7"/>
      <c r="FN40" s="7"/>
      <c r="FO40" s="39">
        <f t="shared" si="44"/>
        <v>0</v>
      </c>
      <c r="FP40" s="7"/>
      <c r="FQ40" s="7"/>
      <c r="FR40" s="7"/>
      <c r="FS40" s="39">
        <f t="shared" si="45"/>
        <v>0</v>
      </c>
      <c r="FT40" s="7"/>
      <c r="FU40" s="7"/>
      <c r="FV40" s="7"/>
      <c r="FW40" s="39">
        <f t="shared" si="46"/>
        <v>0</v>
      </c>
      <c r="FX40" s="7"/>
      <c r="FY40" s="7"/>
      <c r="FZ40" s="7"/>
      <c r="GA40" s="39">
        <f t="shared" si="47"/>
        <v>0</v>
      </c>
      <c r="GB40" s="7"/>
      <c r="GC40" s="7"/>
      <c r="GD40" s="7"/>
      <c r="GE40" s="39">
        <f t="shared" si="48"/>
        <v>0</v>
      </c>
      <c r="GF40" s="7"/>
      <c r="GG40" s="7"/>
      <c r="GH40" s="7"/>
      <c r="GI40" s="39">
        <f t="shared" si="49"/>
        <v>0</v>
      </c>
      <c r="GJ40" s="7"/>
      <c r="GK40" s="7"/>
      <c r="GL40" s="7"/>
      <c r="GM40" s="39">
        <f t="shared" si="50"/>
        <v>0</v>
      </c>
      <c r="GN40" s="7"/>
      <c r="GO40" s="7"/>
      <c r="GP40" s="7"/>
      <c r="GQ40" s="39">
        <f t="shared" si="64"/>
        <v>0</v>
      </c>
      <c r="GR40" s="7"/>
      <c r="GS40" s="7"/>
      <c r="GT40" s="7"/>
      <c r="GU40" s="39">
        <f t="shared" si="62"/>
        <v>0</v>
      </c>
      <c r="GV40" s="7"/>
      <c r="GW40" s="7"/>
      <c r="GX40" s="7"/>
      <c r="GY40" s="39">
        <f t="shared" si="53"/>
        <v>0</v>
      </c>
      <c r="GZ40" s="7"/>
      <c r="HA40" s="7"/>
      <c r="HB40" s="7"/>
      <c r="HC40" s="39">
        <f t="shared" si="63"/>
        <v>0</v>
      </c>
      <c r="HD40" s="7"/>
      <c r="HE40" s="7"/>
      <c r="HF40" s="7"/>
      <c r="HG40" s="39">
        <f t="shared" si="68"/>
        <v>0</v>
      </c>
      <c r="HH40" s="7"/>
      <c r="HI40" s="7"/>
      <c r="HJ40" s="7"/>
      <c r="HK40" s="39">
        <f t="shared" si="56"/>
        <v>0</v>
      </c>
    </row>
    <row r="41">
      <c r="A41" s="20" t="s">
        <v>94</v>
      </c>
      <c r="B41" s="21"/>
      <c r="C41" s="1">
        <f t="shared" si="1"/>
        <v>39</v>
      </c>
      <c r="D41" s="15">
        <f>VLOOKUP(A41,TDP!A:C,3,FALSE)</f>
        <v>0.12</v>
      </c>
      <c r="E41" s="37">
        <f t="shared" si="2"/>
        <v>0</v>
      </c>
      <c r="F41" s="7"/>
      <c r="G41" s="39">
        <f t="shared" si="65"/>
        <v>0</v>
      </c>
      <c r="H41" s="7"/>
      <c r="I41" s="7"/>
      <c r="J41" s="7"/>
      <c r="K41" s="39">
        <f t="shared" si="4"/>
        <v>0</v>
      </c>
      <c r="L41" s="7"/>
      <c r="M41" s="7"/>
      <c r="N41" s="7"/>
      <c r="O41" s="39">
        <f t="shared" si="72"/>
        <v>0</v>
      </c>
      <c r="P41" s="7"/>
      <c r="Q41" s="7"/>
      <c r="R41" s="7"/>
      <c r="S41" s="39">
        <f t="shared" si="6"/>
        <v>0</v>
      </c>
      <c r="T41" s="7"/>
      <c r="U41" s="7"/>
      <c r="V41" s="7"/>
      <c r="W41" s="39">
        <f t="shared" si="7"/>
        <v>0</v>
      </c>
      <c r="X41" s="7"/>
      <c r="Y41" s="7"/>
      <c r="Z41" s="7"/>
      <c r="AA41" s="39">
        <f t="shared" si="8"/>
        <v>0</v>
      </c>
      <c r="AB41" s="7"/>
      <c r="AC41" s="7"/>
      <c r="AD41" s="7"/>
      <c r="AE41" s="39">
        <f t="shared" si="9"/>
        <v>0</v>
      </c>
      <c r="AF41" s="7"/>
      <c r="AG41" s="7"/>
      <c r="AH41" s="7"/>
      <c r="AI41" s="39">
        <f t="shared" si="69"/>
        <v>0</v>
      </c>
      <c r="AJ41" s="7"/>
      <c r="AK41" s="7"/>
      <c r="AL41" s="7"/>
      <c r="AM41" s="39">
        <f t="shared" si="61"/>
        <v>0</v>
      </c>
      <c r="AN41" s="7"/>
      <c r="AO41" s="7"/>
      <c r="AP41" s="7"/>
      <c r="AQ41" s="39">
        <f t="shared" si="67"/>
        <v>0</v>
      </c>
      <c r="AR41" s="41"/>
      <c r="AS41" s="41"/>
      <c r="AT41" s="41"/>
      <c r="AU41" s="42">
        <f t="shared" si="13"/>
        <v>0</v>
      </c>
      <c r="AV41" s="7"/>
      <c r="AW41" s="7"/>
      <c r="AX41" s="7"/>
      <c r="AY41" s="39">
        <f t="shared" si="14"/>
        <v>0</v>
      </c>
      <c r="AZ41" s="7"/>
      <c r="BA41" s="7"/>
      <c r="BB41" s="7"/>
      <c r="BC41" s="39">
        <f t="shared" si="60"/>
        <v>0</v>
      </c>
      <c r="BD41" s="7"/>
      <c r="BE41" s="7"/>
      <c r="BF41" s="7"/>
      <c r="BG41" s="39">
        <f t="shared" si="16"/>
        <v>0</v>
      </c>
      <c r="BH41" s="7"/>
      <c r="BI41" s="7"/>
      <c r="BJ41" s="7"/>
      <c r="BK41" s="39">
        <f t="shared" si="17"/>
        <v>0</v>
      </c>
      <c r="BL41" s="7"/>
      <c r="BM41" s="7"/>
      <c r="BN41" s="7"/>
      <c r="BO41" s="39">
        <f t="shared" si="18"/>
        <v>0</v>
      </c>
      <c r="BP41" s="7"/>
      <c r="BQ41" s="7"/>
      <c r="BR41" s="7"/>
      <c r="BS41" s="39">
        <f t="shared" si="19"/>
        <v>0</v>
      </c>
      <c r="BT41" s="7"/>
      <c r="BU41" s="7"/>
      <c r="BV41" s="7"/>
      <c r="BW41" s="39">
        <f t="shared" si="20"/>
        <v>0</v>
      </c>
      <c r="BX41" s="7"/>
      <c r="BY41" s="7"/>
      <c r="BZ41" s="7"/>
      <c r="CA41" s="39">
        <f t="shared" si="21"/>
        <v>0</v>
      </c>
      <c r="CB41" s="7"/>
      <c r="CC41" s="7"/>
      <c r="CD41" s="7"/>
      <c r="CE41" s="39">
        <f t="shared" si="22"/>
        <v>0</v>
      </c>
      <c r="CF41" s="7"/>
      <c r="CG41" s="7"/>
      <c r="CH41" s="7"/>
      <c r="CI41" s="39">
        <f t="shared" si="23"/>
        <v>0</v>
      </c>
      <c r="CJ41" s="7"/>
      <c r="CK41" s="7"/>
      <c r="CL41" s="7"/>
      <c r="CM41" s="39">
        <f t="shared" si="24"/>
        <v>0</v>
      </c>
      <c r="CN41" s="7"/>
      <c r="CO41" s="7"/>
      <c r="CP41" s="7"/>
      <c r="CQ41" s="39">
        <f t="shared" si="25"/>
        <v>0</v>
      </c>
      <c r="CR41" s="7"/>
      <c r="CS41" s="7"/>
      <c r="CT41" s="7"/>
      <c r="CU41" s="39">
        <f t="shared" si="26"/>
        <v>0</v>
      </c>
      <c r="CV41" s="7"/>
      <c r="CW41" s="7"/>
      <c r="CX41" s="7"/>
      <c r="CY41" s="39">
        <f t="shared" si="27"/>
        <v>0</v>
      </c>
      <c r="CZ41" s="7"/>
      <c r="DA41" s="7"/>
      <c r="DB41" s="7"/>
      <c r="DC41" s="39">
        <f t="shared" si="28"/>
        <v>0</v>
      </c>
      <c r="DD41" s="7"/>
      <c r="DE41" s="7"/>
      <c r="DF41" s="7"/>
      <c r="DG41" s="39">
        <f t="shared" si="29"/>
        <v>0</v>
      </c>
      <c r="DH41" s="7"/>
      <c r="DI41" s="7"/>
      <c r="DJ41" s="7"/>
      <c r="DK41" s="39">
        <f t="shared" si="30"/>
        <v>0</v>
      </c>
      <c r="DL41" s="7"/>
      <c r="DM41" s="7"/>
      <c r="DN41" s="7"/>
      <c r="DO41" s="39">
        <f t="shared" si="31"/>
        <v>0</v>
      </c>
      <c r="DP41" s="7"/>
      <c r="DQ41" s="7"/>
      <c r="DR41" s="7"/>
      <c r="DS41" s="39">
        <f t="shared" si="32"/>
        <v>0</v>
      </c>
      <c r="DT41" s="7"/>
      <c r="DU41" s="7"/>
      <c r="DV41" s="7"/>
      <c r="DW41" s="39">
        <f t="shared" si="33"/>
        <v>0</v>
      </c>
      <c r="DX41" s="7"/>
      <c r="DY41" s="7"/>
      <c r="DZ41" s="7"/>
      <c r="EA41" s="39">
        <f t="shared" si="34"/>
        <v>0</v>
      </c>
      <c r="EB41" s="7"/>
      <c r="EC41" s="7"/>
      <c r="ED41" s="7"/>
      <c r="EE41" s="39">
        <f t="shared" si="35"/>
        <v>0</v>
      </c>
      <c r="EF41" s="7"/>
      <c r="EG41" s="7"/>
      <c r="EH41" s="7"/>
      <c r="EI41" s="39">
        <f t="shared" si="36"/>
        <v>0</v>
      </c>
      <c r="EJ41" s="7"/>
      <c r="EK41" s="7"/>
      <c r="EL41" s="7"/>
      <c r="EM41" s="39">
        <f t="shared" si="37"/>
        <v>0</v>
      </c>
      <c r="EN41" s="7"/>
      <c r="EO41" s="7"/>
      <c r="EP41" s="7"/>
      <c r="EQ41" s="39">
        <f t="shared" si="38"/>
        <v>0</v>
      </c>
      <c r="ER41" s="7"/>
      <c r="ES41" s="7"/>
      <c r="ET41" s="7"/>
      <c r="EU41" s="39">
        <f t="shared" si="39"/>
        <v>0</v>
      </c>
      <c r="EV41" s="7"/>
      <c r="EW41" s="7"/>
      <c r="EX41" s="7"/>
      <c r="EY41" s="39">
        <f t="shared" si="40"/>
        <v>0</v>
      </c>
      <c r="EZ41" s="7"/>
      <c r="FA41" s="7"/>
      <c r="FB41" s="7"/>
      <c r="FC41" s="39">
        <f t="shared" si="41"/>
        <v>0</v>
      </c>
      <c r="FD41" s="7"/>
      <c r="FE41" s="7"/>
      <c r="FF41" s="7"/>
      <c r="FG41" s="39">
        <f t="shared" si="42"/>
        <v>0</v>
      </c>
      <c r="FH41" s="7"/>
      <c r="FI41" s="7"/>
      <c r="FJ41" s="7"/>
      <c r="FK41" s="39">
        <f t="shared" si="43"/>
        <v>0</v>
      </c>
      <c r="FL41" s="7"/>
      <c r="FM41" s="7"/>
      <c r="FN41" s="7"/>
      <c r="FO41" s="39">
        <f t="shared" si="44"/>
        <v>0</v>
      </c>
      <c r="FP41" s="7"/>
      <c r="FQ41" s="7"/>
      <c r="FR41" s="7"/>
      <c r="FS41" s="39">
        <f t="shared" si="45"/>
        <v>0</v>
      </c>
      <c r="FT41" s="7"/>
      <c r="FU41" s="7"/>
      <c r="FV41" s="7"/>
      <c r="FW41" s="39">
        <f t="shared" si="46"/>
        <v>0</v>
      </c>
      <c r="FX41" s="7"/>
      <c r="FY41" s="7"/>
      <c r="FZ41" s="7"/>
      <c r="GA41" s="39">
        <f t="shared" si="47"/>
        <v>0</v>
      </c>
      <c r="GB41" s="7"/>
      <c r="GC41" s="7"/>
      <c r="GD41" s="7"/>
      <c r="GE41" s="39">
        <f t="shared" si="48"/>
        <v>0</v>
      </c>
      <c r="GF41" s="7"/>
      <c r="GG41" s="7"/>
      <c r="GH41" s="7"/>
      <c r="GI41" s="39">
        <f t="shared" si="49"/>
        <v>0</v>
      </c>
      <c r="GJ41" s="7"/>
      <c r="GK41" s="7"/>
      <c r="GL41" s="7"/>
      <c r="GM41" s="39">
        <f t="shared" si="50"/>
        <v>0</v>
      </c>
      <c r="GN41" s="7"/>
      <c r="GO41" s="7"/>
      <c r="GP41" s="7"/>
      <c r="GQ41" s="39">
        <f t="shared" si="64"/>
        <v>0</v>
      </c>
      <c r="GR41" s="7"/>
      <c r="GS41" s="7"/>
      <c r="GT41" s="7"/>
      <c r="GU41" s="39">
        <f t="shared" si="62"/>
        <v>0</v>
      </c>
      <c r="GV41" s="7"/>
      <c r="GW41" s="7"/>
      <c r="GX41" s="7"/>
      <c r="GY41" s="39">
        <f t="shared" si="53"/>
        <v>0</v>
      </c>
      <c r="GZ41" s="7"/>
      <c r="HA41" s="7"/>
      <c r="HB41" s="7"/>
      <c r="HC41" s="39">
        <f t="shared" si="63"/>
        <v>0</v>
      </c>
      <c r="HD41" s="7"/>
      <c r="HE41" s="7"/>
      <c r="HF41" s="7"/>
      <c r="HG41" s="39">
        <f t="shared" si="68"/>
        <v>0</v>
      </c>
      <c r="HH41" s="7"/>
      <c r="HI41" s="7"/>
      <c r="HJ41" s="7"/>
      <c r="HK41" s="39">
        <f t="shared" si="56"/>
        <v>0</v>
      </c>
    </row>
    <row r="42">
      <c r="A42" s="20" t="s">
        <v>97</v>
      </c>
      <c r="B42" s="21" t="s">
        <v>98</v>
      </c>
      <c r="C42" s="1">
        <f t="shared" si="1"/>
        <v>40</v>
      </c>
      <c r="D42" s="15">
        <f>VLOOKUP(A42,TDP!A:C,3,FALSE)</f>
        <v>0.13</v>
      </c>
      <c r="E42" s="37">
        <f t="shared" si="2"/>
        <v>0</v>
      </c>
      <c r="F42" s="7"/>
      <c r="G42" s="39">
        <f t="shared" si="65"/>
        <v>0</v>
      </c>
      <c r="H42" s="7"/>
      <c r="I42" s="7"/>
      <c r="J42" s="7"/>
      <c r="K42" s="39">
        <f t="shared" si="4"/>
        <v>0</v>
      </c>
      <c r="L42" s="7"/>
      <c r="M42" s="7"/>
      <c r="N42" s="7"/>
      <c r="O42" s="7">
        <f t="shared" si="72"/>
        <v>0</v>
      </c>
      <c r="P42" s="7"/>
      <c r="Q42" s="7"/>
      <c r="R42" s="7"/>
      <c r="S42" s="39">
        <f t="shared" si="6"/>
        <v>0</v>
      </c>
      <c r="T42" s="7"/>
      <c r="U42" s="7"/>
      <c r="V42" s="7"/>
      <c r="W42" s="39">
        <f t="shared" si="7"/>
        <v>0</v>
      </c>
      <c r="X42" s="7"/>
      <c r="Y42" s="7"/>
      <c r="Z42" s="7"/>
      <c r="AA42" s="39">
        <f t="shared" si="8"/>
        <v>0</v>
      </c>
      <c r="AB42" s="7"/>
      <c r="AC42" s="7"/>
      <c r="AD42" s="7"/>
      <c r="AE42" s="39">
        <f t="shared" si="9"/>
        <v>0</v>
      </c>
      <c r="AF42" s="7"/>
      <c r="AG42" s="7"/>
      <c r="AH42" s="7"/>
      <c r="AI42" s="39">
        <f t="shared" si="69"/>
        <v>0</v>
      </c>
      <c r="AJ42" s="7"/>
      <c r="AK42" s="7"/>
      <c r="AL42" s="7"/>
      <c r="AM42" s="39">
        <f t="shared" si="61"/>
        <v>0</v>
      </c>
      <c r="AN42" s="7"/>
      <c r="AO42" s="7"/>
      <c r="AP42" s="7"/>
      <c r="AQ42" s="39">
        <f t="shared" si="67"/>
        <v>0</v>
      </c>
      <c r="AR42" s="41"/>
      <c r="AS42" s="41"/>
      <c r="AT42" s="41"/>
      <c r="AU42" s="42">
        <f t="shared" si="13"/>
        <v>0</v>
      </c>
      <c r="AV42" s="7"/>
      <c r="AW42" s="7"/>
      <c r="AX42" s="7"/>
      <c r="AY42" s="39">
        <f t="shared" si="14"/>
        <v>0</v>
      </c>
      <c r="AZ42" s="7"/>
      <c r="BA42" s="7"/>
      <c r="BB42" s="7"/>
      <c r="BC42" s="39">
        <f t="shared" si="60"/>
        <v>0</v>
      </c>
      <c r="BD42" s="7"/>
      <c r="BE42" s="7"/>
      <c r="BF42" s="7"/>
      <c r="BG42" s="39">
        <f t="shared" si="16"/>
        <v>0</v>
      </c>
      <c r="BH42" s="7"/>
      <c r="BI42" s="7"/>
      <c r="BJ42" s="7"/>
      <c r="BK42" s="39">
        <f t="shared" si="17"/>
        <v>0</v>
      </c>
      <c r="BL42" s="7"/>
      <c r="BM42" s="7"/>
      <c r="BN42" s="7"/>
      <c r="BO42" s="39">
        <f t="shared" si="18"/>
        <v>0</v>
      </c>
      <c r="BP42" s="7"/>
      <c r="BQ42" s="7"/>
      <c r="BR42" s="7"/>
      <c r="BS42" s="39">
        <f t="shared" si="19"/>
        <v>0</v>
      </c>
      <c r="BT42" s="7"/>
      <c r="BU42" s="7"/>
      <c r="BV42" s="7"/>
      <c r="BW42" s="39">
        <f t="shared" si="20"/>
        <v>0</v>
      </c>
      <c r="BX42" s="7"/>
      <c r="BY42" s="7"/>
      <c r="BZ42" s="7"/>
      <c r="CA42" s="39">
        <f t="shared" si="21"/>
        <v>0</v>
      </c>
      <c r="CB42" s="7"/>
      <c r="CC42" s="7"/>
      <c r="CD42" s="7"/>
      <c r="CE42" s="39">
        <f t="shared" si="22"/>
        <v>0</v>
      </c>
      <c r="CF42" s="7"/>
      <c r="CG42" s="7"/>
      <c r="CH42" s="7"/>
      <c r="CI42" s="39">
        <f t="shared" si="23"/>
        <v>0</v>
      </c>
      <c r="CJ42" s="7"/>
      <c r="CK42" s="7"/>
      <c r="CL42" s="7"/>
      <c r="CM42" s="39">
        <f t="shared" si="24"/>
        <v>0</v>
      </c>
      <c r="CN42" s="7"/>
      <c r="CO42" s="7"/>
      <c r="CP42" s="7"/>
      <c r="CQ42" s="39">
        <f t="shared" si="25"/>
        <v>0</v>
      </c>
      <c r="CR42" s="7"/>
      <c r="CS42" s="7"/>
      <c r="CT42" s="7"/>
      <c r="CU42" s="39">
        <f t="shared" si="26"/>
        <v>0</v>
      </c>
      <c r="CV42" s="7"/>
      <c r="CW42" s="7"/>
      <c r="CX42" s="7"/>
      <c r="CY42" s="39">
        <f t="shared" si="27"/>
        <v>0</v>
      </c>
      <c r="CZ42" s="7"/>
      <c r="DA42" s="7"/>
      <c r="DB42" s="7"/>
      <c r="DC42" s="39">
        <f t="shared" si="28"/>
        <v>0</v>
      </c>
      <c r="DD42" s="7"/>
      <c r="DE42" s="7"/>
      <c r="DF42" s="7"/>
      <c r="DG42" s="39">
        <f t="shared" si="29"/>
        <v>0</v>
      </c>
      <c r="DH42" s="7"/>
      <c r="DI42" s="7"/>
      <c r="DJ42" s="7"/>
      <c r="DK42" s="39">
        <f t="shared" si="30"/>
        <v>0</v>
      </c>
      <c r="DL42" s="7"/>
      <c r="DM42" s="7"/>
      <c r="DN42" s="7"/>
      <c r="DO42" s="39">
        <f t="shared" si="31"/>
        <v>0</v>
      </c>
      <c r="DP42" s="7"/>
      <c r="DQ42" s="7"/>
      <c r="DR42" s="7"/>
      <c r="DS42" s="39">
        <f t="shared" si="32"/>
        <v>0</v>
      </c>
      <c r="DT42" s="7"/>
      <c r="DU42" s="7"/>
      <c r="DV42" s="7"/>
      <c r="DW42" s="39">
        <f t="shared" si="33"/>
        <v>0</v>
      </c>
      <c r="DX42" s="7"/>
      <c r="DY42" s="7"/>
      <c r="DZ42" s="7"/>
      <c r="EA42" s="39">
        <f t="shared" si="34"/>
        <v>0</v>
      </c>
      <c r="EB42" s="7"/>
      <c r="EC42" s="7"/>
      <c r="ED42" s="7"/>
      <c r="EE42" s="39">
        <f t="shared" si="35"/>
        <v>0</v>
      </c>
      <c r="EF42" s="7"/>
      <c r="EG42" s="7"/>
      <c r="EH42" s="7"/>
      <c r="EI42" s="39">
        <f t="shared" si="36"/>
        <v>0</v>
      </c>
      <c r="EJ42" s="7"/>
      <c r="EK42" s="7"/>
      <c r="EL42" s="7"/>
      <c r="EM42" s="39">
        <f t="shared" si="37"/>
        <v>0</v>
      </c>
      <c r="EN42" s="7"/>
      <c r="EO42" s="7"/>
      <c r="EP42" s="7"/>
      <c r="EQ42" s="39">
        <f t="shared" si="38"/>
        <v>0</v>
      </c>
      <c r="ER42" s="7"/>
      <c r="ES42" s="7"/>
      <c r="ET42" s="7"/>
      <c r="EU42" s="39">
        <f t="shared" si="39"/>
        <v>0</v>
      </c>
      <c r="EV42" s="7"/>
      <c r="EW42" s="7"/>
      <c r="EX42" s="7"/>
      <c r="EY42" s="39">
        <f t="shared" si="40"/>
        <v>0</v>
      </c>
      <c r="EZ42" s="7"/>
      <c r="FA42" s="7"/>
      <c r="FB42" s="7"/>
      <c r="FC42" s="39">
        <f t="shared" si="41"/>
        <v>0</v>
      </c>
      <c r="FD42" s="7"/>
      <c r="FE42" s="7"/>
      <c r="FF42" s="7"/>
      <c r="FG42" s="39">
        <f t="shared" si="42"/>
        <v>0</v>
      </c>
      <c r="FH42" s="7"/>
      <c r="FI42" s="7"/>
      <c r="FJ42" s="7"/>
      <c r="FK42" s="39">
        <f t="shared" si="43"/>
        <v>0</v>
      </c>
      <c r="FL42" s="7"/>
      <c r="FM42" s="7"/>
      <c r="FN42" s="7"/>
      <c r="FO42" s="39">
        <f t="shared" si="44"/>
        <v>0</v>
      </c>
      <c r="FP42" s="7"/>
      <c r="FQ42" s="7"/>
      <c r="FR42" s="7"/>
      <c r="FS42" s="39">
        <f t="shared" si="45"/>
        <v>0</v>
      </c>
      <c r="FT42" s="7"/>
      <c r="FU42" s="7"/>
      <c r="FV42" s="7"/>
      <c r="FW42" s="39">
        <f t="shared" si="46"/>
        <v>0</v>
      </c>
      <c r="FX42" s="7"/>
      <c r="FY42" s="7"/>
      <c r="FZ42" s="7"/>
      <c r="GA42" s="39">
        <f t="shared" si="47"/>
        <v>0</v>
      </c>
      <c r="GB42" s="7"/>
      <c r="GC42" s="7"/>
      <c r="GD42" s="7"/>
      <c r="GE42" s="39">
        <f t="shared" si="48"/>
        <v>0</v>
      </c>
      <c r="GF42" s="7"/>
      <c r="GG42" s="7"/>
      <c r="GH42" s="7"/>
      <c r="GI42" s="39">
        <f t="shared" si="49"/>
        <v>0</v>
      </c>
      <c r="GJ42" s="7"/>
      <c r="GK42" s="7"/>
      <c r="GL42" s="7"/>
      <c r="GM42" s="39">
        <f t="shared" si="50"/>
        <v>0</v>
      </c>
      <c r="GN42" s="7"/>
      <c r="GO42" s="7"/>
      <c r="GP42" s="7"/>
      <c r="GQ42" s="39">
        <f t="shared" si="64"/>
        <v>0</v>
      </c>
      <c r="GR42" s="7"/>
      <c r="GS42" s="7"/>
      <c r="GT42" s="7"/>
      <c r="GU42" s="39">
        <f t="shared" si="62"/>
        <v>0</v>
      </c>
      <c r="GV42" s="7"/>
      <c r="GW42" s="7"/>
      <c r="GX42" s="7"/>
      <c r="GY42" s="39">
        <f t="shared" si="53"/>
        <v>0</v>
      </c>
      <c r="GZ42" s="7"/>
      <c r="HA42" s="7"/>
      <c r="HB42" s="7"/>
      <c r="HC42" s="39">
        <f t="shared" si="63"/>
        <v>0</v>
      </c>
      <c r="HD42" s="7"/>
      <c r="HE42" s="7"/>
      <c r="HF42" s="7"/>
      <c r="HG42" s="39">
        <f t="shared" si="68"/>
        <v>0</v>
      </c>
      <c r="HH42" s="7"/>
      <c r="HI42" s="7"/>
      <c r="HJ42" s="7"/>
      <c r="HK42" s="39">
        <f t="shared" si="56"/>
        <v>0</v>
      </c>
    </row>
    <row r="43">
      <c r="A43" s="20" t="s">
        <v>99</v>
      </c>
      <c r="B43" s="21"/>
      <c r="C43" s="1">
        <f t="shared" si="1"/>
        <v>41</v>
      </c>
      <c r="D43" s="15">
        <f>VLOOKUP(A43,TDP!A:C,3,FALSE)</f>
        <v>0.1</v>
      </c>
      <c r="E43" s="37">
        <f t="shared" si="2"/>
        <v>0</v>
      </c>
      <c r="F43" s="7"/>
      <c r="G43" s="39">
        <f t="shared" si="65"/>
        <v>0</v>
      </c>
      <c r="H43" s="7"/>
      <c r="I43" s="7"/>
      <c r="J43" s="7"/>
      <c r="K43" s="39">
        <f t="shared" si="4"/>
        <v>0</v>
      </c>
      <c r="L43" s="7"/>
      <c r="M43" s="7"/>
      <c r="N43" s="7"/>
      <c r="O43" s="7">
        <f t="shared" si="72"/>
        <v>0</v>
      </c>
      <c r="P43" s="7"/>
      <c r="Q43" s="7"/>
      <c r="R43" s="7"/>
      <c r="S43" s="39">
        <f t="shared" si="6"/>
        <v>0</v>
      </c>
      <c r="T43" s="7"/>
      <c r="U43" s="7"/>
      <c r="V43" s="7"/>
      <c r="W43" s="39">
        <f t="shared" si="7"/>
        <v>0</v>
      </c>
      <c r="X43" s="7"/>
      <c r="Y43" s="7"/>
      <c r="Z43" s="7"/>
      <c r="AA43" s="39">
        <f t="shared" si="8"/>
        <v>0</v>
      </c>
      <c r="AB43" s="7"/>
      <c r="AC43" s="7"/>
      <c r="AD43" s="7"/>
      <c r="AE43" s="39">
        <f t="shared" si="9"/>
        <v>0</v>
      </c>
      <c r="AF43" s="7"/>
      <c r="AG43" s="7"/>
      <c r="AH43" s="7"/>
      <c r="AI43" s="39">
        <f t="shared" si="69"/>
        <v>0</v>
      </c>
      <c r="AJ43" s="7"/>
      <c r="AK43" s="7"/>
      <c r="AL43" s="7"/>
      <c r="AM43" s="39">
        <f t="shared" si="61"/>
        <v>0</v>
      </c>
      <c r="AN43" s="7"/>
      <c r="AO43" s="7"/>
      <c r="AP43" s="7"/>
      <c r="AQ43" s="39">
        <f t="shared" si="67"/>
        <v>0</v>
      </c>
      <c r="AR43" s="41"/>
      <c r="AS43" s="41"/>
      <c r="AT43" s="41"/>
      <c r="AU43" s="42">
        <f t="shared" si="13"/>
        <v>0</v>
      </c>
      <c r="AV43" s="7"/>
      <c r="AW43" s="7"/>
      <c r="AX43" s="7"/>
      <c r="AY43" s="39">
        <f t="shared" si="14"/>
        <v>0</v>
      </c>
      <c r="AZ43" s="7"/>
      <c r="BA43" s="7"/>
      <c r="BB43" s="7"/>
      <c r="BC43" s="39">
        <f t="shared" si="60"/>
        <v>0</v>
      </c>
      <c r="BD43" s="7"/>
      <c r="BE43" s="7"/>
      <c r="BF43" s="7"/>
      <c r="BG43" s="39">
        <f t="shared" si="16"/>
        <v>0</v>
      </c>
      <c r="BH43" s="7"/>
      <c r="BI43" s="7"/>
      <c r="BJ43" s="7"/>
      <c r="BK43" s="39">
        <f t="shared" si="17"/>
        <v>0</v>
      </c>
      <c r="BL43" s="7"/>
      <c r="BM43" s="7"/>
      <c r="BN43" s="7"/>
      <c r="BO43" s="39">
        <f t="shared" si="18"/>
        <v>0</v>
      </c>
      <c r="BP43" s="7"/>
      <c r="BQ43" s="7"/>
      <c r="BR43" s="7"/>
      <c r="BS43" s="39">
        <f t="shared" si="19"/>
        <v>0</v>
      </c>
      <c r="BT43" s="7"/>
      <c r="BU43" s="7"/>
      <c r="BV43" s="7"/>
      <c r="BW43" s="39">
        <f t="shared" si="20"/>
        <v>0</v>
      </c>
      <c r="BX43" s="7"/>
      <c r="BY43" s="7"/>
      <c r="BZ43" s="7"/>
      <c r="CA43" s="39">
        <f t="shared" si="21"/>
        <v>0</v>
      </c>
      <c r="CB43" s="7"/>
      <c r="CC43" s="7"/>
      <c r="CD43" s="7"/>
      <c r="CE43" s="39">
        <f t="shared" si="22"/>
        <v>0</v>
      </c>
      <c r="CF43" s="7"/>
      <c r="CG43" s="7"/>
      <c r="CH43" s="7"/>
      <c r="CI43" s="39">
        <f t="shared" si="23"/>
        <v>0</v>
      </c>
      <c r="CJ43" s="7"/>
      <c r="CK43" s="7"/>
      <c r="CL43" s="7"/>
      <c r="CM43" s="39">
        <f t="shared" si="24"/>
        <v>0</v>
      </c>
      <c r="CN43" s="7"/>
      <c r="CO43" s="7"/>
      <c r="CP43" s="7"/>
      <c r="CQ43" s="39">
        <f t="shared" si="25"/>
        <v>0</v>
      </c>
      <c r="CR43" s="7"/>
      <c r="CS43" s="7"/>
      <c r="CT43" s="7"/>
      <c r="CU43" s="39">
        <f t="shared" si="26"/>
        <v>0</v>
      </c>
      <c r="CV43" s="7"/>
      <c r="CW43" s="7"/>
      <c r="CX43" s="7"/>
      <c r="CY43" s="39">
        <f t="shared" si="27"/>
        <v>0</v>
      </c>
      <c r="CZ43" s="7"/>
      <c r="DA43" s="7"/>
      <c r="DB43" s="7"/>
      <c r="DC43" s="39">
        <f t="shared" si="28"/>
        <v>0</v>
      </c>
      <c r="DD43" s="7"/>
      <c r="DE43" s="7"/>
      <c r="DF43" s="7"/>
      <c r="DG43" s="39">
        <f t="shared" si="29"/>
        <v>0</v>
      </c>
      <c r="DH43" s="7"/>
      <c r="DI43" s="7"/>
      <c r="DJ43" s="7"/>
      <c r="DK43" s="39">
        <f t="shared" si="30"/>
        <v>0</v>
      </c>
      <c r="DL43" s="7"/>
      <c r="DM43" s="7"/>
      <c r="DN43" s="7"/>
      <c r="DO43" s="39">
        <f t="shared" si="31"/>
        <v>0</v>
      </c>
      <c r="DP43" s="7"/>
      <c r="DQ43" s="7"/>
      <c r="DR43" s="7"/>
      <c r="DS43" s="39">
        <f t="shared" si="32"/>
        <v>0</v>
      </c>
      <c r="DT43" s="7"/>
      <c r="DU43" s="7"/>
      <c r="DV43" s="7"/>
      <c r="DW43" s="39">
        <f t="shared" si="33"/>
        <v>0</v>
      </c>
      <c r="DX43" s="7"/>
      <c r="DY43" s="7"/>
      <c r="DZ43" s="7"/>
      <c r="EA43" s="39">
        <f t="shared" si="34"/>
        <v>0</v>
      </c>
      <c r="EB43" s="7"/>
      <c r="EC43" s="7"/>
      <c r="ED43" s="7"/>
      <c r="EE43" s="39">
        <f t="shared" si="35"/>
        <v>0</v>
      </c>
      <c r="EF43" s="7"/>
      <c r="EG43" s="7"/>
      <c r="EH43" s="7"/>
      <c r="EI43" s="39">
        <f t="shared" si="36"/>
        <v>0</v>
      </c>
      <c r="EJ43" s="7"/>
      <c r="EK43" s="7"/>
      <c r="EL43" s="7"/>
      <c r="EM43" s="39">
        <f t="shared" si="37"/>
        <v>0</v>
      </c>
      <c r="EN43" s="7"/>
      <c r="EO43" s="7"/>
      <c r="EP43" s="7"/>
      <c r="EQ43" s="39">
        <f t="shared" si="38"/>
        <v>0</v>
      </c>
      <c r="ER43" s="7"/>
      <c r="ES43" s="7"/>
      <c r="ET43" s="7"/>
      <c r="EU43" s="39">
        <f t="shared" si="39"/>
        <v>0</v>
      </c>
      <c r="EV43" s="7"/>
      <c r="EW43" s="7"/>
      <c r="EX43" s="7"/>
      <c r="EY43" s="39">
        <f t="shared" si="40"/>
        <v>0</v>
      </c>
      <c r="EZ43" s="7"/>
      <c r="FA43" s="7"/>
      <c r="FB43" s="7"/>
      <c r="FC43" s="39">
        <f t="shared" si="41"/>
        <v>0</v>
      </c>
      <c r="FD43" s="7"/>
      <c r="FE43" s="7"/>
      <c r="FF43" s="7"/>
      <c r="FG43" s="39">
        <f t="shared" si="42"/>
        <v>0</v>
      </c>
      <c r="FH43" s="7"/>
      <c r="FI43" s="7"/>
      <c r="FJ43" s="7"/>
      <c r="FK43" s="39">
        <f t="shared" si="43"/>
        <v>0</v>
      </c>
      <c r="FL43" s="7"/>
      <c r="FM43" s="7"/>
      <c r="FN43" s="7"/>
      <c r="FO43" s="39">
        <f t="shared" si="44"/>
        <v>0</v>
      </c>
      <c r="FP43" s="7"/>
      <c r="FQ43" s="7"/>
      <c r="FR43" s="7"/>
      <c r="FS43" s="39">
        <f t="shared" si="45"/>
        <v>0</v>
      </c>
      <c r="FT43" s="7"/>
      <c r="FU43" s="7"/>
      <c r="FV43" s="7"/>
      <c r="FW43" s="39">
        <f t="shared" si="46"/>
        <v>0</v>
      </c>
      <c r="FX43" s="7"/>
      <c r="FY43" s="7"/>
      <c r="FZ43" s="7"/>
      <c r="GA43" s="39">
        <f t="shared" si="47"/>
        <v>0</v>
      </c>
      <c r="GB43" s="7"/>
      <c r="GC43" s="7"/>
      <c r="GD43" s="7"/>
      <c r="GE43" s="39">
        <f t="shared" si="48"/>
        <v>0</v>
      </c>
      <c r="GF43" s="7"/>
      <c r="GG43" s="7"/>
      <c r="GH43" s="7"/>
      <c r="GI43" s="39">
        <f t="shared" si="49"/>
        <v>0</v>
      </c>
      <c r="GJ43" s="7"/>
      <c r="GK43" s="7"/>
      <c r="GL43" s="7"/>
      <c r="GM43" s="39">
        <f t="shared" si="50"/>
        <v>0</v>
      </c>
      <c r="GN43" s="7"/>
      <c r="GO43" s="7"/>
      <c r="GP43" s="7"/>
      <c r="GQ43" s="39">
        <f t="shared" si="64"/>
        <v>0</v>
      </c>
      <c r="GR43" s="7"/>
      <c r="GS43" s="7"/>
      <c r="GT43" s="7"/>
      <c r="GU43" s="39">
        <f t="shared" si="62"/>
        <v>0</v>
      </c>
      <c r="GV43" s="7"/>
      <c r="GW43" s="7"/>
      <c r="GX43" s="7"/>
      <c r="GY43" s="39">
        <f t="shared" si="53"/>
        <v>0</v>
      </c>
      <c r="GZ43" s="7"/>
      <c r="HA43" s="7"/>
      <c r="HB43" s="7"/>
      <c r="HC43" s="39">
        <f t="shared" si="63"/>
        <v>0</v>
      </c>
      <c r="HD43" s="7"/>
      <c r="HE43" s="7"/>
      <c r="HF43" s="7"/>
      <c r="HG43" s="39">
        <f t="shared" si="68"/>
        <v>0</v>
      </c>
      <c r="HH43" s="7"/>
      <c r="HI43" s="7"/>
      <c r="HJ43" s="7"/>
      <c r="HK43" s="39">
        <f t="shared" si="56"/>
        <v>0</v>
      </c>
    </row>
    <row r="44">
      <c r="A44" s="20" t="s">
        <v>115</v>
      </c>
      <c r="B44" s="21" t="s">
        <v>116</v>
      </c>
      <c r="C44" s="1">
        <f t="shared" si="1"/>
        <v>42</v>
      </c>
      <c r="D44" s="15">
        <f>VLOOKUP(A44,TDP!A:C,3,FALSE)</f>
        <v>0.08</v>
      </c>
      <c r="E44" s="37">
        <f t="shared" si="2"/>
        <v>0</v>
      </c>
      <c r="F44" s="7"/>
      <c r="G44" s="39">
        <f t="shared" si="65"/>
        <v>0</v>
      </c>
      <c r="H44" s="7"/>
      <c r="I44" s="7"/>
      <c r="J44" s="7"/>
      <c r="K44" s="39">
        <f t="shared" si="4"/>
        <v>0</v>
      </c>
      <c r="L44" s="7"/>
      <c r="M44" s="7"/>
      <c r="N44" s="7"/>
      <c r="O44" s="7">
        <f t="shared" si="72"/>
        <v>0</v>
      </c>
      <c r="P44" s="7"/>
      <c r="Q44" s="7"/>
      <c r="R44" s="7"/>
      <c r="S44" s="39">
        <f t="shared" si="6"/>
        <v>0</v>
      </c>
      <c r="T44" s="7"/>
      <c r="U44" s="7"/>
      <c r="V44" s="7"/>
      <c r="W44" s="39">
        <f t="shared" si="7"/>
        <v>0</v>
      </c>
      <c r="X44" s="7"/>
      <c r="Y44" s="7"/>
      <c r="Z44" s="7"/>
      <c r="AA44" s="39">
        <f t="shared" si="8"/>
        <v>0</v>
      </c>
      <c r="AB44" s="7"/>
      <c r="AC44" s="7"/>
      <c r="AD44" s="7"/>
      <c r="AE44" s="39">
        <f t="shared" si="9"/>
        <v>0</v>
      </c>
      <c r="AF44" s="7"/>
      <c r="AG44" s="7"/>
      <c r="AH44" s="7"/>
      <c r="AI44" s="39">
        <f t="shared" si="69"/>
        <v>0</v>
      </c>
      <c r="AJ44" s="7"/>
      <c r="AK44" s="7"/>
      <c r="AL44" s="7"/>
      <c r="AM44" s="39">
        <f t="shared" si="61"/>
        <v>0</v>
      </c>
      <c r="AN44" s="7"/>
      <c r="AO44" s="7"/>
      <c r="AP44" s="7"/>
      <c r="AQ44" s="39">
        <f t="shared" si="67"/>
        <v>0</v>
      </c>
      <c r="AR44" s="41"/>
      <c r="AS44" s="41"/>
      <c r="AT44" s="41"/>
      <c r="AU44" s="42">
        <f t="shared" si="13"/>
        <v>0</v>
      </c>
      <c r="AV44" s="7"/>
      <c r="AW44" s="7"/>
      <c r="AX44" s="7"/>
      <c r="AY44" s="39">
        <f t="shared" si="14"/>
        <v>0</v>
      </c>
      <c r="AZ44" s="7"/>
      <c r="BA44" s="7"/>
      <c r="BB44" s="7"/>
      <c r="BC44" s="39">
        <f t="shared" si="60"/>
        <v>0</v>
      </c>
      <c r="BD44" s="7"/>
      <c r="BE44" s="7"/>
      <c r="BF44" s="7"/>
      <c r="BG44" s="39">
        <f t="shared" si="16"/>
        <v>0</v>
      </c>
      <c r="BH44" s="7"/>
      <c r="BI44" s="7"/>
      <c r="BJ44" s="7"/>
      <c r="BK44" s="39">
        <f t="shared" si="17"/>
        <v>0</v>
      </c>
      <c r="BL44" s="7"/>
      <c r="BM44" s="7"/>
      <c r="BN44" s="7"/>
      <c r="BO44" s="39">
        <f t="shared" si="18"/>
        <v>0</v>
      </c>
      <c r="BP44" s="7"/>
      <c r="BQ44" s="7"/>
      <c r="BR44" s="7"/>
      <c r="BS44" s="39">
        <f t="shared" si="19"/>
        <v>0</v>
      </c>
      <c r="BT44" s="7"/>
      <c r="BU44" s="7"/>
      <c r="BV44" s="7"/>
      <c r="BW44" s="39">
        <f t="shared" si="20"/>
        <v>0</v>
      </c>
      <c r="BX44" s="7"/>
      <c r="BY44" s="7"/>
      <c r="BZ44" s="7"/>
      <c r="CA44" s="39">
        <f t="shared" si="21"/>
        <v>0</v>
      </c>
      <c r="CB44" s="7"/>
      <c r="CC44" s="7"/>
      <c r="CD44" s="7"/>
      <c r="CE44" s="39">
        <f t="shared" si="22"/>
        <v>0</v>
      </c>
      <c r="CF44" s="7"/>
      <c r="CG44" s="7"/>
      <c r="CH44" s="7"/>
      <c r="CI44" s="39">
        <f t="shared" si="23"/>
        <v>0</v>
      </c>
      <c r="CJ44" s="7"/>
      <c r="CK44" s="7"/>
      <c r="CL44" s="7"/>
      <c r="CM44" s="39">
        <f t="shared" si="24"/>
        <v>0</v>
      </c>
      <c r="CN44" s="7"/>
      <c r="CO44" s="7"/>
      <c r="CP44" s="7"/>
      <c r="CQ44" s="39">
        <f t="shared" si="25"/>
        <v>0</v>
      </c>
      <c r="CR44" s="7"/>
      <c r="CS44" s="7"/>
      <c r="CT44" s="7"/>
      <c r="CU44" s="39">
        <f t="shared" si="26"/>
        <v>0</v>
      </c>
      <c r="CV44" s="7"/>
      <c r="CW44" s="7"/>
      <c r="CX44" s="7"/>
      <c r="CY44" s="39">
        <f t="shared" si="27"/>
        <v>0</v>
      </c>
      <c r="CZ44" s="7"/>
      <c r="DA44" s="7"/>
      <c r="DB44" s="7"/>
      <c r="DC44" s="39">
        <f t="shared" si="28"/>
        <v>0</v>
      </c>
      <c r="DD44" s="7"/>
      <c r="DE44" s="7"/>
      <c r="DF44" s="7"/>
      <c r="DG44" s="39">
        <f t="shared" si="29"/>
        <v>0</v>
      </c>
      <c r="DH44" s="7"/>
      <c r="DI44" s="7"/>
      <c r="DJ44" s="7"/>
      <c r="DK44" s="39">
        <f t="shared" si="30"/>
        <v>0</v>
      </c>
      <c r="DL44" s="7"/>
      <c r="DM44" s="7"/>
      <c r="DN44" s="7"/>
      <c r="DO44" s="39">
        <f t="shared" si="31"/>
        <v>0</v>
      </c>
      <c r="DP44" s="7"/>
      <c r="DQ44" s="7"/>
      <c r="DR44" s="7"/>
      <c r="DS44" s="39">
        <f t="shared" si="32"/>
        <v>0</v>
      </c>
      <c r="DT44" s="7"/>
      <c r="DU44" s="7"/>
      <c r="DV44" s="7"/>
      <c r="DW44" s="39">
        <f t="shared" si="33"/>
        <v>0</v>
      </c>
      <c r="DX44" s="7"/>
      <c r="DY44" s="7"/>
      <c r="DZ44" s="7"/>
      <c r="EA44" s="39">
        <f t="shared" si="34"/>
        <v>0</v>
      </c>
      <c r="EB44" s="7"/>
      <c r="EC44" s="7"/>
      <c r="ED44" s="7"/>
      <c r="EE44" s="39">
        <f t="shared" si="35"/>
        <v>0</v>
      </c>
      <c r="EF44" s="7"/>
      <c r="EG44" s="7"/>
      <c r="EH44" s="7"/>
      <c r="EI44" s="39">
        <f t="shared" si="36"/>
        <v>0</v>
      </c>
      <c r="EJ44" s="7"/>
      <c r="EK44" s="7"/>
      <c r="EL44" s="7"/>
      <c r="EM44" s="39">
        <f t="shared" si="37"/>
        <v>0</v>
      </c>
      <c r="EN44" s="7"/>
      <c r="EO44" s="7"/>
      <c r="EP44" s="7"/>
      <c r="EQ44" s="39">
        <f t="shared" si="38"/>
        <v>0</v>
      </c>
      <c r="ER44" s="7"/>
      <c r="ES44" s="7"/>
      <c r="ET44" s="7"/>
      <c r="EU44" s="39">
        <f t="shared" si="39"/>
        <v>0</v>
      </c>
      <c r="EV44" s="7"/>
      <c r="EW44" s="7"/>
      <c r="EX44" s="7"/>
      <c r="EY44" s="39">
        <f t="shared" si="40"/>
        <v>0</v>
      </c>
      <c r="EZ44" s="7"/>
      <c r="FA44" s="7"/>
      <c r="FB44" s="7"/>
      <c r="FC44" s="39">
        <f t="shared" si="41"/>
        <v>0</v>
      </c>
      <c r="FD44" s="7"/>
      <c r="FE44" s="7"/>
      <c r="FF44" s="7"/>
      <c r="FG44" s="39">
        <f t="shared" si="42"/>
        <v>0</v>
      </c>
      <c r="FH44" s="7"/>
      <c r="FI44" s="7"/>
      <c r="FJ44" s="7"/>
      <c r="FK44" s="39">
        <f t="shared" si="43"/>
        <v>0</v>
      </c>
      <c r="FL44" s="7"/>
      <c r="FM44" s="7"/>
      <c r="FN44" s="7"/>
      <c r="FO44" s="39">
        <f t="shared" si="44"/>
        <v>0</v>
      </c>
      <c r="FP44" s="7"/>
      <c r="FQ44" s="7"/>
      <c r="FR44" s="7"/>
      <c r="FS44" s="39">
        <f t="shared" si="45"/>
        <v>0</v>
      </c>
      <c r="FT44" s="7"/>
      <c r="FU44" s="7"/>
      <c r="FV44" s="7"/>
      <c r="FW44" s="39">
        <f t="shared" si="46"/>
        <v>0</v>
      </c>
      <c r="FX44" s="7"/>
      <c r="FY44" s="7"/>
      <c r="FZ44" s="7"/>
      <c r="GA44" s="39">
        <f t="shared" si="47"/>
        <v>0</v>
      </c>
      <c r="GB44" s="7"/>
      <c r="GC44" s="7"/>
      <c r="GD44" s="7"/>
      <c r="GE44" s="39">
        <f t="shared" si="48"/>
        <v>0</v>
      </c>
      <c r="GF44" s="7"/>
      <c r="GG44" s="7"/>
      <c r="GH44" s="7"/>
      <c r="GI44" s="39">
        <f t="shared" si="49"/>
        <v>0</v>
      </c>
      <c r="GJ44" s="7"/>
      <c r="GK44" s="7"/>
      <c r="GL44" s="7"/>
      <c r="GM44" s="39">
        <f t="shared" si="50"/>
        <v>0</v>
      </c>
      <c r="GN44" s="7"/>
      <c r="GO44" s="7"/>
      <c r="GP44" s="7"/>
      <c r="GQ44" s="39">
        <f t="shared" si="64"/>
        <v>0</v>
      </c>
      <c r="GR44" s="7"/>
      <c r="GS44" s="7"/>
      <c r="GT44" s="7"/>
      <c r="GU44" s="39">
        <f t="shared" si="62"/>
        <v>0</v>
      </c>
      <c r="GV44" s="7"/>
      <c r="GW44" s="7"/>
      <c r="GX44" s="7"/>
      <c r="GY44" s="39">
        <f t="shared" si="53"/>
        <v>0</v>
      </c>
      <c r="GZ44" s="7"/>
      <c r="HA44" s="7"/>
      <c r="HB44" s="7"/>
      <c r="HC44" s="39">
        <f t="shared" si="63"/>
        <v>0</v>
      </c>
      <c r="HD44" s="7"/>
      <c r="HE44" s="7"/>
      <c r="HF44" s="7"/>
      <c r="HG44" s="39">
        <f t="shared" si="68"/>
        <v>0</v>
      </c>
      <c r="HH44" s="7"/>
      <c r="HI44" s="7"/>
      <c r="HJ44" s="7"/>
      <c r="HK44" s="39">
        <f t="shared" si="56"/>
        <v>0</v>
      </c>
    </row>
    <row r="45">
      <c r="A45" s="172" t="s">
        <v>172</v>
      </c>
      <c r="B45" s="173"/>
      <c r="C45" s="43">
        <f t="shared" si="1"/>
        <v>43</v>
      </c>
      <c r="D45" s="174">
        <f>VLOOKUP(A45,TDP!A:C,3,FALSE)</f>
        <v>0.06</v>
      </c>
      <c r="E45" s="37">
        <f t="shared" si="2"/>
        <v>0</v>
      </c>
      <c r="F45" s="120"/>
      <c r="G45" s="72">
        <f t="shared" si="65"/>
        <v>0</v>
      </c>
      <c r="H45" s="120"/>
      <c r="I45" s="120"/>
      <c r="J45" s="120"/>
      <c r="K45" s="72">
        <f t="shared" si="4"/>
        <v>0</v>
      </c>
      <c r="L45" s="120"/>
      <c r="M45" s="120"/>
      <c r="N45" s="120"/>
      <c r="O45" s="120">
        <f t="shared" si="72"/>
        <v>0</v>
      </c>
      <c r="P45" s="120"/>
      <c r="Q45" s="120"/>
      <c r="R45" s="120"/>
      <c r="S45" s="72">
        <f t="shared" si="6"/>
        <v>0</v>
      </c>
      <c r="T45" s="120"/>
      <c r="U45" s="120"/>
      <c r="V45" s="120"/>
      <c r="W45" s="72">
        <f t="shared" si="7"/>
        <v>0</v>
      </c>
      <c r="X45" s="120"/>
      <c r="Y45" s="120"/>
      <c r="Z45" s="120"/>
      <c r="AA45" s="72">
        <f t="shared" si="8"/>
        <v>0</v>
      </c>
      <c r="AB45" s="120"/>
      <c r="AC45" s="120"/>
      <c r="AD45" s="120"/>
      <c r="AE45" s="72">
        <f t="shared" si="9"/>
        <v>0</v>
      </c>
      <c r="AF45" s="120"/>
      <c r="AG45" s="120"/>
      <c r="AH45" s="120"/>
      <c r="AI45" s="72">
        <f t="shared" si="69"/>
        <v>0</v>
      </c>
      <c r="AJ45" s="120"/>
      <c r="AK45" s="120"/>
      <c r="AL45" s="120"/>
      <c r="AM45" s="72">
        <f t="shared" si="61"/>
        <v>0</v>
      </c>
      <c r="AN45" s="120"/>
      <c r="AO45" s="120"/>
      <c r="AP45" s="120"/>
      <c r="AQ45" s="72">
        <f t="shared" si="67"/>
        <v>0</v>
      </c>
      <c r="AR45" s="170"/>
      <c r="AS45" s="170"/>
      <c r="AT45" s="170"/>
      <c r="AU45" s="171">
        <f t="shared" si="13"/>
        <v>0</v>
      </c>
      <c r="AV45" s="120"/>
      <c r="AW45" s="120"/>
      <c r="AX45" s="120"/>
      <c r="AY45" s="72">
        <f t="shared" si="14"/>
        <v>0</v>
      </c>
      <c r="AZ45" s="120"/>
      <c r="BA45" s="120"/>
      <c r="BB45" s="120"/>
      <c r="BC45" s="72">
        <f t="shared" si="60"/>
        <v>0</v>
      </c>
      <c r="BD45" s="120"/>
      <c r="BE45" s="120"/>
      <c r="BF45" s="120"/>
      <c r="BG45" s="72">
        <f t="shared" si="16"/>
        <v>0</v>
      </c>
      <c r="BH45" s="120"/>
      <c r="BI45" s="120"/>
      <c r="BJ45" s="120"/>
      <c r="BK45" s="72">
        <f t="shared" si="17"/>
        <v>0</v>
      </c>
      <c r="BL45" s="120"/>
      <c r="BM45" s="120"/>
      <c r="BN45" s="120"/>
      <c r="BO45" s="72">
        <f t="shared" si="18"/>
        <v>0</v>
      </c>
      <c r="BP45" s="120"/>
      <c r="BQ45" s="120"/>
      <c r="BR45" s="120"/>
      <c r="BS45" s="72">
        <f t="shared" si="19"/>
        <v>0</v>
      </c>
      <c r="BT45" s="120"/>
      <c r="BU45" s="120"/>
      <c r="BV45" s="120"/>
      <c r="BW45" s="72">
        <f t="shared" si="20"/>
        <v>0</v>
      </c>
      <c r="BX45" s="120"/>
      <c r="BY45" s="120"/>
      <c r="BZ45" s="120"/>
      <c r="CA45" s="72">
        <f t="shared" si="21"/>
        <v>0</v>
      </c>
      <c r="CB45" s="120"/>
      <c r="CC45" s="120"/>
      <c r="CD45" s="120"/>
      <c r="CE45" s="72">
        <f t="shared" si="22"/>
        <v>0</v>
      </c>
      <c r="CF45" s="120"/>
      <c r="CG45" s="120"/>
      <c r="CH45" s="120"/>
      <c r="CI45" s="72">
        <f t="shared" si="23"/>
        <v>0</v>
      </c>
      <c r="CJ45" s="120"/>
      <c r="CK45" s="120"/>
      <c r="CL45" s="120"/>
      <c r="CM45" s="72">
        <f t="shared" si="24"/>
        <v>0</v>
      </c>
      <c r="CN45" s="120"/>
      <c r="CO45" s="120"/>
      <c r="CP45" s="120"/>
      <c r="CQ45" s="72">
        <f t="shared" si="25"/>
        <v>0</v>
      </c>
      <c r="CR45" s="120"/>
      <c r="CS45" s="120"/>
      <c r="CT45" s="120"/>
      <c r="CU45" s="72">
        <f t="shared" si="26"/>
        <v>0</v>
      </c>
      <c r="CV45" s="120"/>
      <c r="CW45" s="120"/>
      <c r="CX45" s="120"/>
      <c r="CY45" s="72">
        <f t="shared" si="27"/>
        <v>0</v>
      </c>
      <c r="CZ45" s="120"/>
      <c r="DA45" s="120"/>
      <c r="DB45" s="120"/>
      <c r="DC45" s="72">
        <f t="shared" si="28"/>
        <v>0</v>
      </c>
      <c r="DD45" s="120"/>
      <c r="DE45" s="120"/>
      <c r="DF45" s="120"/>
      <c r="DG45" s="72">
        <f t="shared" si="29"/>
        <v>0</v>
      </c>
      <c r="DH45" s="120"/>
      <c r="DI45" s="120"/>
      <c r="DJ45" s="120"/>
      <c r="DK45" s="72">
        <f t="shared" si="30"/>
        <v>0</v>
      </c>
      <c r="DL45" s="120"/>
      <c r="DM45" s="120"/>
      <c r="DN45" s="120"/>
      <c r="DO45" s="72">
        <f t="shared" si="31"/>
        <v>0</v>
      </c>
      <c r="DP45" s="120"/>
      <c r="DQ45" s="120"/>
      <c r="DR45" s="120"/>
      <c r="DS45" s="72">
        <f t="shared" si="32"/>
        <v>0</v>
      </c>
      <c r="DT45" s="120"/>
      <c r="DU45" s="120"/>
      <c r="DV45" s="120"/>
      <c r="DW45" s="72">
        <f t="shared" si="33"/>
        <v>0</v>
      </c>
      <c r="DX45" s="120"/>
      <c r="DY45" s="120"/>
      <c r="DZ45" s="120"/>
      <c r="EA45" s="72">
        <f t="shared" si="34"/>
        <v>0</v>
      </c>
      <c r="EB45" s="120"/>
      <c r="EC45" s="120"/>
      <c r="ED45" s="120"/>
      <c r="EE45" s="72">
        <f t="shared" si="35"/>
        <v>0</v>
      </c>
      <c r="EF45" s="120"/>
      <c r="EG45" s="120"/>
      <c r="EH45" s="120"/>
      <c r="EI45" s="72">
        <f t="shared" si="36"/>
        <v>0</v>
      </c>
      <c r="EJ45" s="120"/>
      <c r="EK45" s="120"/>
      <c r="EL45" s="120"/>
      <c r="EM45" s="72">
        <f t="shared" si="37"/>
        <v>0</v>
      </c>
      <c r="EN45" s="120"/>
      <c r="EO45" s="120"/>
      <c r="EP45" s="120"/>
      <c r="EQ45" s="72">
        <f t="shared" si="38"/>
        <v>0</v>
      </c>
      <c r="ER45" s="120"/>
      <c r="ES45" s="120"/>
      <c r="ET45" s="120"/>
      <c r="EU45" s="72">
        <f t="shared" si="39"/>
        <v>0</v>
      </c>
      <c r="EV45" s="120"/>
      <c r="EW45" s="120"/>
      <c r="EX45" s="120"/>
      <c r="EY45" s="72">
        <f t="shared" si="40"/>
        <v>0</v>
      </c>
      <c r="EZ45" s="120"/>
      <c r="FA45" s="120"/>
      <c r="FB45" s="120"/>
      <c r="FC45" s="72">
        <f t="shared" si="41"/>
        <v>0</v>
      </c>
      <c r="FD45" s="120"/>
      <c r="FE45" s="120"/>
      <c r="FF45" s="120"/>
      <c r="FG45" s="72">
        <f t="shared" si="42"/>
        <v>0</v>
      </c>
      <c r="FH45" s="120"/>
      <c r="FI45" s="120"/>
      <c r="FJ45" s="120"/>
      <c r="FK45" s="72">
        <f t="shared" si="43"/>
        <v>0</v>
      </c>
      <c r="FL45" s="120"/>
      <c r="FM45" s="120"/>
      <c r="FN45" s="120"/>
      <c r="FO45" s="72">
        <f t="shared" si="44"/>
        <v>0</v>
      </c>
      <c r="FP45" s="120"/>
      <c r="FQ45" s="120"/>
      <c r="FR45" s="120"/>
      <c r="FS45" s="72">
        <f t="shared" si="45"/>
        <v>0</v>
      </c>
      <c r="FT45" s="120"/>
      <c r="FU45" s="120"/>
      <c r="FV45" s="120"/>
      <c r="FW45" s="72">
        <f t="shared" si="46"/>
        <v>0</v>
      </c>
      <c r="FX45" s="120"/>
      <c r="FY45" s="120"/>
      <c r="FZ45" s="120"/>
      <c r="GA45" s="72">
        <f t="shared" si="47"/>
        <v>0</v>
      </c>
      <c r="GB45" s="120"/>
      <c r="GC45" s="120"/>
      <c r="GD45" s="120"/>
      <c r="GE45" s="72">
        <f t="shared" si="48"/>
        <v>0</v>
      </c>
      <c r="GF45" s="120"/>
      <c r="GG45" s="120"/>
      <c r="GH45" s="120"/>
      <c r="GI45" s="72">
        <f t="shared" si="49"/>
        <v>0</v>
      </c>
      <c r="GJ45" s="120"/>
      <c r="GK45" s="120"/>
      <c r="GL45" s="120"/>
      <c r="GM45" s="72">
        <f t="shared" si="50"/>
        <v>0</v>
      </c>
      <c r="GN45" s="120"/>
      <c r="GO45" s="120"/>
      <c r="GP45" s="120"/>
      <c r="GQ45" s="72">
        <f t="shared" si="64"/>
        <v>0</v>
      </c>
      <c r="GR45" s="120"/>
      <c r="GS45" s="120"/>
      <c r="GT45" s="120"/>
      <c r="GU45" s="72">
        <f t="shared" si="62"/>
        <v>0</v>
      </c>
      <c r="GV45" s="120"/>
      <c r="GW45" s="120"/>
      <c r="GX45" s="120"/>
      <c r="GY45" s="72">
        <f t="shared" si="53"/>
        <v>0</v>
      </c>
      <c r="GZ45" s="120"/>
      <c r="HA45" s="120"/>
      <c r="HB45" s="120"/>
      <c r="HC45" s="72">
        <f t="shared" si="63"/>
        <v>0</v>
      </c>
      <c r="HD45" s="120"/>
      <c r="HE45" s="120"/>
      <c r="HF45" s="120"/>
      <c r="HG45" s="72">
        <f t="shared" si="68"/>
        <v>0</v>
      </c>
      <c r="HH45" s="120"/>
      <c r="HI45" s="120"/>
      <c r="HJ45" s="120"/>
      <c r="HK45" s="72">
        <f t="shared" si="56"/>
        <v>0</v>
      </c>
    </row>
    <row r="47">
      <c r="D47" s="150" t="s">
        <v>200</v>
      </c>
      <c r="E47" s="163" t="s">
        <v>44</v>
      </c>
    </row>
    <row r="48">
      <c r="D48" s="160" t="s">
        <v>201</v>
      </c>
      <c r="E48" s="178" t="s">
        <v>202</v>
      </c>
    </row>
    <row r="49">
      <c r="D49" s="22" t="s">
        <v>203</v>
      </c>
    </row>
  </sheetData>
  <autoFilter ref="$A$2:$HK$45">
    <sortState ref="A2:HK45">
      <sortCondition descending="1" ref="E2:E45"/>
    </sortState>
  </autoFilter>
  <mergeCells count="54">
    <mergeCell ref="F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CR1:CU1"/>
    <mergeCell ref="CV1:CY1"/>
    <mergeCell ref="CZ1:DC1"/>
    <mergeCell ref="DD1:DG1"/>
    <mergeCell ref="DH1:DK1"/>
    <mergeCell ref="DL1:DO1"/>
    <mergeCell ref="DP1:DS1"/>
    <mergeCell ref="DT1:DW1"/>
    <mergeCell ref="DX1:EA1"/>
    <mergeCell ref="EB1:EE1"/>
    <mergeCell ref="EF1:EI1"/>
    <mergeCell ref="EJ1:EM1"/>
    <mergeCell ref="EN1:EQ1"/>
    <mergeCell ref="ER1:EU1"/>
    <mergeCell ref="EV1:EY1"/>
    <mergeCell ref="EZ1:FC1"/>
    <mergeCell ref="FD1:FG1"/>
    <mergeCell ref="FH1:FK1"/>
    <mergeCell ref="FL1:FO1"/>
    <mergeCell ref="GR1:GU1"/>
    <mergeCell ref="GV1:GY1"/>
    <mergeCell ref="GZ1:HC1"/>
    <mergeCell ref="HD1:HG1"/>
    <mergeCell ref="HH1:HK1"/>
    <mergeCell ref="FP1:FS1"/>
    <mergeCell ref="FT1:FW1"/>
    <mergeCell ref="FX1:GA1"/>
    <mergeCell ref="GB1:GE1"/>
    <mergeCell ref="GF1:GI1"/>
    <mergeCell ref="GJ1:GM1"/>
    <mergeCell ref="GN1:GQ1"/>
  </mergeCells>
  <conditionalFormatting sqref="C3:C4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2" max="2" width="14.25"/>
    <col customWidth="1" min="4" max="4" width="13.25"/>
    <col hidden="1" min="6" max="6" width="12.63"/>
    <col customWidth="1" min="7" max="7" width="9.38"/>
    <col customWidth="1" min="8" max="8" width="6.13"/>
    <col customWidth="1" min="9" max="9" width="8.25"/>
    <col customWidth="1" min="10" max="11" width="7.5"/>
    <col customWidth="1" min="12" max="12" width="6.13"/>
    <col customWidth="1" min="13" max="13" width="8.13"/>
    <col customWidth="1" min="14" max="15" width="7.5"/>
    <col customWidth="1" min="16" max="16" width="6.13"/>
    <col customWidth="1" min="17" max="17" width="9.0"/>
    <col customWidth="1" min="18" max="19" width="7.5"/>
    <col customWidth="1" min="20" max="20" width="6.13"/>
    <col customWidth="1" min="21" max="21" width="8.75"/>
    <col customWidth="1" min="22" max="23" width="7.5"/>
    <col customWidth="1" min="24" max="24" width="6.13"/>
    <col customWidth="1" min="25" max="25" width="7.38"/>
    <col customWidth="1" min="26" max="27" width="7.5"/>
    <col customWidth="1" min="28" max="28" width="6.13"/>
    <col customWidth="1" min="29" max="29" width="7.75"/>
    <col customWidth="1" min="30" max="31" width="7.5"/>
    <col customWidth="1" min="32" max="32" width="6.13"/>
    <col customWidth="1" min="33" max="34" width="7.88"/>
    <col customWidth="1" min="35" max="35" width="7.5"/>
    <col customWidth="1" min="36" max="36" width="6.13"/>
    <col customWidth="1" min="37" max="37" width="14.63"/>
    <col customWidth="1" min="38" max="39" width="7.5"/>
    <col customWidth="1" min="40" max="40" width="6.13"/>
    <col customWidth="1" min="41" max="41" width="14.63"/>
    <col customWidth="1" min="42" max="43" width="7.5"/>
    <col customWidth="1" min="44" max="44" width="6.13"/>
    <col customWidth="1" min="45" max="45" width="14.63"/>
    <col customWidth="1" min="46" max="47" width="7.5"/>
    <col customWidth="1" min="48" max="48" width="6.13"/>
    <col customWidth="1" min="49" max="49" width="14.63"/>
    <col customWidth="1" min="50" max="51" width="7.5"/>
    <col customWidth="1" min="52" max="52" width="6.13"/>
    <col customWidth="1" min="53" max="53" width="14.63"/>
    <col customWidth="1" min="54" max="56" width="6.13"/>
    <col customWidth="1" min="57" max="57" width="12.38"/>
    <col customWidth="1" min="58" max="60" width="6.13"/>
    <col customWidth="1" min="61" max="61" width="11.0"/>
    <col customWidth="1" min="62" max="64" width="6.13"/>
    <col customWidth="1" min="65" max="65" width="12.38"/>
    <col customWidth="1" min="66" max="68" width="6.13"/>
    <col customWidth="1" min="69" max="69" width="12.38"/>
    <col customWidth="1" min="70" max="72" width="6.13"/>
    <col customWidth="1" min="73" max="73" width="11.25"/>
    <col customWidth="1" min="74" max="76" width="6.13"/>
    <col customWidth="1" min="77" max="77" width="11.25"/>
    <col customWidth="1" min="78" max="80" width="6.13"/>
    <col customWidth="1" min="81" max="81" width="11.25"/>
    <col customWidth="1" min="82" max="84" width="6.13"/>
    <col customWidth="1" min="85" max="85" width="11.25"/>
    <col customWidth="1" min="86" max="88" width="6.13"/>
    <col customWidth="1" min="89" max="89" width="10.75"/>
    <col customWidth="1" min="90" max="92" width="6.13"/>
    <col customWidth="1" min="93" max="93" width="10.75"/>
    <col customWidth="1" min="94" max="96" width="6.13"/>
    <col customWidth="1" min="97" max="97" width="10.75"/>
    <col customWidth="1" min="98" max="100" width="6.13"/>
    <col customWidth="1" min="101" max="101" width="10.75"/>
    <col customWidth="1" min="102" max="216" width="6.13"/>
  </cols>
  <sheetData>
    <row r="1">
      <c r="A1" s="5"/>
      <c r="B1" s="5"/>
      <c r="C1" s="8"/>
      <c r="D1" s="8"/>
      <c r="E1" s="8"/>
      <c r="F1" s="8"/>
      <c r="G1" s="10">
        <v>45267.0</v>
      </c>
      <c r="H1" s="12"/>
      <c r="I1" s="14">
        <f>G$1+7</f>
        <v>45274</v>
      </c>
      <c r="J1" s="16"/>
      <c r="K1" s="16"/>
      <c r="L1" s="12"/>
      <c r="M1" s="14">
        <f>I$1+7</f>
        <v>45281</v>
      </c>
      <c r="N1" s="16"/>
      <c r="O1" s="16"/>
      <c r="P1" s="12"/>
      <c r="Q1" s="14">
        <f>M$1+7</f>
        <v>45288</v>
      </c>
      <c r="R1" s="16"/>
      <c r="S1" s="16"/>
      <c r="T1" s="12"/>
      <c r="U1" s="14">
        <f>Q$1+7</f>
        <v>45295</v>
      </c>
      <c r="V1" s="16"/>
      <c r="W1" s="16"/>
      <c r="X1" s="12"/>
      <c r="Y1" s="14">
        <f>U$1+7</f>
        <v>45302</v>
      </c>
      <c r="Z1" s="16"/>
      <c r="AA1" s="16"/>
      <c r="AB1" s="12"/>
      <c r="AC1" s="14">
        <f>Y$1+7</f>
        <v>45309</v>
      </c>
      <c r="AD1" s="16"/>
      <c r="AE1" s="16"/>
      <c r="AF1" s="12"/>
      <c r="AG1" s="14">
        <f>AC$1+7</f>
        <v>45316</v>
      </c>
      <c r="AH1" s="16"/>
      <c r="AI1" s="16"/>
      <c r="AJ1" s="12"/>
      <c r="AK1" s="14">
        <f>AG$1+7</f>
        <v>45323</v>
      </c>
      <c r="AL1" s="16"/>
      <c r="AM1" s="16"/>
      <c r="AN1" s="12"/>
      <c r="AO1" s="14">
        <f>AK$1+7</f>
        <v>45330</v>
      </c>
      <c r="AP1" s="16"/>
      <c r="AQ1" s="16"/>
      <c r="AR1" s="12"/>
      <c r="AS1" s="14">
        <f>AO$1+7</f>
        <v>45337</v>
      </c>
      <c r="AT1" s="16"/>
      <c r="AU1" s="16"/>
      <c r="AV1" s="12"/>
      <c r="AW1" s="14">
        <f>AS$1+7</f>
        <v>45344</v>
      </c>
      <c r="AX1" s="16"/>
      <c r="AY1" s="16"/>
      <c r="AZ1" s="12"/>
      <c r="BA1" s="14">
        <f>AW$1+7</f>
        <v>45351</v>
      </c>
      <c r="BB1" s="16"/>
      <c r="BC1" s="16"/>
      <c r="BD1" s="12"/>
      <c r="BE1" s="14">
        <f>BA$1+7</f>
        <v>45358</v>
      </c>
      <c r="BF1" s="16"/>
      <c r="BG1" s="16"/>
      <c r="BH1" s="12"/>
      <c r="BI1" s="14">
        <f>BE$1+7</f>
        <v>45365</v>
      </c>
      <c r="BJ1" s="16"/>
      <c r="BK1" s="16"/>
      <c r="BL1" s="12"/>
      <c r="BM1" s="14">
        <f>BI$1+7</f>
        <v>45372</v>
      </c>
      <c r="BN1" s="16"/>
      <c r="BO1" s="16"/>
      <c r="BP1" s="12"/>
      <c r="BQ1" s="14">
        <f>BM$1+7</f>
        <v>45379</v>
      </c>
      <c r="BR1" s="16"/>
      <c r="BS1" s="16"/>
      <c r="BT1" s="12"/>
      <c r="BU1" s="14">
        <f>BQ$1+7</f>
        <v>45386</v>
      </c>
      <c r="BV1" s="16"/>
      <c r="BW1" s="16"/>
      <c r="BX1" s="12"/>
      <c r="BY1" s="14">
        <f>BU$1+7</f>
        <v>45393</v>
      </c>
      <c r="BZ1" s="16"/>
      <c r="CA1" s="16"/>
      <c r="CB1" s="12"/>
      <c r="CC1" s="14">
        <f>BY$1+7</f>
        <v>45400</v>
      </c>
      <c r="CD1" s="16"/>
      <c r="CE1" s="16"/>
      <c r="CF1" s="12"/>
      <c r="CG1" s="14">
        <f>CC$1+7</f>
        <v>45407</v>
      </c>
      <c r="CH1" s="16"/>
      <c r="CI1" s="16"/>
      <c r="CJ1" s="12"/>
      <c r="CK1" s="14">
        <f>CG$1+7</f>
        <v>45414</v>
      </c>
      <c r="CL1" s="16"/>
      <c r="CM1" s="16"/>
      <c r="CN1" s="12"/>
      <c r="CO1" s="14">
        <f>CK$1+7</f>
        <v>45421</v>
      </c>
      <c r="CP1" s="16"/>
      <c r="CQ1" s="16"/>
      <c r="CR1" s="12"/>
      <c r="CS1" s="14">
        <f>CO$1+7</f>
        <v>45428</v>
      </c>
      <c r="CT1" s="16"/>
      <c r="CU1" s="16"/>
      <c r="CV1" s="12"/>
      <c r="CW1" s="14">
        <f>CS$1+7</f>
        <v>45435</v>
      </c>
      <c r="CX1" s="16"/>
      <c r="CY1" s="16"/>
      <c r="CZ1" s="12"/>
      <c r="DA1" s="14">
        <f>CW$1+7</f>
        <v>45442</v>
      </c>
      <c r="DB1" s="16"/>
      <c r="DC1" s="16"/>
      <c r="DD1" s="12"/>
      <c r="DE1" s="14">
        <f>DA$1+7</f>
        <v>45449</v>
      </c>
      <c r="DF1" s="16"/>
      <c r="DG1" s="16"/>
      <c r="DH1" s="12"/>
      <c r="DI1" s="14">
        <f>DE$1+7</f>
        <v>45456</v>
      </c>
      <c r="DJ1" s="16"/>
      <c r="DK1" s="16"/>
      <c r="DL1" s="12"/>
      <c r="DM1" s="14">
        <f>DI$1+7</f>
        <v>45463</v>
      </c>
      <c r="DN1" s="16"/>
      <c r="DO1" s="16"/>
      <c r="DP1" s="12"/>
      <c r="DQ1" s="14">
        <f>DM$1+7</f>
        <v>45470</v>
      </c>
      <c r="DR1" s="16"/>
      <c r="DS1" s="16"/>
      <c r="DT1" s="12"/>
      <c r="DU1" s="14">
        <f>DQ$1+7</f>
        <v>45477</v>
      </c>
      <c r="DV1" s="16"/>
      <c r="DW1" s="16"/>
      <c r="DX1" s="12"/>
      <c r="DY1" s="14">
        <f>DU$1+7</f>
        <v>45484</v>
      </c>
      <c r="DZ1" s="16"/>
      <c r="EA1" s="16"/>
      <c r="EB1" s="12"/>
      <c r="EC1" s="14">
        <f>DY$1+7</f>
        <v>45491</v>
      </c>
      <c r="ED1" s="16"/>
      <c r="EE1" s="16"/>
      <c r="EF1" s="12"/>
      <c r="EG1" s="14">
        <f>EC$1+7</f>
        <v>45498</v>
      </c>
      <c r="EH1" s="16"/>
      <c r="EI1" s="16"/>
      <c r="EJ1" s="12"/>
      <c r="EK1" s="14">
        <f>EG$1+7</f>
        <v>45505</v>
      </c>
      <c r="EL1" s="16"/>
      <c r="EM1" s="16"/>
      <c r="EN1" s="12"/>
      <c r="EO1" s="14">
        <f>EK$1+7</f>
        <v>45512</v>
      </c>
      <c r="EP1" s="16"/>
      <c r="EQ1" s="16"/>
      <c r="ER1" s="12"/>
      <c r="ES1" s="14">
        <f>EO$1+7</f>
        <v>45519</v>
      </c>
      <c r="ET1" s="16"/>
      <c r="EU1" s="16"/>
      <c r="EV1" s="12"/>
      <c r="EW1" s="14">
        <f>ES$1+7</f>
        <v>45526</v>
      </c>
      <c r="EX1" s="16"/>
      <c r="EY1" s="16"/>
      <c r="EZ1" s="12"/>
      <c r="FA1" s="14">
        <f>EW$1+7</f>
        <v>45533</v>
      </c>
      <c r="FB1" s="16"/>
      <c r="FC1" s="16"/>
      <c r="FD1" s="12"/>
      <c r="FE1" s="14">
        <f>FA$1+7</f>
        <v>45540</v>
      </c>
      <c r="FF1" s="16"/>
      <c r="FG1" s="16"/>
      <c r="FH1" s="12"/>
      <c r="FI1" s="14">
        <f>FE$1+7</f>
        <v>45547</v>
      </c>
      <c r="FJ1" s="16"/>
      <c r="FK1" s="16"/>
      <c r="FL1" s="12"/>
      <c r="FM1" s="14">
        <f>FI$1+7</f>
        <v>45554</v>
      </c>
      <c r="FN1" s="16"/>
      <c r="FO1" s="16"/>
      <c r="FP1" s="12"/>
      <c r="FQ1" s="14">
        <f>FM$1+7</f>
        <v>45561</v>
      </c>
      <c r="FR1" s="16"/>
      <c r="FS1" s="16"/>
      <c r="FT1" s="12"/>
      <c r="FU1" s="14">
        <f>FQ$1+7</f>
        <v>45568</v>
      </c>
      <c r="FV1" s="16"/>
      <c r="FW1" s="16"/>
      <c r="FX1" s="12"/>
      <c r="FY1" s="14">
        <f>FU$1+7</f>
        <v>45575</v>
      </c>
      <c r="FZ1" s="16"/>
      <c r="GA1" s="16"/>
      <c r="GB1" s="12"/>
      <c r="GC1" s="14">
        <f>FY$1+7</f>
        <v>45582</v>
      </c>
      <c r="GD1" s="16"/>
      <c r="GE1" s="16"/>
      <c r="GF1" s="12"/>
      <c r="GG1" s="14">
        <f>GC$1+7</f>
        <v>45589</v>
      </c>
      <c r="GH1" s="16"/>
      <c r="GI1" s="16"/>
      <c r="GJ1" s="12"/>
      <c r="GK1" s="14">
        <f>GG$1+7</f>
        <v>45596</v>
      </c>
      <c r="GL1" s="16"/>
      <c r="GM1" s="16"/>
      <c r="GN1" s="12"/>
      <c r="GO1" s="14">
        <f>GK$1+7</f>
        <v>45603</v>
      </c>
      <c r="GP1" s="16"/>
      <c r="GQ1" s="16"/>
      <c r="GR1" s="12"/>
      <c r="GS1" s="14">
        <f>GO$1+7</f>
        <v>45610</v>
      </c>
      <c r="GT1" s="16"/>
      <c r="GU1" s="16"/>
      <c r="GV1" s="12"/>
      <c r="GW1" s="14">
        <f>GS$1+7</f>
        <v>45617</v>
      </c>
      <c r="GX1" s="16"/>
      <c r="GY1" s="16"/>
      <c r="GZ1" s="12"/>
      <c r="HA1" s="14">
        <f>GW$1+7</f>
        <v>45624</v>
      </c>
      <c r="HB1" s="16"/>
      <c r="HC1" s="16"/>
      <c r="HD1" s="12"/>
      <c r="HE1" s="14">
        <f>HA$1+7</f>
        <v>45631</v>
      </c>
      <c r="HF1" s="16"/>
      <c r="HG1" s="16"/>
      <c r="HH1" s="12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67</v>
      </c>
      <c r="G2" s="31" t="s">
        <v>68</v>
      </c>
      <c r="H2" s="32" t="s">
        <v>70</v>
      </c>
      <c r="I2" s="31" t="s">
        <v>71</v>
      </c>
      <c r="J2" s="31" t="s">
        <v>72</v>
      </c>
      <c r="K2" s="31" t="s">
        <v>68</v>
      </c>
      <c r="L2" s="32" t="s">
        <v>70</v>
      </c>
      <c r="M2" s="31" t="s">
        <v>71</v>
      </c>
      <c r="N2" s="31" t="s">
        <v>72</v>
      </c>
      <c r="O2" s="31" t="s">
        <v>68</v>
      </c>
      <c r="P2" s="32" t="s">
        <v>70</v>
      </c>
      <c r="Q2" s="31" t="s">
        <v>71</v>
      </c>
      <c r="R2" s="31" t="s">
        <v>72</v>
      </c>
      <c r="S2" s="31" t="s">
        <v>68</v>
      </c>
      <c r="T2" s="32" t="s">
        <v>70</v>
      </c>
      <c r="U2" s="31" t="s">
        <v>71</v>
      </c>
      <c r="V2" s="31" t="s">
        <v>72</v>
      </c>
      <c r="W2" s="31" t="s">
        <v>68</v>
      </c>
      <c r="X2" s="32" t="s">
        <v>70</v>
      </c>
      <c r="Y2" s="31" t="s">
        <v>71</v>
      </c>
      <c r="Z2" s="31" t="s">
        <v>72</v>
      </c>
      <c r="AA2" s="31" t="s">
        <v>68</v>
      </c>
      <c r="AB2" s="32" t="s">
        <v>70</v>
      </c>
      <c r="AC2" s="31" t="s">
        <v>71</v>
      </c>
      <c r="AD2" s="31" t="s">
        <v>72</v>
      </c>
      <c r="AE2" s="31" t="s">
        <v>68</v>
      </c>
      <c r="AF2" s="32" t="s">
        <v>70</v>
      </c>
      <c r="AG2" s="31" t="s">
        <v>71</v>
      </c>
      <c r="AH2" s="31" t="s">
        <v>72</v>
      </c>
      <c r="AI2" s="31" t="s">
        <v>68</v>
      </c>
      <c r="AJ2" s="32" t="s">
        <v>70</v>
      </c>
      <c r="AK2" s="31" t="s">
        <v>71</v>
      </c>
      <c r="AL2" s="31" t="s">
        <v>72</v>
      </c>
      <c r="AM2" s="31" t="s">
        <v>68</v>
      </c>
      <c r="AN2" s="32" t="s">
        <v>70</v>
      </c>
      <c r="AO2" s="31" t="s">
        <v>71</v>
      </c>
      <c r="AP2" s="31" t="s">
        <v>72</v>
      </c>
      <c r="AQ2" s="31" t="s">
        <v>68</v>
      </c>
      <c r="AR2" s="32" t="s">
        <v>70</v>
      </c>
      <c r="AS2" s="31" t="s">
        <v>71</v>
      </c>
      <c r="AT2" s="31" t="s">
        <v>72</v>
      </c>
      <c r="AU2" s="31" t="s">
        <v>68</v>
      </c>
      <c r="AV2" s="32" t="s">
        <v>70</v>
      </c>
      <c r="AW2" s="31" t="s">
        <v>71</v>
      </c>
      <c r="AX2" s="31" t="s">
        <v>72</v>
      </c>
      <c r="AY2" s="31" t="s">
        <v>68</v>
      </c>
      <c r="AZ2" s="32" t="s">
        <v>70</v>
      </c>
      <c r="BA2" s="31" t="s">
        <v>71</v>
      </c>
      <c r="BB2" s="31" t="s">
        <v>72</v>
      </c>
      <c r="BC2" s="31" t="s">
        <v>68</v>
      </c>
      <c r="BD2" s="32" t="s">
        <v>70</v>
      </c>
      <c r="BE2" s="31" t="s">
        <v>71</v>
      </c>
      <c r="BF2" s="31" t="s">
        <v>72</v>
      </c>
      <c r="BG2" s="31" t="s">
        <v>68</v>
      </c>
      <c r="BH2" s="32" t="s">
        <v>70</v>
      </c>
      <c r="BI2" s="31" t="s">
        <v>71</v>
      </c>
      <c r="BJ2" s="31" t="s">
        <v>72</v>
      </c>
      <c r="BK2" s="31" t="s">
        <v>68</v>
      </c>
      <c r="BL2" s="32" t="s">
        <v>70</v>
      </c>
      <c r="BM2" s="31" t="s">
        <v>71</v>
      </c>
      <c r="BN2" s="31" t="s">
        <v>72</v>
      </c>
      <c r="BO2" s="31" t="s">
        <v>68</v>
      </c>
      <c r="BP2" s="32" t="s">
        <v>70</v>
      </c>
      <c r="BQ2" s="31" t="s">
        <v>71</v>
      </c>
      <c r="BR2" s="31" t="s">
        <v>72</v>
      </c>
      <c r="BS2" s="31" t="s">
        <v>68</v>
      </c>
      <c r="BT2" s="32" t="s">
        <v>70</v>
      </c>
      <c r="BU2" s="31" t="s">
        <v>71</v>
      </c>
      <c r="BV2" s="31" t="s">
        <v>72</v>
      </c>
      <c r="BW2" s="31" t="s">
        <v>68</v>
      </c>
      <c r="BX2" s="32" t="s">
        <v>70</v>
      </c>
      <c r="BY2" s="31" t="s">
        <v>71</v>
      </c>
      <c r="BZ2" s="31" t="s">
        <v>72</v>
      </c>
      <c r="CA2" s="31" t="s">
        <v>68</v>
      </c>
      <c r="CB2" s="32" t="s">
        <v>70</v>
      </c>
      <c r="CC2" s="31" t="s">
        <v>71</v>
      </c>
      <c r="CD2" s="31" t="s">
        <v>72</v>
      </c>
      <c r="CE2" s="31" t="s">
        <v>68</v>
      </c>
      <c r="CF2" s="32" t="s">
        <v>70</v>
      </c>
      <c r="CG2" s="31" t="s">
        <v>71</v>
      </c>
      <c r="CH2" s="31" t="s">
        <v>72</v>
      </c>
      <c r="CI2" s="31" t="s">
        <v>68</v>
      </c>
      <c r="CJ2" s="32" t="s">
        <v>70</v>
      </c>
      <c r="CK2" s="31" t="s">
        <v>71</v>
      </c>
      <c r="CL2" s="31" t="s">
        <v>72</v>
      </c>
      <c r="CM2" s="31" t="s">
        <v>68</v>
      </c>
      <c r="CN2" s="32" t="s">
        <v>70</v>
      </c>
      <c r="CO2" s="31" t="s">
        <v>71</v>
      </c>
      <c r="CP2" s="31" t="s">
        <v>72</v>
      </c>
      <c r="CQ2" s="31" t="s">
        <v>68</v>
      </c>
      <c r="CR2" s="32" t="s">
        <v>70</v>
      </c>
      <c r="CS2" s="31" t="s">
        <v>71</v>
      </c>
      <c r="CT2" s="31" t="s">
        <v>72</v>
      </c>
      <c r="CU2" s="31" t="s">
        <v>68</v>
      </c>
      <c r="CV2" s="32" t="s">
        <v>70</v>
      </c>
      <c r="CW2" s="31" t="s">
        <v>71</v>
      </c>
      <c r="CX2" s="31" t="s">
        <v>72</v>
      </c>
      <c r="CY2" s="31" t="s">
        <v>68</v>
      </c>
      <c r="CZ2" s="32" t="s">
        <v>70</v>
      </c>
      <c r="DA2" s="31" t="s">
        <v>71</v>
      </c>
      <c r="DB2" s="31" t="s">
        <v>72</v>
      </c>
      <c r="DC2" s="31" t="s">
        <v>68</v>
      </c>
      <c r="DD2" s="32" t="s">
        <v>70</v>
      </c>
      <c r="DE2" s="31" t="s">
        <v>71</v>
      </c>
      <c r="DF2" s="31" t="s">
        <v>72</v>
      </c>
      <c r="DG2" s="31" t="s">
        <v>68</v>
      </c>
      <c r="DH2" s="32" t="s">
        <v>70</v>
      </c>
      <c r="DI2" s="31" t="s">
        <v>71</v>
      </c>
      <c r="DJ2" s="31" t="s">
        <v>72</v>
      </c>
      <c r="DK2" s="31" t="s">
        <v>68</v>
      </c>
      <c r="DL2" s="32" t="s">
        <v>70</v>
      </c>
      <c r="DM2" s="31" t="s">
        <v>71</v>
      </c>
      <c r="DN2" s="31" t="s">
        <v>72</v>
      </c>
      <c r="DO2" s="31" t="s">
        <v>68</v>
      </c>
      <c r="DP2" s="32" t="s">
        <v>70</v>
      </c>
      <c r="DQ2" s="31" t="s">
        <v>71</v>
      </c>
      <c r="DR2" s="31" t="s">
        <v>72</v>
      </c>
      <c r="DS2" s="31" t="s">
        <v>68</v>
      </c>
      <c r="DT2" s="32" t="s">
        <v>70</v>
      </c>
      <c r="DU2" s="31" t="s">
        <v>71</v>
      </c>
      <c r="DV2" s="31" t="s">
        <v>72</v>
      </c>
      <c r="DW2" s="31" t="s">
        <v>68</v>
      </c>
      <c r="DX2" s="32" t="s">
        <v>70</v>
      </c>
      <c r="DY2" s="31" t="s">
        <v>71</v>
      </c>
      <c r="DZ2" s="31" t="s">
        <v>72</v>
      </c>
      <c r="EA2" s="31" t="s">
        <v>68</v>
      </c>
      <c r="EB2" s="32" t="s">
        <v>70</v>
      </c>
      <c r="EC2" s="31" t="s">
        <v>71</v>
      </c>
      <c r="ED2" s="31" t="s">
        <v>72</v>
      </c>
      <c r="EE2" s="31" t="s">
        <v>68</v>
      </c>
      <c r="EF2" s="32" t="s">
        <v>70</v>
      </c>
      <c r="EG2" s="31" t="s">
        <v>71</v>
      </c>
      <c r="EH2" s="31" t="s">
        <v>72</v>
      </c>
      <c r="EI2" s="31" t="s">
        <v>68</v>
      </c>
      <c r="EJ2" s="32" t="s">
        <v>70</v>
      </c>
      <c r="EK2" s="31" t="s">
        <v>71</v>
      </c>
      <c r="EL2" s="31" t="s">
        <v>72</v>
      </c>
      <c r="EM2" s="31" t="s">
        <v>68</v>
      </c>
      <c r="EN2" s="32" t="s">
        <v>70</v>
      </c>
      <c r="EO2" s="31" t="s">
        <v>71</v>
      </c>
      <c r="EP2" s="31" t="s">
        <v>72</v>
      </c>
      <c r="EQ2" s="31" t="s">
        <v>68</v>
      </c>
      <c r="ER2" s="32" t="s">
        <v>70</v>
      </c>
      <c r="ES2" s="31" t="s">
        <v>71</v>
      </c>
      <c r="ET2" s="31" t="s">
        <v>72</v>
      </c>
      <c r="EU2" s="31" t="s">
        <v>68</v>
      </c>
      <c r="EV2" s="32" t="s">
        <v>70</v>
      </c>
      <c r="EW2" s="31" t="s">
        <v>71</v>
      </c>
      <c r="EX2" s="31" t="s">
        <v>72</v>
      </c>
      <c r="EY2" s="31" t="s">
        <v>68</v>
      </c>
      <c r="EZ2" s="32" t="s">
        <v>70</v>
      </c>
      <c r="FA2" s="31" t="s">
        <v>71</v>
      </c>
      <c r="FB2" s="31" t="s">
        <v>72</v>
      </c>
      <c r="FC2" s="31" t="s">
        <v>68</v>
      </c>
      <c r="FD2" s="32" t="s">
        <v>70</v>
      </c>
      <c r="FE2" s="31" t="s">
        <v>71</v>
      </c>
      <c r="FF2" s="31" t="s">
        <v>72</v>
      </c>
      <c r="FG2" s="31" t="s">
        <v>68</v>
      </c>
      <c r="FH2" s="32" t="s">
        <v>70</v>
      </c>
      <c r="FI2" s="31" t="s">
        <v>71</v>
      </c>
      <c r="FJ2" s="31" t="s">
        <v>72</v>
      </c>
      <c r="FK2" s="31" t="s">
        <v>68</v>
      </c>
      <c r="FL2" s="32" t="s">
        <v>70</v>
      </c>
      <c r="FM2" s="31" t="s">
        <v>71</v>
      </c>
      <c r="FN2" s="31" t="s">
        <v>72</v>
      </c>
      <c r="FO2" s="31" t="s">
        <v>68</v>
      </c>
      <c r="FP2" s="32" t="s">
        <v>70</v>
      </c>
      <c r="FQ2" s="31" t="s">
        <v>71</v>
      </c>
      <c r="FR2" s="31" t="s">
        <v>72</v>
      </c>
      <c r="FS2" s="31" t="s">
        <v>68</v>
      </c>
      <c r="FT2" s="32" t="s">
        <v>70</v>
      </c>
      <c r="FU2" s="31" t="s">
        <v>71</v>
      </c>
      <c r="FV2" s="31" t="s">
        <v>72</v>
      </c>
      <c r="FW2" s="31" t="s">
        <v>68</v>
      </c>
      <c r="FX2" s="32" t="s">
        <v>70</v>
      </c>
      <c r="FY2" s="31" t="s">
        <v>71</v>
      </c>
      <c r="FZ2" s="31" t="s">
        <v>72</v>
      </c>
      <c r="GA2" s="31" t="s">
        <v>68</v>
      </c>
      <c r="GB2" s="32" t="s">
        <v>70</v>
      </c>
      <c r="GC2" s="31" t="s">
        <v>71</v>
      </c>
      <c r="GD2" s="31" t="s">
        <v>72</v>
      </c>
      <c r="GE2" s="31" t="s">
        <v>68</v>
      </c>
      <c r="GF2" s="32" t="s">
        <v>70</v>
      </c>
      <c r="GG2" s="31" t="s">
        <v>71</v>
      </c>
      <c r="GH2" s="31" t="s">
        <v>72</v>
      </c>
      <c r="GI2" s="31" t="s">
        <v>68</v>
      </c>
      <c r="GJ2" s="32" t="s">
        <v>70</v>
      </c>
      <c r="GK2" s="31" t="s">
        <v>71</v>
      </c>
      <c r="GL2" s="31" t="s">
        <v>72</v>
      </c>
      <c r="GM2" s="31" t="s">
        <v>68</v>
      </c>
      <c r="GN2" s="32" t="s">
        <v>70</v>
      </c>
      <c r="GO2" s="31" t="s">
        <v>71</v>
      </c>
      <c r="GP2" s="31" t="s">
        <v>72</v>
      </c>
      <c r="GQ2" s="31" t="s">
        <v>68</v>
      </c>
      <c r="GR2" s="32" t="s">
        <v>70</v>
      </c>
      <c r="GS2" s="31" t="s">
        <v>71</v>
      </c>
      <c r="GT2" s="31" t="s">
        <v>72</v>
      </c>
      <c r="GU2" s="31" t="s">
        <v>68</v>
      </c>
      <c r="GV2" s="32" t="s">
        <v>70</v>
      </c>
      <c r="GW2" s="31" t="s">
        <v>71</v>
      </c>
      <c r="GX2" s="31" t="s">
        <v>72</v>
      </c>
      <c r="GY2" s="31" t="s">
        <v>68</v>
      </c>
      <c r="GZ2" s="32" t="s">
        <v>70</v>
      </c>
      <c r="HA2" s="31" t="s">
        <v>71</v>
      </c>
      <c r="HB2" s="31" t="s">
        <v>72</v>
      </c>
      <c r="HC2" s="31" t="s">
        <v>68</v>
      </c>
      <c r="HD2" s="32" t="s">
        <v>70</v>
      </c>
      <c r="HE2" s="31" t="s">
        <v>71</v>
      </c>
      <c r="HF2" s="31" t="s">
        <v>72</v>
      </c>
      <c r="HG2" s="31" t="s">
        <v>68</v>
      </c>
      <c r="HH2" s="32" t="s">
        <v>70</v>
      </c>
    </row>
    <row r="3">
      <c r="A3" s="20" t="s">
        <v>17</v>
      </c>
      <c r="B3" s="21" t="s">
        <v>18</v>
      </c>
      <c r="C3" s="1">
        <f t="shared" ref="C3:C41" si="1">countA($A$3:A3)</f>
        <v>1</v>
      </c>
      <c r="D3" s="15">
        <f>VLOOKUP(A3,TDP!A:C,3,FALSE)</f>
        <v>0.54</v>
      </c>
      <c r="E3" s="37">
        <f t="shared" ref="E3:E41" si="2">(1+$D3)*sum($H3,$L3,$P3,$T3,$X3,$AB3,$AF3,$AJ3,$AN3,$AR3,$AV3,$AZ3,$BD3,$BH3,$BL3,$BP3,$BT3,$BX3,$CB3,$CF3,$CJ3,$CN3,$CR3,$CV3,$CZ3,$DD3,$DH3,$DL3,$DP3,$DT3,$DX3,$EB3,$EF3,$EJ3,$EN3,$ER3,$EV3,$EZ3,$FD3,$FH3,$FL3,$FP3,$FT3,$FX3,$GB3,$GF3,$GJ3,$GN3,$GR3,$GV3,$GZ3,$HD3,$HH3)</f>
        <v>337.26</v>
      </c>
      <c r="F3" s="1">
        <f>VLOOKUP($A3,Valoracion!$A:$J,9,FALSE)</f>
        <v>1</v>
      </c>
      <c r="G3" s="7">
        <v>1.0</v>
      </c>
      <c r="H3" s="39">
        <f t="shared" ref="H3:H8" si="3">if(G3=1, 7, 0 )</f>
        <v>7</v>
      </c>
      <c r="I3" s="7">
        <v>1.0</v>
      </c>
      <c r="J3" s="7">
        <v>1.0</v>
      </c>
      <c r="K3" s="7">
        <v>1.0</v>
      </c>
      <c r="L3" s="39">
        <f t="shared" ref="L3:L8" si="4"> if( I3=1, if( J3=1, if( K3=1, 5, 3), if( K3=1, 1, -3 ) ), if(J3=1,if(K3=1, -1, -2 ), if(K3=1, 7, 0 ) ) )</f>
        <v>5</v>
      </c>
      <c r="M3" s="7"/>
      <c r="N3" s="7"/>
      <c r="O3" s="7"/>
      <c r="P3" s="39">
        <f t="shared" ref="P3:P8" si="5"> if( M3=1, if( N3=1, if( O3=1, 5, 3), if( O3=1, 1, -3 ) ), if(N3=1,if(O3=1, -1, -2 ), if(O3=1, 7, 0 ) ) )</f>
        <v>0</v>
      </c>
      <c r="Q3" s="7">
        <v>1.0</v>
      </c>
      <c r="R3" s="7">
        <v>1.0</v>
      </c>
      <c r="S3" s="7">
        <v>1.0</v>
      </c>
      <c r="T3" s="39">
        <f t="shared" ref="T3:T41" si="6"> if( Q3=1, if( R3=1, if( S3=1, 5, 3), if( S3=1, 1, -3 ) ), if(R3=1,if(S3=1, -1, -2 ), if(S3=1, 7, 0 ) ) )</f>
        <v>5</v>
      </c>
      <c r="U3" s="7">
        <v>1.0</v>
      </c>
      <c r="V3" s="7">
        <v>1.0</v>
      </c>
      <c r="W3" s="7">
        <v>1.0</v>
      </c>
      <c r="X3" s="39">
        <f t="shared" ref="X3:X41" si="7"> if( U3=1, if( V3=1, if( W3=1, 5, 3), if( W3=1, 1, -3 ) ), if(V3=1,if(W3=1, -1, -2 ), if(W3=1, 7, 0 ) ) )</f>
        <v>5</v>
      </c>
      <c r="Y3" s="41"/>
      <c r="Z3" s="41"/>
      <c r="AA3" s="41"/>
      <c r="AB3" s="42">
        <f t="shared" ref="AB3:AB41" si="8"> if( Y3=1, if( Z3=1, if( AA3=1, 5, 3), if( AA3=1, 1, -3 ) ), if(Z3=1,if(AA3=1, -1, -2 ), if(AA3=1, 7, 0 ) ) )</f>
        <v>0</v>
      </c>
      <c r="AC3" s="7"/>
      <c r="AD3" s="7"/>
      <c r="AE3" s="7">
        <v>1.0</v>
      </c>
      <c r="AF3" s="39">
        <f t="shared" ref="AF3:AF9" si="9"> if( AC3=1, if( AD3=1, if( AE3=1, 5, 3), if( AE3=1, 1, -3 ) ), if(AD3=1,if(AE3=1, -1, -2 ), if(AE3=1, 7, 0 ) ) )</f>
        <v>7</v>
      </c>
      <c r="AG3" s="7">
        <v>1.0</v>
      </c>
      <c r="AH3" s="7">
        <v>1.0</v>
      </c>
      <c r="AI3" s="7">
        <v>1.0</v>
      </c>
      <c r="AJ3" s="39">
        <f t="shared" ref="AJ3:AJ41" si="10"> if( AG3=1, if( AH3=1, if( AI3=1, 5, 3), if( AI3=1, 1, -3 ) ), if(AH3=1,if(AI3=1, -1, -2 ), if(AI3=1, 7, 0 ) ) )</f>
        <v>5</v>
      </c>
      <c r="AK3" s="7">
        <v>1.0</v>
      </c>
      <c r="AL3" s="7">
        <v>1.0</v>
      </c>
      <c r="AM3" s="7">
        <v>1.0</v>
      </c>
      <c r="AN3" s="39">
        <f t="shared" ref="AN3:AN41" si="11"> if( AK3=1, if( AL3=1, if( AM3=1, 5, 3), if( AM3=1, 1, -3 ) ), if(AL3=1,if(AM3=1, -1, -2 ), if(AM3=1, 7, 0 ) ) )</f>
        <v>5</v>
      </c>
      <c r="AO3" s="7">
        <v>1.0</v>
      </c>
      <c r="AP3" s="7">
        <v>1.0</v>
      </c>
      <c r="AQ3" s="7">
        <v>1.0</v>
      </c>
      <c r="AR3" s="39">
        <f t="shared" ref="AR3:AR41" si="12"> if( AO3=1, if( AP3=1, if( AQ3=1, 5, 3), if( AQ3=1, 1, -3 ) ), if(AP3=1,if(AQ3=1, -1, -2 ), if(AQ3=1, 7, 0 ) ) )</f>
        <v>5</v>
      </c>
      <c r="AS3" s="7">
        <v>1.0</v>
      </c>
      <c r="AT3" s="7">
        <v>1.0</v>
      </c>
      <c r="AU3" s="7">
        <v>1.0</v>
      </c>
      <c r="AV3" s="39">
        <f t="shared" ref="AV3:AV7" si="13"> if( AS3=1, if( AT3=1, if( AU3=1, 5, 3), if( AU3=1, 1, -3 ) ), if(AT3=1,if(AU3=1, -1, -2 ), if(AU3=1, 7, 0 ) ) )</f>
        <v>5</v>
      </c>
      <c r="AW3" s="7">
        <v>1.0</v>
      </c>
      <c r="AX3" s="7">
        <v>1.0</v>
      </c>
      <c r="AY3" s="7">
        <v>1.0</v>
      </c>
      <c r="AZ3" s="39">
        <f t="shared" ref="AZ3:AZ8" si="14"> if( AW3=1, if( AX3=1, if( AY3=1, 5, 3), if( AY3=1, 1, -3 ) ), if(AX3=1,if(AY3=1, -1, -2 ), if(AY3=1, 7, 0 ) ) )</f>
        <v>5</v>
      </c>
      <c r="BA3" s="7">
        <v>1.0</v>
      </c>
      <c r="BB3" s="7">
        <v>1.0</v>
      </c>
      <c r="BC3" s="7">
        <v>1.0</v>
      </c>
      <c r="BD3" s="39">
        <f t="shared" ref="BD3:BD41" si="15"> if( BA3=1, if( BB3=1, if( BC3=1, 5, 3), if( BC3=1, 1, -3 ) ), if(BB3=1,if(BC3=1, -1, -2 ), if(BC3=1, 7, 0 ) ) )</f>
        <v>5</v>
      </c>
      <c r="BE3" s="7">
        <v>1.0</v>
      </c>
      <c r="BF3" s="7">
        <v>1.0</v>
      </c>
      <c r="BG3" s="7">
        <v>1.0</v>
      </c>
      <c r="BH3" s="39">
        <f t="shared" ref="BH3:BH41" si="16"> if( BE3=1, if( BF3=1, if( BG3=1, 5, 3), if( BG3=1, 1, -3 ) ), if(BF3=1,if(BG3=1, -1, -2 ), if(BG3=1, 7, 0 ) ) )</f>
        <v>5</v>
      </c>
      <c r="BI3" s="7"/>
      <c r="BJ3" s="7"/>
      <c r="BK3" s="7"/>
      <c r="BL3" s="39">
        <f t="shared" ref="BL3:BL4" si="17"> if( BI3=1, if( BJ3=1, if( BK3=1, 5, 3), if( BK3=1, 1, -3 ) ), if(BJ3=1,if(BK3=1, -1, -2 ), if(BK3=1, 7, 0 ) ) )</f>
        <v>0</v>
      </c>
      <c r="BM3" s="7">
        <v>1.0</v>
      </c>
      <c r="BN3" s="7">
        <v>1.0</v>
      </c>
      <c r="BO3" s="7">
        <v>1.0</v>
      </c>
      <c r="BP3" s="39">
        <f t="shared" ref="BP3:BP41" si="18"> if( BM3=1, if( BN3=1, if( BO3=1, 5, 3), if( BO3=1, 1, -3 ) ), if(BN3=1,if(BO3=1, -1, -2 ), if(BO3=1, 7, 0 ) ) )</f>
        <v>5</v>
      </c>
      <c r="BQ3" s="7">
        <v>1.0</v>
      </c>
      <c r="BR3" s="7">
        <v>1.0</v>
      </c>
      <c r="BS3" s="7">
        <v>1.0</v>
      </c>
      <c r="BT3" s="39">
        <f t="shared" ref="BT3:BT8" si="19"> if( BQ3=1, if( BR3=1, if( BS3=1, 5, 3), if( BS3=1, 1, -3 ) ), if(BR3=1,if(BS3=1, -1, -2 ), if(BS3=1, 7, 0 ) ) )</f>
        <v>5</v>
      </c>
      <c r="BU3" s="7">
        <v>1.0</v>
      </c>
      <c r="BV3" s="7">
        <v>1.0</v>
      </c>
      <c r="BW3" s="7">
        <v>1.0</v>
      </c>
      <c r="BX3" s="39">
        <f t="shared" ref="BX3:BX41" si="20"> if( BU3=1, if( BV3=1, if( BW3=1, 5, 3), if( BW3=1, 1, -3 ) ), if(BV3=1,if(BW3=1, -1, -2 ), if(BW3=1, 7, 0 ) ) )</f>
        <v>5</v>
      </c>
      <c r="BY3" s="7">
        <v>1.0</v>
      </c>
      <c r="BZ3" s="7">
        <v>1.0</v>
      </c>
      <c r="CA3" s="7">
        <v>1.0</v>
      </c>
      <c r="CB3" s="39">
        <f t="shared" ref="CB3:CB14" si="21"> if( BY3=1, if( BZ3=1, if( CA3=1, 5, 3), if( CA3=1, 1, -3 ) ), if(BZ3=1,if(CA3=1, -1, -2 ), if(CA3=1, 7, 0 ) ) )</f>
        <v>5</v>
      </c>
      <c r="CC3" s="7">
        <v>1.0</v>
      </c>
      <c r="CD3" s="7">
        <v>1.0</v>
      </c>
      <c r="CE3" s="7">
        <v>1.0</v>
      </c>
      <c r="CF3" s="39">
        <f t="shared" ref="CF3:CF41" si="22"> if( CC3=1, if( CD3=1, if( CE3=1, 5, 3), if( CE3=1, 1, -3 ) ), if(CD3=1,if(CE3=1, -1, -2 ), if(CE3=1, 7, 0 ) ) )</f>
        <v>5</v>
      </c>
      <c r="CG3" s="7">
        <v>1.0</v>
      </c>
      <c r="CH3" s="7">
        <v>1.0</v>
      </c>
      <c r="CI3" s="7">
        <v>1.0</v>
      </c>
      <c r="CJ3" s="39">
        <f t="shared" ref="CJ3:CJ41" si="23"> if( CG3=1, if( CH3=1, if( CI3=1, 5, 3), if( CI3=1, 1, -3 ) ), if(CH3=1,if(CI3=1, -1, -2 ), if(CI3=1, 7, 0 ) ) )</f>
        <v>5</v>
      </c>
      <c r="CK3" s="7">
        <v>1.0</v>
      </c>
      <c r="CL3" s="7">
        <v>1.0</v>
      </c>
      <c r="CM3" s="7">
        <v>1.0</v>
      </c>
      <c r="CN3" s="39">
        <f t="shared" ref="CN3:CN41" si="24"> if( CK3=1, if( CL3=1, if( CM3=1, 5, 3), if( CM3=1, 1, -3 ) ), if(CL3=1,if(CM3=1, -1, -2 ), if(CM3=1, 7, 0 ) ) )</f>
        <v>5</v>
      </c>
      <c r="CO3" s="7">
        <v>1.0</v>
      </c>
      <c r="CP3" s="7">
        <v>1.0</v>
      </c>
      <c r="CQ3" s="7"/>
      <c r="CR3" s="39">
        <f t="shared" ref="CR3:CR41" si="25"> if( CO3=1, if( CP3=1, if( CQ3=1, 5, 3), if( CQ3=1, 1, -3 ) ), if(CP3=1,if(CQ3=1, -1, -2 ), if(CQ3=1, 7, 0 ) ) )</f>
        <v>3</v>
      </c>
      <c r="CS3" s="7">
        <v>1.0</v>
      </c>
      <c r="CT3" s="7">
        <v>1.0</v>
      </c>
      <c r="CU3" s="7"/>
      <c r="CV3" s="39">
        <f t="shared" ref="CV3:CV41" si="26"> if( CS3=1, if( CT3=1, if( CU3=1, 5, 3), if( CU3=1, 1, -3 ) ), if(CT3=1,if(CU3=1, -1, -2 ), if(CU3=1, 7, 0 ) ) )</f>
        <v>3</v>
      </c>
      <c r="CW3" s="7"/>
      <c r="CX3" s="7"/>
      <c r="CY3" s="7">
        <v>1.0</v>
      </c>
      <c r="CZ3" s="39">
        <f t="shared" ref="CZ3:CZ41" si="27"> if( CW3=1, if( CX3=1, if( CY3=1, 5, 3), if( CY3=1, 1, -3 ) ), if(CX3=1,if(CY3=1, -1, -2 ), if(CY3=1, 7, 0 ) ) )</f>
        <v>7</v>
      </c>
      <c r="DA3" s="7">
        <v>1.0</v>
      </c>
      <c r="DB3" s="7">
        <v>1.0</v>
      </c>
      <c r="DC3" s="7">
        <v>1.0</v>
      </c>
      <c r="DD3" s="39">
        <f t="shared" ref="DD3:DD41" si="28"> if( DA3=1, if( DB3=1, if( DC3=1, 5, 3), if( DC3=1, 1, -3 ) ), if(DB3=1,if(DC3=1, -1, -2 ), if(DC3=1, 7, 0 ) ) )</f>
        <v>5</v>
      </c>
      <c r="DE3" s="7">
        <v>1.0</v>
      </c>
      <c r="DF3" s="7">
        <v>1.0</v>
      </c>
      <c r="DG3" s="7">
        <v>1.0</v>
      </c>
      <c r="DH3" s="39">
        <f t="shared" ref="DH3:DH41" si="29"> if( DE3=1, if( DF3=1, if( DG3=1, 5, 3), if( DG3=1, 1, -3 ) ), if(DF3=1,if(DG3=1, -1, -2 ), if(DG3=1, 7, 0 ) ) )</f>
        <v>5</v>
      </c>
      <c r="DI3" s="7">
        <v>1.0</v>
      </c>
      <c r="DJ3" s="7">
        <v>1.0</v>
      </c>
      <c r="DK3" s="7"/>
      <c r="DL3" s="39">
        <f t="shared" ref="DL3:DL41" si="30"> if( DI3=1, if( DJ3=1, if( DK3=1, 5, 3), if( DK3=1, 1, -3 ) ), if(DJ3=1,if(DK3=1, -1, -2 ), if(DK3=1, 7, 0 ) ) )</f>
        <v>3</v>
      </c>
      <c r="DM3" s="7">
        <v>1.0</v>
      </c>
      <c r="DN3" s="7">
        <v>1.0</v>
      </c>
      <c r="DO3" s="7">
        <v>1.0</v>
      </c>
      <c r="DP3" s="39">
        <f t="shared" ref="DP3:DP41" si="31"> if( DM3=1, if( DN3=1, if( DO3=1, 5, 3), if( DO3=1, 1, -3 ) ), if(DN3=1,if(DO3=1, -1, -2 ), if(DO3=1, 7, 0 ) ) )</f>
        <v>5</v>
      </c>
      <c r="DQ3" s="7"/>
      <c r="DR3" s="7"/>
      <c r="DS3" s="7"/>
      <c r="DT3" s="39">
        <f t="shared" ref="DT3:DT41" si="32"> if( DQ3=1, if( DR3=1, if( DS3=1, 5, 3), if( DS3=1, 1, -3 ) ), if(DR3=1,if(DS3=1, -1, -2 ), if(DS3=1, 7, 0 ) ) )</f>
        <v>0</v>
      </c>
      <c r="DU3" s="7"/>
      <c r="DV3" s="7"/>
      <c r="DW3" s="7"/>
      <c r="DX3" s="39">
        <f t="shared" ref="DX3:DX41" si="33"> if( DU3=1, if( DV3=1, if( DW3=1, 5, 3), if( DW3=1, 1, -3 ) ), if(DV3=1,if(DW3=1, -1, -2 ), if(DW3=1, 7, 0 ) ) )</f>
        <v>0</v>
      </c>
      <c r="DY3" s="7"/>
      <c r="DZ3" s="7"/>
      <c r="EA3" s="7"/>
      <c r="EB3" s="39">
        <f t="shared" ref="EB3:EB41" si="34"> if( DY3=1, if( DZ3=1, if( EA3=1, 5, 3), if( EA3=1, 1, -3 ) ), if(DZ3=1,if(EA3=1, -1, -2 ), if(EA3=1, 7, 0 ) ) )</f>
        <v>0</v>
      </c>
      <c r="EC3" s="7">
        <v>1.0</v>
      </c>
      <c r="ED3" s="7">
        <v>1.0</v>
      </c>
      <c r="EE3" s="7">
        <v>1.0</v>
      </c>
      <c r="EF3" s="39">
        <f t="shared" ref="EF3:EF41" si="35"> if( EC3=1, if( ED3=1, if( EE3=1, 5, 3), if( EE3=1, 1, -3 ) ), if(ED3=1,if(EE3=1, -1, -2 ), if(EE3=1, 7, 0 ) ) )</f>
        <v>5</v>
      </c>
      <c r="EG3" s="7"/>
      <c r="EH3" s="7"/>
      <c r="EI3" s="7"/>
      <c r="EJ3" s="39">
        <f t="shared" ref="EJ3:EJ41" si="36"> if( EG3=1, if( EH3=1, if( EI3=1, 5, 3), if( EI3=1, 1, -3 ) ), if(EH3=1,if(EI3=1, -1, -2 ), if(EI3=1, 7, 0 ) ) )</f>
        <v>0</v>
      </c>
      <c r="EK3" s="7">
        <v>1.0</v>
      </c>
      <c r="EL3" s="7">
        <v>1.0</v>
      </c>
      <c r="EM3" s="7">
        <v>1.0</v>
      </c>
      <c r="EN3" s="39">
        <f t="shared" ref="EN3:EN41" si="37"> if( EK3=1, if( EL3=1, if( EM3=1, 5, 3), if( EM3=1, 1, -3 ) ), if(EL3=1,if(EM3=1, -1, -2 ), if(EM3=1, 7, 0 ) ) )</f>
        <v>5</v>
      </c>
      <c r="EO3" s="7">
        <v>1.0</v>
      </c>
      <c r="EP3" s="7">
        <v>1.0</v>
      </c>
      <c r="EQ3" s="7">
        <v>1.0</v>
      </c>
      <c r="ER3" s="39">
        <f t="shared" ref="ER3:ER41" si="38"> if( EO3=1, if( EP3=1, if( EQ3=1, 5, 3), if( EQ3=1, 1, -3 ) ), if(EP3=1,if(EQ3=1, -1, -2 ), if(EQ3=1, 7, 0 ) ) )</f>
        <v>5</v>
      </c>
      <c r="ES3" s="7">
        <v>1.0</v>
      </c>
      <c r="ET3" s="7">
        <v>1.0</v>
      </c>
      <c r="EU3" s="7">
        <v>1.0</v>
      </c>
      <c r="EV3" s="39">
        <f t="shared" ref="EV3:EV41" si="39"> if( ES3=1, if( ET3=1, if( EU3=1, 5, 3), if( EU3=1, 1, -3 ) ), if(ET3=1,if(EU3=1, -1, -2 ), if(EU3=1, 7, 0 ) ) )</f>
        <v>5</v>
      </c>
      <c r="EW3" s="7">
        <v>1.0</v>
      </c>
      <c r="EX3" s="7">
        <v>1.0</v>
      </c>
      <c r="EY3" s="7">
        <v>1.0</v>
      </c>
      <c r="EZ3" s="39">
        <f t="shared" ref="EZ3:EZ41" si="40"> if( EW3=1, if( EX3=1, if( EY3=1, 5, 3), if( EY3=1, 1, -3 ) ), if(EX3=1,if(EY3=1, -1, -2 ), if(EY3=1, 7, 0 ) ) )</f>
        <v>5</v>
      </c>
      <c r="FA3" s="7"/>
      <c r="FB3" s="7"/>
      <c r="FC3" s="7"/>
      <c r="FD3" s="39">
        <f t="shared" ref="FD3:FD41" si="41"> if( FA3=1, if( FB3=1, if( FC3=1, 5, 3), if( FC3=1, 1, -3 ) ), if(FB3=1,if(FC3=1, -1, -2 ), if(FC3=1, 7, 0 ) ) )</f>
        <v>0</v>
      </c>
      <c r="FE3" s="7">
        <v>1.0</v>
      </c>
      <c r="FF3" s="7">
        <v>1.0</v>
      </c>
      <c r="FG3" s="7"/>
      <c r="FH3" s="39">
        <f t="shared" ref="FH3:FH41" si="42"> if( FE3=1, if( FF3=1, if( FG3=1, 5, 3), if( FG3=1, 1, -3 ) ), if(FF3=1,if(FG3=1, -1, -2 ), if(FG3=1, 7, 0 ) ) )</f>
        <v>3</v>
      </c>
      <c r="FI3" s="7">
        <v>1.0</v>
      </c>
      <c r="FJ3" s="7">
        <v>1.0</v>
      </c>
      <c r="FK3" s="7"/>
      <c r="FL3" s="39">
        <f t="shared" ref="FL3:FL41" si="43"> if( FI3=1, if( FJ3=1, if( FK3=1, 5, 3), if( FK3=1, 1, -3 ) ), if(FJ3=1,if(FK3=1, -1, -2 ), if(FK3=1, 7, 0 ) ) )</f>
        <v>3</v>
      </c>
      <c r="FM3" s="7">
        <v>1.0</v>
      </c>
      <c r="FN3" s="7">
        <v>1.0</v>
      </c>
      <c r="FO3" s="7">
        <v>1.0</v>
      </c>
      <c r="FP3" s="39">
        <f t="shared" ref="FP3:FP41" si="44"> if( FM3=1, if( FN3=1, if( FO3=1, 5, 3), if( FO3=1, 1, -3 ) ), if(FN3=1,if(FO3=1, -1, -2 ), if(FO3=1, 7, 0 ) ) )</f>
        <v>5</v>
      </c>
      <c r="FQ3" s="7">
        <v>1.0</v>
      </c>
      <c r="FR3" s="7">
        <v>1.0</v>
      </c>
      <c r="FS3" s="7"/>
      <c r="FT3" s="39">
        <f t="shared" ref="FT3:FT41" si="45"> if( FQ3=1, if( FR3=1, if( FS3=1, 5, 3), if( FS3=1, 1, -3 ) ), if(FR3=1,if(FS3=1, -1, -2 ), if(FS3=1, 7, 0 ) ) )</f>
        <v>3</v>
      </c>
      <c r="FU3" s="7">
        <v>1.0</v>
      </c>
      <c r="FV3" s="7">
        <v>1.0</v>
      </c>
      <c r="FW3" s="7">
        <v>1.0</v>
      </c>
      <c r="FX3" s="39">
        <f t="shared" ref="FX3:FX41" si="46"> if( FU3=1, if( FV3=1, if( FW3=1, 5, 3), if( FW3=1, 1, -3 ) ), if(FV3=1,if(FW3=1, -1, -2 ), if(FW3=1, 7, 0 ) ) )</f>
        <v>5</v>
      </c>
      <c r="FY3" s="7">
        <v>1.0</v>
      </c>
      <c r="FZ3" s="7">
        <v>1.0</v>
      </c>
      <c r="GA3" s="7">
        <v>1.0</v>
      </c>
      <c r="GB3" s="39">
        <f t="shared" ref="GB3:GB41" si="47"> if( FY3=1, if( FZ3=1, if( GA3=1, 5, 3), if( GA3=1, 1, -3 ) ), if(FZ3=1,if(GA3=1, -1, -2 ), if(GA3=1, 7, 0 ) ) )</f>
        <v>5</v>
      </c>
      <c r="GC3" s="7">
        <v>1.0</v>
      </c>
      <c r="GD3" s="7">
        <v>1.0</v>
      </c>
      <c r="GE3" s="7">
        <v>1.0</v>
      </c>
      <c r="GF3" s="39">
        <f t="shared" ref="GF3:GF41" si="48"> if( GC3=1, if( GD3=1, if( GE3=1, 5, 3), if( GE3=1, 1, -3 ) ), if(GD3=1,if(GE3=1, -1, -2 ), if(GE3=1, 7, 0 ) ) )</f>
        <v>5</v>
      </c>
      <c r="GG3" s="7"/>
      <c r="GH3" s="7"/>
      <c r="GI3" s="7">
        <v>1.0</v>
      </c>
      <c r="GJ3" s="39">
        <f t="shared" ref="GJ3:GJ41" si="49"> if( GG3=1, if( GH3=1, if( GI3=1, 5, 3), if( GI3=1, 1, -3 ) ), if(GH3=1,if(GI3=1, -1, -2 ), if(GI3=1, 7, 0 ) ) )</f>
        <v>7</v>
      </c>
      <c r="GK3" s="7">
        <v>1.0</v>
      </c>
      <c r="GL3" s="7">
        <v>1.0</v>
      </c>
      <c r="GM3" s="7">
        <v>1.0</v>
      </c>
      <c r="GN3" s="39">
        <f t="shared" ref="GN3:GN41" si="50"> if( GK3=1, if( GL3=1, if( GM3=1, 5, 3), if( GM3=1, 1, -3 ) ), if(GL3=1,if(GM3=1, -1, -2 ), if(GM3=1, 7, 0 ) ) )</f>
        <v>5</v>
      </c>
      <c r="GO3" s="7">
        <v>1.0</v>
      </c>
      <c r="GP3" s="7">
        <v>1.0</v>
      </c>
      <c r="GQ3" s="7">
        <v>1.0</v>
      </c>
      <c r="GR3" s="39">
        <f t="shared" ref="GR3:GR41" si="51"> if( GO3=1, if( GP3=1, if( GQ3=1, 5, 3), if( GQ3=1, 1, -3 ) ), if(GP3=1,if(GQ3=1, -1, -2 ), if(GQ3=1, 7, 0 ) ) )</f>
        <v>5</v>
      </c>
      <c r="GS3" s="7">
        <v>1.0</v>
      </c>
      <c r="GT3" s="7">
        <v>1.0</v>
      </c>
      <c r="GU3" s="7">
        <v>1.0</v>
      </c>
      <c r="GV3" s="39">
        <f t="shared" ref="GV3:GV41" si="52"> if( GS3=1, if( GT3=1, if( GU3=1, 5, 3), if( GU3=1, 1, -3 ) ), if(GT3=1,if(GU3=1, -1, -2 ), if(GU3=1, 7, 0 ) ) )</f>
        <v>5</v>
      </c>
      <c r="GW3" s="7">
        <v>1.0</v>
      </c>
      <c r="GX3" s="7">
        <v>1.0</v>
      </c>
      <c r="GY3" s="7">
        <v>1.0</v>
      </c>
      <c r="GZ3" s="39">
        <f t="shared" ref="GZ3:GZ41" si="53"> if( GW3=1, if( GX3=1, if( GY3=1, 5, 3), if( GY3=1, 1, -3 ) ), if(GX3=1,if(GY3=1, -1, -2 ), if(GY3=1, 7, 0 ) ) )</f>
        <v>5</v>
      </c>
      <c r="HA3" s="7">
        <v>1.0</v>
      </c>
      <c r="HB3" s="7">
        <v>1.0</v>
      </c>
      <c r="HC3" s="7"/>
      <c r="HD3" s="39">
        <f t="shared" ref="HD3:HD41" si="54"> if( HA3=1, if( HB3=1, if( HC3=1, 5, 3), if( HC3=1, 1, -3 ) ), if(HB3=1,if(HC3=1, -1, -2 ), if(HC3=1, 7, 0 ) ) )</f>
        <v>3</v>
      </c>
      <c r="HE3" s="7">
        <v>1.0</v>
      </c>
      <c r="HF3" s="7">
        <v>1.0</v>
      </c>
      <c r="HG3" s="7">
        <v>1.0</v>
      </c>
      <c r="HH3" s="39">
        <f t="shared" ref="HH3:HH10" si="55"> if( HE3=1, if( HF3=1, if( HG3=1, 5, 3), if( HG3=1, 1, -3 ) ), if(HF3=1,if(HG3=1, -1, -2 ), if(HG3=1, 7, 0 ) ) )</f>
        <v>5</v>
      </c>
    </row>
    <row r="4">
      <c r="A4" s="20" t="s">
        <v>35</v>
      </c>
      <c r="B4" s="23" t="s">
        <v>43</v>
      </c>
      <c r="C4" s="1">
        <f t="shared" si="1"/>
        <v>2</v>
      </c>
      <c r="D4" s="15">
        <f>VLOOKUP(A4,TDP!A:C,3,FALSE)</f>
        <v>0.41</v>
      </c>
      <c r="E4" s="37">
        <f t="shared" si="2"/>
        <v>321.48</v>
      </c>
      <c r="F4" s="1">
        <f>VLOOKUP($A4,Valoracion!$A:$J,9,FALSE)</f>
        <v>2</v>
      </c>
      <c r="G4" s="7">
        <v>1.0</v>
      </c>
      <c r="H4" s="39">
        <f t="shared" si="3"/>
        <v>7</v>
      </c>
      <c r="I4" s="7">
        <v>1.0</v>
      </c>
      <c r="J4" s="7">
        <v>1.0</v>
      </c>
      <c r="K4" s="7">
        <v>1.0</v>
      </c>
      <c r="L4" s="39">
        <f t="shared" si="4"/>
        <v>5</v>
      </c>
      <c r="M4" s="7"/>
      <c r="N4" s="7"/>
      <c r="O4" s="7"/>
      <c r="P4" s="39">
        <f t="shared" si="5"/>
        <v>0</v>
      </c>
      <c r="Q4" s="7">
        <v>1.0</v>
      </c>
      <c r="R4" s="7">
        <v>1.0</v>
      </c>
      <c r="S4" s="7">
        <v>1.0</v>
      </c>
      <c r="T4" s="39">
        <f t="shared" si="6"/>
        <v>5</v>
      </c>
      <c r="U4" s="7">
        <v>1.0</v>
      </c>
      <c r="V4" s="7">
        <v>1.0</v>
      </c>
      <c r="W4" s="7">
        <v>1.0</v>
      </c>
      <c r="X4" s="39">
        <f t="shared" si="7"/>
        <v>5</v>
      </c>
      <c r="Y4" s="41"/>
      <c r="Z4" s="41"/>
      <c r="AA4" s="41"/>
      <c r="AB4" s="42">
        <f t="shared" si="8"/>
        <v>0</v>
      </c>
      <c r="AC4" s="7">
        <v>1.0</v>
      </c>
      <c r="AD4" s="7">
        <v>1.0</v>
      </c>
      <c r="AE4" s="7">
        <v>1.0</v>
      </c>
      <c r="AF4" s="39">
        <f t="shared" si="9"/>
        <v>5</v>
      </c>
      <c r="AG4" s="7">
        <v>1.0</v>
      </c>
      <c r="AH4" s="7">
        <v>1.0</v>
      </c>
      <c r="AI4" s="7">
        <v>1.0</v>
      </c>
      <c r="AJ4" s="39">
        <f t="shared" si="10"/>
        <v>5</v>
      </c>
      <c r="AK4" s="7">
        <v>1.0</v>
      </c>
      <c r="AL4" s="7">
        <v>1.0</v>
      </c>
      <c r="AM4" s="7">
        <v>1.0</v>
      </c>
      <c r="AN4" s="39">
        <f t="shared" si="11"/>
        <v>5</v>
      </c>
      <c r="AO4" s="7">
        <v>1.0</v>
      </c>
      <c r="AP4" s="7">
        <v>1.0</v>
      </c>
      <c r="AQ4" s="7">
        <v>1.0</v>
      </c>
      <c r="AR4" s="39">
        <f t="shared" si="12"/>
        <v>5</v>
      </c>
      <c r="AS4" s="7">
        <v>1.0</v>
      </c>
      <c r="AT4" s="7">
        <v>1.0</v>
      </c>
      <c r="AU4" s="7">
        <v>1.0</v>
      </c>
      <c r="AV4" s="39">
        <f t="shared" si="13"/>
        <v>5</v>
      </c>
      <c r="AW4" s="7">
        <v>1.0</v>
      </c>
      <c r="AX4" s="7">
        <v>1.0</v>
      </c>
      <c r="AY4" s="7">
        <v>1.0</v>
      </c>
      <c r="AZ4" s="39">
        <f t="shared" si="14"/>
        <v>5</v>
      </c>
      <c r="BA4" s="7">
        <v>1.0</v>
      </c>
      <c r="BB4" s="7">
        <v>1.0</v>
      </c>
      <c r="BC4" s="7">
        <v>1.0</v>
      </c>
      <c r="BD4" s="39">
        <f t="shared" si="15"/>
        <v>5</v>
      </c>
      <c r="BE4" s="7"/>
      <c r="BF4" s="7"/>
      <c r="BG4" s="7">
        <v>1.0</v>
      </c>
      <c r="BH4" s="39">
        <f t="shared" si="16"/>
        <v>7</v>
      </c>
      <c r="BI4" s="7">
        <v>1.0</v>
      </c>
      <c r="BJ4" s="7">
        <v>1.0</v>
      </c>
      <c r="BK4" s="7">
        <v>1.0</v>
      </c>
      <c r="BL4" s="39">
        <f t="shared" si="17"/>
        <v>5</v>
      </c>
      <c r="BM4" s="7">
        <v>1.0</v>
      </c>
      <c r="BN4" s="7">
        <v>1.0</v>
      </c>
      <c r="BO4" s="7">
        <v>1.0</v>
      </c>
      <c r="BP4" s="39">
        <f t="shared" si="18"/>
        <v>5</v>
      </c>
      <c r="BQ4" s="7">
        <v>1.0</v>
      </c>
      <c r="BR4" s="7">
        <v>1.0</v>
      </c>
      <c r="BS4" s="7">
        <v>1.0</v>
      </c>
      <c r="BT4" s="39">
        <f t="shared" si="19"/>
        <v>5</v>
      </c>
      <c r="BU4" s="7">
        <v>1.0</v>
      </c>
      <c r="BV4" s="7">
        <v>1.0</v>
      </c>
      <c r="BW4" s="7">
        <v>1.0</v>
      </c>
      <c r="BX4" s="39">
        <f t="shared" si="20"/>
        <v>5</v>
      </c>
      <c r="BY4" s="7">
        <v>1.0</v>
      </c>
      <c r="BZ4" s="7">
        <v>1.0</v>
      </c>
      <c r="CA4" s="7">
        <v>1.0</v>
      </c>
      <c r="CB4" s="39">
        <f t="shared" si="21"/>
        <v>5</v>
      </c>
      <c r="CC4" s="7">
        <v>1.0</v>
      </c>
      <c r="CD4" s="7">
        <v>1.0</v>
      </c>
      <c r="CE4" s="7">
        <v>1.0</v>
      </c>
      <c r="CF4" s="39">
        <f t="shared" si="22"/>
        <v>5</v>
      </c>
      <c r="CG4" s="7">
        <v>1.0</v>
      </c>
      <c r="CH4" s="7">
        <v>1.0</v>
      </c>
      <c r="CI4" s="7">
        <v>1.0</v>
      </c>
      <c r="CJ4" s="39">
        <f t="shared" si="23"/>
        <v>5</v>
      </c>
      <c r="CK4" s="7">
        <v>1.0</v>
      </c>
      <c r="CL4" s="7">
        <v>1.0</v>
      </c>
      <c r="CM4" s="7">
        <v>1.0</v>
      </c>
      <c r="CN4" s="39">
        <f t="shared" si="24"/>
        <v>5</v>
      </c>
      <c r="CO4" s="7">
        <v>1.0</v>
      </c>
      <c r="CP4" s="7">
        <v>1.0</v>
      </c>
      <c r="CQ4" s="7"/>
      <c r="CR4" s="39">
        <f t="shared" si="25"/>
        <v>3</v>
      </c>
      <c r="CS4" s="7">
        <v>1.0</v>
      </c>
      <c r="CT4" s="7">
        <v>1.0</v>
      </c>
      <c r="CU4" s="7">
        <v>1.0</v>
      </c>
      <c r="CV4" s="39">
        <f t="shared" si="26"/>
        <v>5</v>
      </c>
      <c r="CW4" s="7"/>
      <c r="CX4" s="7"/>
      <c r="CY4" s="7"/>
      <c r="CZ4" s="39">
        <f t="shared" si="27"/>
        <v>0</v>
      </c>
      <c r="DA4" s="7">
        <v>1.0</v>
      </c>
      <c r="DB4" s="7">
        <v>1.0</v>
      </c>
      <c r="DC4" s="7">
        <v>1.0</v>
      </c>
      <c r="DD4" s="39">
        <f t="shared" si="28"/>
        <v>5</v>
      </c>
      <c r="DE4" s="7">
        <v>1.0</v>
      </c>
      <c r="DF4" s="7">
        <v>1.0</v>
      </c>
      <c r="DG4" s="7">
        <v>1.0</v>
      </c>
      <c r="DH4" s="39">
        <f t="shared" si="29"/>
        <v>5</v>
      </c>
      <c r="DI4" s="7">
        <v>1.0</v>
      </c>
      <c r="DJ4" s="7">
        <v>1.0</v>
      </c>
      <c r="DK4" s="7"/>
      <c r="DL4" s="39">
        <f t="shared" si="30"/>
        <v>3</v>
      </c>
      <c r="DM4" s="7">
        <v>1.0</v>
      </c>
      <c r="DN4" s="7">
        <v>1.0</v>
      </c>
      <c r="DO4" s="7">
        <v>1.0</v>
      </c>
      <c r="DP4" s="39">
        <f t="shared" si="31"/>
        <v>5</v>
      </c>
      <c r="DQ4" s="7"/>
      <c r="DR4" s="7"/>
      <c r="DS4" s="7"/>
      <c r="DT4" s="39">
        <f t="shared" si="32"/>
        <v>0</v>
      </c>
      <c r="DU4" s="7"/>
      <c r="DV4" s="7"/>
      <c r="DW4" s="7"/>
      <c r="DX4" s="39">
        <f t="shared" si="33"/>
        <v>0</v>
      </c>
      <c r="DY4" s="7"/>
      <c r="DZ4" s="7"/>
      <c r="EA4" s="7"/>
      <c r="EB4" s="39">
        <f t="shared" si="34"/>
        <v>0</v>
      </c>
      <c r="EC4" s="7">
        <v>1.0</v>
      </c>
      <c r="ED4" s="7">
        <v>1.0</v>
      </c>
      <c r="EE4" s="7">
        <v>1.0</v>
      </c>
      <c r="EF4" s="39">
        <f t="shared" si="35"/>
        <v>5</v>
      </c>
      <c r="EG4" s="7"/>
      <c r="EH4" s="7"/>
      <c r="EI4" s="7"/>
      <c r="EJ4" s="39">
        <f t="shared" si="36"/>
        <v>0</v>
      </c>
      <c r="EK4" s="7">
        <v>1.0</v>
      </c>
      <c r="EL4" s="7">
        <v>1.0</v>
      </c>
      <c r="EM4" s="7">
        <v>1.0</v>
      </c>
      <c r="EN4" s="39">
        <f t="shared" si="37"/>
        <v>5</v>
      </c>
      <c r="EO4" s="7">
        <v>1.0</v>
      </c>
      <c r="EP4" s="7">
        <v>1.0</v>
      </c>
      <c r="EQ4" s="7">
        <v>1.0</v>
      </c>
      <c r="ER4" s="39">
        <f t="shared" si="38"/>
        <v>5</v>
      </c>
      <c r="ES4" s="7">
        <v>1.0</v>
      </c>
      <c r="ET4" s="7">
        <v>1.0</v>
      </c>
      <c r="EU4" s="7">
        <v>1.0</v>
      </c>
      <c r="EV4" s="39">
        <f t="shared" si="39"/>
        <v>5</v>
      </c>
      <c r="EW4" s="7">
        <v>1.0</v>
      </c>
      <c r="EX4" s="7">
        <v>1.0</v>
      </c>
      <c r="EY4" s="7">
        <v>1.0</v>
      </c>
      <c r="EZ4" s="39">
        <f t="shared" si="40"/>
        <v>5</v>
      </c>
      <c r="FA4" s="7">
        <v>1.0</v>
      </c>
      <c r="FB4" s="7">
        <v>1.0</v>
      </c>
      <c r="FC4" s="7">
        <v>1.0</v>
      </c>
      <c r="FD4" s="39">
        <f t="shared" si="41"/>
        <v>5</v>
      </c>
      <c r="FE4" s="7">
        <v>1.0</v>
      </c>
      <c r="FF4" s="7">
        <v>1.0</v>
      </c>
      <c r="FG4" s="7">
        <v>1.0</v>
      </c>
      <c r="FH4" s="39">
        <f t="shared" si="42"/>
        <v>5</v>
      </c>
      <c r="FI4" s="7">
        <v>1.0</v>
      </c>
      <c r="FJ4" s="7">
        <v>1.0</v>
      </c>
      <c r="FK4" s="7">
        <v>1.0</v>
      </c>
      <c r="FL4" s="39">
        <f t="shared" si="43"/>
        <v>5</v>
      </c>
      <c r="FM4" s="7">
        <v>1.0</v>
      </c>
      <c r="FN4" s="7">
        <v>1.0</v>
      </c>
      <c r="FO4" s="7">
        <v>1.0</v>
      </c>
      <c r="FP4" s="39">
        <f t="shared" si="44"/>
        <v>5</v>
      </c>
      <c r="FQ4" s="7">
        <v>1.0</v>
      </c>
      <c r="FR4" s="7">
        <v>1.0</v>
      </c>
      <c r="FS4" s="7">
        <v>1.0</v>
      </c>
      <c r="FT4" s="39">
        <f t="shared" si="45"/>
        <v>5</v>
      </c>
      <c r="FU4" s="7">
        <v>1.0</v>
      </c>
      <c r="FV4" s="7">
        <v>1.0</v>
      </c>
      <c r="FW4" s="7">
        <v>1.0</v>
      </c>
      <c r="FX4" s="39">
        <f t="shared" si="46"/>
        <v>5</v>
      </c>
      <c r="FY4" s="7">
        <v>1.0</v>
      </c>
      <c r="FZ4" s="7">
        <v>1.0</v>
      </c>
      <c r="GA4" s="7">
        <v>1.0</v>
      </c>
      <c r="GB4" s="39">
        <f t="shared" si="47"/>
        <v>5</v>
      </c>
      <c r="GC4" s="7">
        <v>1.0</v>
      </c>
      <c r="GD4" s="7">
        <v>1.0</v>
      </c>
      <c r="GE4" s="7">
        <v>1.0</v>
      </c>
      <c r="GF4" s="39">
        <f t="shared" si="48"/>
        <v>5</v>
      </c>
      <c r="GG4" s="7">
        <v>1.0</v>
      </c>
      <c r="GH4" s="7">
        <v>1.0</v>
      </c>
      <c r="GI4" s="7">
        <v>1.0</v>
      </c>
      <c r="GJ4" s="39">
        <f t="shared" si="49"/>
        <v>5</v>
      </c>
      <c r="GK4" s="7">
        <v>1.0</v>
      </c>
      <c r="GL4" s="7">
        <v>1.0</v>
      </c>
      <c r="GM4" s="7">
        <v>1.0</v>
      </c>
      <c r="GN4" s="39">
        <f t="shared" si="50"/>
        <v>5</v>
      </c>
      <c r="GO4" s="7">
        <v>1.0</v>
      </c>
      <c r="GP4" s="7">
        <v>1.0</v>
      </c>
      <c r="GQ4" s="7">
        <v>1.0</v>
      </c>
      <c r="GR4" s="39">
        <f t="shared" si="51"/>
        <v>5</v>
      </c>
      <c r="GS4" s="7">
        <v>1.0</v>
      </c>
      <c r="GT4" s="7">
        <v>1.0</v>
      </c>
      <c r="GU4" s="7">
        <v>1.0</v>
      </c>
      <c r="GV4" s="39">
        <f t="shared" si="52"/>
        <v>5</v>
      </c>
      <c r="GW4" s="7">
        <v>1.0</v>
      </c>
      <c r="GX4" s="7">
        <v>1.0</v>
      </c>
      <c r="GY4" s="7">
        <v>1.0</v>
      </c>
      <c r="GZ4" s="39">
        <f t="shared" si="53"/>
        <v>5</v>
      </c>
      <c r="HA4" s="7">
        <v>1.0</v>
      </c>
      <c r="HB4" s="7">
        <v>1.0</v>
      </c>
      <c r="HC4" s="7"/>
      <c r="HD4" s="39">
        <f t="shared" si="54"/>
        <v>3</v>
      </c>
      <c r="HE4" s="7">
        <v>1.0</v>
      </c>
      <c r="HF4" s="7">
        <v>1.0</v>
      </c>
      <c r="HG4" s="7">
        <v>1.0</v>
      </c>
      <c r="HH4" s="39">
        <f t="shared" si="55"/>
        <v>5</v>
      </c>
    </row>
    <row r="5">
      <c r="A5" s="20" t="s">
        <v>22</v>
      </c>
      <c r="B5" s="21" t="s">
        <v>23</v>
      </c>
      <c r="C5" s="1">
        <f t="shared" si="1"/>
        <v>3</v>
      </c>
      <c r="D5" s="15">
        <f>VLOOKUP(A5,TDP!A:C,3,FALSE)</f>
        <v>0.51</v>
      </c>
      <c r="E5" s="37">
        <f t="shared" si="2"/>
        <v>279.35</v>
      </c>
      <c r="F5" s="1">
        <f>VLOOKUP($A5,Valoracion!$A:$J,9,FALSE)</f>
        <v>1</v>
      </c>
      <c r="G5" s="7">
        <v>1.0</v>
      </c>
      <c r="H5" s="39">
        <f t="shared" si="3"/>
        <v>7</v>
      </c>
      <c r="I5" s="7"/>
      <c r="J5" s="7"/>
      <c r="K5" s="7"/>
      <c r="L5" s="39">
        <f t="shared" si="4"/>
        <v>0</v>
      </c>
      <c r="M5" s="7"/>
      <c r="N5" s="7"/>
      <c r="O5" s="7"/>
      <c r="P5" s="39">
        <f t="shared" si="5"/>
        <v>0</v>
      </c>
      <c r="Q5" s="7"/>
      <c r="R5" s="7"/>
      <c r="S5" s="7">
        <v>1.0</v>
      </c>
      <c r="T5" s="39">
        <f t="shared" si="6"/>
        <v>7</v>
      </c>
      <c r="U5" s="7">
        <v>1.0</v>
      </c>
      <c r="V5" s="7">
        <v>1.0</v>
      </c>
      <c r="W5" s="7">
        <v>1.0</v>
      </c>
      <c r="X5" s="39">
        <f t="shared" si="7"/>
        <v>5</v>
      </c>
      <c r="Y5" s="41"/>
      <c r="Z5" s="41"/>
      <c r="AA5" s="41"/>
      <c r="AB5" s="42">
        <f t="shared" si="8"/>
        <v>0</v>
      </c>
      <c r="AC5" s="7">
        <v>1.0</v>
      </c>
      <c r="AD5" s="7">
        <v>1.0</v>
      </c>
      <c r="AE5" s="7">
        <v>1.0</v>
      </c>
      <c r="AF5" s="39">
        <f t="shared" si="9"/>
        <v>5</v>
      </c>
      <c r="AG5" s="7"/>
      <c r="AH5" s="7"/>
      <c r="AI5" s="7"/>
      <c r="AJ5" s="39">
        <f t="shared" si="10"/>
        <v>0</v>
      </c>
      <c r="AK5" s="7">
        <v>1.0</v>
      </c>
      <c r="AL5" s="7">
        <v>1.0</v>
      </c>
      <c r="AM5" s="7">
        <v>1.0</v>
      </c>
      <c r="AN5" s="39">
        <f t="shared" si="11"/>
        <v>5</v>
      </c>
      <c r="AO5" s="7"/>
      <c r="AP5" s="7"/>
      <c r="AQ5" s="7">
        <v>1.0</v>
      </c>
      <c r="AR5" s="39">
        <f t="shared" si="12"/>
        <v>7</v>
      </c>
      <c r="AS5" s="7">
        <v>1.0</v>
      </c>
      <c r="AT5" s="7">
        <v>1.0</v>
      </c>
      <c r="AU5" s="7">
        <v>1.0</v>
      </c>
      <c r="AV5" s="39">
        <f t="shared" si="13"/>
        <v>5</v>
      </c>
      <c r="AW5" s="7">
        <v>1.0</v>
      </c>
      <c r="AX5" s="7">
        <v>1.0</v>
      </c>
      <c r="AY5" s="7">
        <v>1.0</v>
      </c>
      <c r="AZ5" s="39">
        <f t="shared" si="14"/>
        <v>5</v>
      </c>
      <c r="BA5" s="7">
        <v>1.0</v>
      </c>
      <c r="BB5" s="7">
        <v>1.0</v>
      </c>
      <c r="BC5" s="7">
        <v>1.0</v>
      </c>
      <c r="BD5" s="39">
        <f t="shared" si="15"/>
        <v>5</v>
      </c>
      <c r="BE5" s="7">
        <v>1.0</v>
      </c>
      <c r="BF5" s="7">
        <v>1.0</v>
      </c>
      <c r="BG5" s="7">
        <v>1.0</v>
      </c>
      <c r="BH5" s="39">
        <f t="shared" si="16"/>
        <v>5</v>
      </c>
      <c r="BI5" s="7">
        <v>1.0</v>
      </c>
      <c r="BJ5" s="7">
        <v>1.0</v>
      </c>
      <c r="BK5" s="7"/>
      <c r="BL5" s="93">
        <v>0.0</v>
      </c>
      <c r="BM5" s="7">
        <v>1.0</v>
      </c>
      <c r="BN5" s="7">
        <v>1.0</v>
      </c>
      <c r="BO5" s="7">
        <v>1.0</v>
      </c>
      <c r="BP5" s="39">
        <f t="shared" si="18"/>
        <v>5</v>
      </c>
      <c r="BQ5" s="7"/>
      <c r="BR5" s="7"/>
      <c r="BS5" s="7"/>
      <c r="BT5" s="39">
        <f t="shared" si="19"/>
        <v>0</v>
      </c>
      <c r="BU5" s="7">
        <v>1.0</v>
      </c>
      <c r="BV5" s="7">
        <v>1.0</v>
      </c>
      <c r="BW5" s="7">
        <v>1.0</v>
      </c>
      <c r="BX5" s="39">
        <f t="shared" si="20"/>
        <v>5</v>
      </c>
      <c r="BY5" s="7">
        <v>1.0</v>
      </c>
      <c r="BZ5" s="7">
        <v>1.0</v>
      </c>
      <c r="CA5" s="7">
        <v>1.0</v>
      </c>
      <c r="CB5" s="39">
        <f t="shared" si="21"/>
        <v>5</v>
      </c>
      <c r="CC5" s="7">
        <v>1.0</v>
      </c>
      <c r="CD5" s="7">
        <v>1.0</v>
      </c>
      <c r="CE5" s="7">
        <v>1.0</v>
      </c>
      <c r="CF5" s="39">
        <f t="shared" si="22"/>
        <v>5</v>
      </c>
      <c r="CG5" s="7">
        <v>1.0</v>
      </c>
      <c r="CH5" s="7">
        <v>1.0</v>
      </c>
      <c r="CI5" s="7">
        <v>1.0</v>
      </c>
      <c r="CJ5" s="39">
        <f t="shared" si="23"/>
        <v>5</v>
      </c>
      <c r="CK5" s="7">
        <v>1.0</v>
      </c>
      <c r="CL5" s="7">
        <v>1.0</v>
      </c>
      <c r="CM5" s="7">
        <v>1.0</v>
      </c>
      <c r="CN5" s="39">
        <f t="shared" si="24"/>
        <v>5</v>
      </c>
      <c r="CO5" s="7">
        <v>1.0</v>
      </c>
      <c r="CP5" s="7">
        <v>1.0</v>
      </c>
      <c r="CQ5" s="7"/>
      <c r="CR5" s="39">
        <f t="shared" si="25"/>
        <v>3</v>
      </c>
      <c r="CS5" s="7">
        <v>1.0</v>
      </c>
      <c r="CT5" s="7">
        <v>1.0</v>
      </c>
      <c r="CU5" s="7">
        <v>1.0</v>
      </c>
      <c r="CV5" s="39">
        <f t="shared" si="26"/>
        <v>5</v>
      </c>
      <c r="CW5" s="7">
        <v>1.0</v>
      </c>
      <c r="CX5" s="7">
        <v>1.0</v>
      </c>
      <c r="CY5" s="7">
        <v>1.0</v>
      </c>
      <c r="CZ5" s="39">
        <f t="shared" si="27"/>
        <v>5</v>
      </c>
      <c r="DA5" s="7">
        <v>1.0</v>
      </c>
      <c r="DB5" s="7">
        <v>1.0</v>
      </c>
      <c r="DC5" s="7">
        <v>1.0</v>
      </c>
      <c r="DD5" s="39">
        <f t="shared" si="28"/>
        <v>5</v>
      </c>
      <c r="DE5" s="7">
        <v>1.0</v>
      </c>
      <c r="DF5" s="7">
        <v>1.0</v>
      </c>
      <c r="DG5" s="7">
        <v>1.0</v>
      </c>
      <c r="DH5" s="39">
        <f t="shared" si="29"/>
        <v>5</v>
      </c>
      <c r="DI5" s="7">
        <v>1.0</v>
      </c>
      <c r="DJ5" s="7">
        <v>1.0</v>
      </c>
      <c r="DK5" s="7"/>
      <c r="DL5" s="39">
        <f t="shared" si="30"/>
        <v>3</v>
      </c>
      <c r="DM5" s="7">
        <v>1.0</v>
      </c>
      <c r="DN5" s="7">
        <v>1.0</v>
      </c>
      <c r="DO5" s="7">
        <v>1.0</v>
      </c>
      <c r="DP5" s="39">
        <f t="shared" si="31"/>
        <v>5</v>
      </c>
      <c r="DQ5" s="7"/>
      <c r="DR5" s="7"/>
      <c r="DS5" s="7"/>
      <c r="DT5" s="39">
        <f t="shared" si="32"/>
        <v>0</v>
      </c>
      <c r="DU5" s="7"/>
      <c r="DV5" s="7"/>
      <c r="DW5" s="7"/>
      <c r="DX5" s="39">
        <f t="shared" si="33"/>
        <v>0</v>
      </c>
      <c r="DY5" s="7"/>
      <c r="DZ5" s="7"/>
      <c r="EA5" s="7"/>
      <c r="EB5" s="39">
        <f t="shared" si="34"/>
        <v>0</v>
      </c>
      <c r="EC5" s="7">
        <v>1.0</v>
      </c>
      <c r="ED5" s="7">
        <v>1.0</v>
      </c>
      <c r="EE5" s="7">
        <v>1.0</v>
      </c>
      <c r="EF5" s="39">
        <f t="shared" si="35"/>
        <v>5</v>
      </c>
      <c r="EG5" s="7"/>
      <c r="EH5" s="7"/>
      <c r="EI5" s="7"/>
      <c r="EJ5" s="39">
        <f t="shared" si="36"/>
        <v>0</v>
      </c>
      <c r="EK5" s="7">
        <v>1.0</v>
      </c>
      <c r="EL5" s="7">
        <v>1.0</v>
      </c>
      <c r="EM5" s="7">
        <v>1.0</v>
      </c>
      <c r="EN5" s="39">
        <f t="shared" si="37"/>
        <v>5</v>
      </c>
      <c r="EO5" s="7">
        <v>1.0</v>
      </c>
      <c r="EP5" s="7">
        <v>1.0</v>
      </c>
      <c r="EQ5" s="7">
        <v>1.0</v>
      </c>
      <c r="ER5" s="39">
        <f t="shared" si="38"/>
        <v>5</v>
      </c>
      <c r="ES5" s="7">
        <v>1.0</v>
      </c>
      <c r="ET5" s="7">
        <v>1.0</v>
      </c>
      <c r="EU5" s="7">
        <v>1.0</v>
      </c>
      <c r="EV5" s="39">
        <f t="shared" si="39"/>
        <v>5</v>
      </c>
      <c r="EW5" s="7">
        <v>1.0</v>
      </c>
      <c r="EX5" s="7">
        <v>1.0</v>
      </c>
      <c r="EY5" s="7">
        <v>1.0</v>
      </c>
      <c r="EZ5" s="39">
        <f t="shared" si="40"/>
        <v>5</v>
      </c>
      <c r="FA5" s="7"/>
      <c r="FB5" s="7"/>
      <c r="FC5" s="7"/>
      <c r="FD5" s="39">
        <f t="shared" si="41"/>
        <v>0</v>
      </c>
      <c r="FE5" s="7">
        <v>1.0</v>
      </c>
      <c r="FF5" s="7">
        <v>1.0</v>
      </c>
      <c r="FG5" s="7"/>
      <c r="FH5" s="39">
        <f t="shared" si="42"/>
        <v>3</v>
      </c>
      <c r="FI5" s="7"/>
      <c r="FJ5" s="7"/>
      <c r="FK5" s="7"/>
      <c r="FL5" s="39">
        <f t="shared" si="43"/>
        <v>0</v>
      </c>
      <c r="FM5" s="7"/>
      <c r="FN5" s="7"/>
      <c r="FO5" s="7"/>
      <c r="FP5" s="39">
        <f t="shared" si="44"/>
        <v>0</v>
      </c>
      <c r="FQ5" s="7">
        <v>1.0</v>
      </c>
      <c r="FR5" s="7">
        <v>1.0</v>
      </c>
      <c r="FS5" s="7">
        <v>1.0</v>
      </c>
      <c r="FT5" s="39">
        <f t="shared" si="45"/>
        <v>5</v>
      </c>
      <c r="FU5" s="7">
        <v>1.0</v>
      </c>
      <c r="FV5" s="7">
        <v>1.0</v>
      </c>
      <c r="FW5" s="7">
        <v>1.0</v>
      </c>
      <c r="FX5" s="39">
        <f t="shared" si="46"/>
        <v>5</v>
      </c>
      <c r="FY5" s="7">
        <v>1.0</v>
      </c>
      <c r="FZ5" s="7">
        <v>1.0</v>
      </c>
      <c r="GA5" s="7">
        <v>1.0</v>
      </c>
      <c r="GB5" s="39">
        <f t="shared" si="47"/>
        <v>5</v>
      </c>
      <c r="GC5" s="7">
        <v>1.0</v>
      </c>
      <c r="GD5" s="7">
        <v>1.0</v>
      </c>
      <c r="GE5" s="7">
        <v>1.0</v>
      </c>
      <c r="GF5" s="39">
        <f t="shared" si="48"/>
        <v>5</v>
      </c>
      <c r="GG5" s="7">
        <v>1.0</v>
      </c>
      <c r="GH5" s="7">
        <v>1.0</v>
      </c>
      <c r="GI5" s="7">
        <v>1.0</v>
      </c>
      <c r="GJ5" s="39">
        <f t="shared" si="49"/>
        <v>5</v>
      </c>
      <c r="GK5" s="7">
        <v>1.0</v>
      </c>
      <c r="GL5" s="7">
        <v>1.0</v>
      </c>
      <c r="GM5" s="7"/>
      <c r="GN5" s="39">
        <f t="shared" si="50"/>
        <v>3</v>
      </c>
      <c r="GO5" s="7">
        <v>1.0</v>
      </c>
      <c r="GP5" s="7">
        <v>1.0</v>
      </c>
      <c r="GQ5" s="7"/>
      <c r="GR5" s="39">
        <f t="shared" si="51"/>
        <v>3</v>
      </c>
      <c r="GS5" s="7">
        <v>1.0</v>
      </c>
      <c r="GT5" s="7">
        <v>1.0</v>
      </c>
      <c r="GU5" s="7"/>
      <c r="GV5" s="39">
        <f t="shared" si="52"/>
        <v>3</v>
      </c>
      <c r="GW5" s="7">
        <v>1.0</v>
      </c>
      <c r="GX5" s="7">
        <v>1.0</v>
      </c>
      <c r="GY5" s="7"/>
      <c r="GZ5" s="39">
        <f t="shared" si="53"/>
        <v>3</v>
      </c>
      <c r="HA5" s="7"/>
      <c r="HB5" s="7"/>
      <c r="HC5" s="7"/>
      <c r="HD5" s="39">
        <f t="shared" si="54"/>
        <v>0</v>
      </c>
      <c r="HE5" s="7">
        <v>1.0</v>
      </c>
      <c r="HF5" s="7">
        <v>1.0</v>
      </c>
      <c r="HG5" s="7"/>
      <c r="HH5" s="39">
        <f t="shared" si="55"/>
        <v>3</v>
      </c>
    </row>
    <row r="6">
      <c r="A6" s="4" t="s">
        <v>21</v>
      </c>
      <c r="B6" s="7" t="s">
        <v>168</v>
      </c>
      <c r="C6" s="1">
        <f t="shared" si="1"/>
        <v>4</v>
      </c>
      <c r="D6" s="15">
        <f>VLOOKUP(A6,TDP!A:C,3,FALSE)</f>
        <v>0.31</v>
      </c>
      <c r="E6" s="37">
        <f t="shared" si="2"/>
        <v>275.1</v>
      </c>
      <c r="F6" s="1">
        <f>VLOOKUP($A6,Valoracion!$A:$J,9,FALSE)</f>
        <v>4</v>
      </c>
      <c r="G6" s="7">
        <v>1.0</v>
      </c>
      <c r="H6" s="39">
        <f t="shared" si="3"/>
        <v>7</v>
      </c>
      <c r="I6" s="7">
        <v>1.0</v>
      </c>
      <c r="J6" s="7">
        <v>1.0</v>
      </c>
      <c r="K6" s="7">
        <v>1.0</v>
      </c>
      <c r="L6" s="39">
        <f t="shared" si="4"/>
        <v>5</v>
      </c>
      <c r="M6" s="7">
        <v>1.0</v>
      </c>
      <c r="N6" s="7">
        <v>1.0</v>
      </c>
      <c r="O6" s="7">
        <v>1.0</v>
      </c>
      <c r="P6" s="39">
        <f t="shared" si="5"/>
        <v>5</v>
      </c>
      <c r="Q6" s="7">
        <v>1.0</v>
      </c>
      <c r="R6" s="7">
        <v>1.0</v>
      </c>
      <c r="S6" s="7">
        <v>1.0</v>
      </c>
      <c r="T6" s="39">
        <f t="shared" si="6"/>
        <v>5</v>
      </c>
      <c r="U6" s="7">
        <v>1.0</v>
      </c>
      <c r="V6" s="7">
        <v>1.0</v>
      </c>
      <c r="W6" s="7">
        <v>1.0</v>
      </c>
      <c r="X6" s="39">
        <f t="shared" si="7"/>
        <v>5</v>
      </c>
      <c r="Y6" s="41"/>
      <c r="Z6" s="41"/>
      <c r="AA6" s="41"/>
      <c r="AB6" s="42">
        <f t="shared" si="8"/>
        <v>0</v>
      </c>
      <c r="AC6" s="7">
        <v>1.0</v>
      </c>
      <c r="AD6" s="7">
        <v>1.0</v>
      </c>
      <c r="AE6" s="7">
        <v>1.0</v>
      </c>
      <c r="AF6" s="39">
        <f t="shared" si="9"/>
        <v>5</v>
      </c>
      <c r="AG6" s="7">
        <v>1.0</v>
      </c>
      <c r="AH6" s="7">
        <v>1.0</v>
      </c>
      <c r="AI6" s="7">
        <v>1.0</v>
      </c>
      <c r="AJ6" s="39">
        <f t="shared" si="10"/>
        <v>5</v>
      </c>
      <c r="AK6" s="7">
        <v>1.0</v>
      </c>
      <c r="AL6" s="7">
        <v>1.0</v>
      </c>
      <c r="AM6" s="7">
        <v>1.0</v>
      </c>
      <c r="AN6" s="39">
        <f t="shared" si="11"/>
        <v>5</v>
      </c>
      <c r="AO6" s="7">
        <v>1.0</v>
      </c>
      <c r="AP6" s="7">
        <v>1.0</v>
      </c>
      <c r="AQ6" s="7">
        <v>1.0</v>
      </c>
      <c r="AR6" s="39">
        <f t="shared" si="12"/>
        <v>5</v>
      </c>
      <c r="AS6" s="7">
        <v>1.0</v>
      </c>
      <c r="AT6" s="7">
        <v>1.0</v>
      </c>
      <c r="AU6" s="7">
        <v>1.0</v>
      </c>
      <c r="AV6" s="39">
        <f t="shared" si="13"/>
        <v>5</v>
      </c>
      <c r="AW6" s="7">
        <v>1.0</v>
      </c>
      <c r="AX6" s="7">
        <v>1.0</v>
      </c>
      <c r="AY6" s="7">
        <v>1.0</v>
      </c>
      <c r="AZ6" s="39">
        <f t="shared" si="14"/>
        <v>5</v>
      </c>
      <c r="BA6" s="7">
        <v>1.0</v>
      </c>
      <c r="BB6" s="7">
        <v>1.0</v>
      </c>
      <c r="BC6" s="7">
        <v>1.0</v>
      </c>
      <c r="BD6" s="39">
        <f t="shared" si="15"/>
        <v>5</v>
      </c>
      <c r="BE6" s="7">
        <v>1.0</v>
      </c>
      <c r="BF6" s="7">
        <v>1.0</v>
      </c>
      <c r="BG6" s="7">
        <v>1.0</v>
      </c>
      <c r="BH6" s="39">
        <f t="shared" si="16"/>
        <v>5</v>
      </c>
      <c r="BI6" s="7">
        <v>1.0</v>
      </c>
      <c r="BJ6" s="7">
        <v>1.0</v>
      </c>
      <c r="BK6" s="7">
        <v>1.0</v>
      </c>
      <c r="BL6" s="39">
        <f t="shared" ref="BL6:BL9" si="56"> if( BI6=1, if( BJ6=1, if( BK6=1, 5, 3), if( BK6=1, 1, -3 ) ), if(BJ6=1,if(BK6=1, -1, -2 ), if(BK6=1, 7, 0 ) ) )</f>
        <v>5</v>
      </c>
      <c r="BM6" s="7">
        <v>1.0</v>
      </c>
      <c r="BN6" s="7">
        <v>1.0</v>
      </c>
      <c r="BO6" s="7">
        <v>1.0</v>
      </c>
      <c r="BP6" s="39">
        <f t="shared" si="18"/>
        <v>5</v>
      </c>
      <c r="BQ6" s="7">
        <v>1.0</v>
      </c>
      <c r="BR6" s="7">
        <v>1.0</v>
      </c>
      <c r="BS6" s="7">
        <v>1.0</v>
      </c>
      <c r="BT6" s="39">
        <f t="shared" si="19"/>
        <v>5</v>
      </c>
      <c r="BU6" s="7">
        <v>1.0</v>
      </c>
      <c r="BV6" s="7">
        <v>1.0</v>
      </c>
      <c r="BW6" s="7">
        <v>1.0</v>
      </c>
      <c r="BX6" s="39">
        <f t="shared" si="20"/>
        <v>5</v>
      </c>
      <c r="BY6" s="7">
        <v>1.0</v>
      </c>
      <c r="BZ6" s="7">
        <v>1.0</v>
      </c>
      <c r="CA6" s="7"/>
      <c r="CB6" s="39">
        <f t="shared" si="21"/>
        <v>3</v>
      </c>
      <c r="CC6" s="7">
        <v>1.0</v>
      </c>
      <c r="CD6" s="7">
        <v>1.0</v>
      </c>
      <c r="CE6" s="7">
        <v>1.0</v>
      </c>
      <c r="CF6" s="39">
        <f t="shared" si="22"/>
        <v>5</v>
      </c>
      <c r="CG6" s="7">
        <v>1.0</v>
      </c>
      <c r="CH6" s="7">
        <v>1.0</v>
      </c>
      <c r="CI6" s="7">
        <v>1.0</v>
      </c>
      <c r="CJ6" s="39">
        <f t="shared" si="23"/>
        <v>5</v>
      </c>
      <c r="CK6" s="7">
        <v>1.0</v>
      </c>
      <c r="CL6" s="7">
        <v>1.0</v>
      </c>
      <c r="CM6" s="7">
        <v>1.0</v>
      </c>
      <c r="CN6" s="39">
        <f t="shared" si="24"/>
        <v>5</v>
      </c>
      <c r="CO6" s="7">
        <v>1.0</v>
      </c>
      <c r="CP6" s="7">
        <v>1.0</v>
      </c>
      <c r="CQ6" s="7"/>
      <c r="CR6" s="39">
        <f t="shared" si="25"/>
        <v>3</v>
      </c>
      <c r="CS6" s="7">
        <v>1.0</v>
      </c>
      <c r="CT6" s="7">
        <v>1.0</v>
      </c>
      <c r="CU6" s="7">
        <v>1.0</v>
      </c>
      <c r="CV6" s="39">
        <f t="shared" si="26"/>
        <v>5</v>
      </c>
      <c r="CW6" s="7">
        <v>1.0</v>
      </c>
      <c r="CX6" s="7">
        <v>1.0</v>
      </c>
      <c r="CY6" s="7">
        <v>1.0</v>
      </c>
      <c r="CZ6" s="39">
        <f t="shared" si="27"/>
        <v>5</v>
      </c>
      <c r="DA6" s="7">
        <v>1.0</v>
      </c>
      <c r="DB6" s="7">
        <v>1.0</v>
      </c>
      <c r="DC6" s="7">
        <v>1.0</v>
      </c>
      <c r="DD6" s="39">
        <f t="shared" si="28"/>
        <v>5</v>
      </c>
      <c r="DE6" s="7">
        <v>1.0</v>
      </c>
      <c r="DF6" s="7">
        <v>1.0</v>
      </c>
      <c r="DG6" s="7">
        <v>1.0</v>
      </c>
      <c r="DH6" s="39">
        <f t="shared" si="29"/>
        <v>5</v>
      </c>
      <c r="DI6" s="7">
        <v>1.0</v>
      </c>
      <c r="DJ6" s="7">
        <v>1.0</v>
      </c>
      <c r="DK6" s="7">
        <v>1.0</v>
      </c>
      <c r="DL6" s="39">
        <f t="shared" si="30"/>
        <v>5</v>
      </c>
      <c r="DM6" s="7">
        <v>1.0</v>
      </c>
      <c r="DN6" s="7">
        <v>1.0</v>
      </c>
      <c r="DO6" s="7"/>
      <c r="DP6" s="39">
        <f t="shared" si="31"/>
        <v>3</v>
      </c>
      <c r="DQ6" s="7"/>
      <c r="DR6" s="7"/>
      <c r="DS6" s="7"/>
      <c r="DT6" s="39">
        <f t="shared" si="32"/>
        <v>0</v>
      </c>
      <c r="DU6" s="7"/>
      <c r="DV6" s="7"/>
      <c r="DW6" s="7"/>
      <c r="DX6" s="39">
        <f t="shared" si="33"/>
        <v>0</v>
      </c>
      <c r="DY6" s="7"/>
      <c r="DZ6" s="7"/>
      <c r="EA6" s="7"/>
      <c r="EB6" s="39">
        <f t="shared" si="34"/>
        <v>0</v>
      </c>
      <c r="EC6" s="7">
        <v>1.0</v>
      </c>
      <c r="ED6" s="7">
        <v>1.0</v>
      </c>
      <c r="EE6" s="7">
        <v>1.0</v>
      </c>
      <c r="EF6" s="39">
        <f t="shared" si="35"/>
        <v>5</v>
      </c>
      <c r="EG6" s="7"/>
      <c r="EH6" s="7"/>
      <c r="EI6" s="7"/>
      <c r="EJ6" s="39">
        <f t="shared" si="36"/>
        <v>0</v>
      </c>
      <c r="EK6" s="7">
        <v>1.0</v>
      </c>
      <c r="EL6" s="7">
        <v>1.0</v>
      </c>
      <c r="EM6" s="7">
        <v>1.0</v>
      </c>
      <c r="EN6" s="39">
        <f t="shared" si="37"/>
        <v>5</v>
      </c>
      <c r="EO6" s="7">
        <v>1.0</v>
      </c>
      <c r="EP6" s="7">
        <v>1.0</v>
      </c>
      <c r="EQ6" s="7">
        <v>1.0</v>
      </c>
      <c r="ER6" s="39">
        <f t="shared" si="38"/>
        <v>5</v>
      </c>
      <c r="ES6" s="7">
        <v>1.0</v>
      </c>
      <c r="ET6" s="7">
        <v>1.0</v>
      </c>
      <c r="EU6" s="7">
        <v>1.0</v>
      </c>
      <c r="EV6" s="39">
        <f t="shared" si="39"/>
        <v>5</v>
      </c>
      <c r="EW6" s="7">
        <v>1.0</v>
      </c>
      <c r="EX6" s="7">
        <v>1.0</v>
      </c>
      <c r="EY6" s="7"/>
      <c r="EZ6" s="39">
        <f t="shared" si="40"/>
        <v>3</v>
      </c>
      <c r="FA6" s="7">
        <v>1.0</v>
      </c>
      <c r="FB6" s="7">
        <v>1.0</v>
      </c>
      <c r="FC6" s="7">
        <v>1.0</v>
      </c>
      <c r="FD6" s="39">
        <f t="shared" si="41"/>
        <v>5</v>
      </c>
      <c r="FE6" s="7">
        <v>1.0</v>
      </c>
      <c r="FF6" s="7">
        <v>1.0</v>
      </c>
      <c r="FG6" s="7"/>
      <c r="FH6" s="39">
        <f t="shared" si="42"/>
        <v>3</v>
      </c>
      <c r="FI6" s="7">
        <v>1.0</v>
      </c>
      <c r="FJ6" s="7">
        <v>1.0</v>
      </c>
      <c r="FK6" s="7">
        <v>1.0</v>
      </c>
      <c r="FL6" s="39">
        <f t="shared" si="43"/>
        <v>5</v>
      </c>
      <c r="FM6" s="7">
        <v>1.0</v>
      </c>
      <c r="FN6" s="7">
        <v>1.0</v>
      </c>
      <c r="FO6" s="7">
        <v>1.0</v>
      </c>
      <c r="FP6" s="39">
        <f t="shared" si="44"/>
        <v>5</v>
      </c>
      <c r="FQ6" s="7">
        <v>1.0</v>
      </c>
      <c r="FR6" s="7">
        <v>1.0</v>
      </c>
      <c r="FS6" s="7">
        <v>1.0</v>
      </c>
      <c r="FT6" s="39">
        <f t="shared" si="45"/>
        <v>5</v>
      </c>
      <c r="FU6" s="7"/>
      <c r="FV6" s="7"/>
      <c r="FW6" s="7"/>
      <c r="FX6" s="39">
        <f t="shared" si="46"/>
        <v>0</v>
      </c>
      <c r="FY6" s="7">
        <v>1.0</v>
      </c>
      <c r="FZ6" s="7">
        <v>1.0</v>
      </c>
      <c r="GA6" s="7"/>
      <c r="GB6" s="39">
        <f t="shared" si="47"/>
        <v>3</v>
      </c>
      <c r="GC6" s="7">
        <v>1.0</v>
      </c>
      <c r="GD6" s="7">
        <v>1.0</v>
      </c>
      <c r="GE6" s="7"/>
      <c r="GF6" s="39">
        <f t="shared" si="48"/>
        <v>3</v>
      </c>
      <c r="GG6" s="7">
        <v>1.0</v>
      </c>
      <c r="GH6" s="7">
        <v>1.0</v>
      </c>
      <c r="GI6" s="7">
        <v>1.0</v>
      </c>
      <c r="GJ6" s="39">
        <f t="shared" si="49"/>
        <v>5</v>
      </c>
      <c r="GK6" s="7">
        <v>1.0</v>
      </c>
      <c r="GL6" s="7">
        <v>1.0</v>
      </c>
      <c r="GM6" s="7"/>
      <c r="GN6" s="39">
        <f t="shared" si="50"/>
        <v>3</v>
      </c>
      <c r="GO6" s="7">
        <v>1.0</v>
      </c>
      <c r="GP6" s="7">
        <v>1.0</v>
      </c>
      <c r="GQ6" s="7"/>
      <c r="GR6" s="39">
        <f t="shared" si="51"/>
        <v>3</v>
      </c>
      <c r="GS6" s="7">
        <v>1.0</v>
      </c>
      <c r="GT6" s="7">
        <v>1.0</v>
      </c>
      <c r="GU6" s="7"/>
      <c r="GV6" s="39">
        <f t="shared" si="52"/>
        <v>3</v>
      </c>
      <c r="GW6" s="7">
        <v>1.0</v>
      </c>
      <c r="GX6" s="7">
        <v>1.0</v>
      </c>
      <c r="GY6" s="7"/>
      <c r="GZ6" s="39">
        <f t="shared" si="53"/>
        <v>3</v>
      </c>
      <c r="HA6" s="7"/>
      <c r="HB6" s="7"/>
      <c r="HC6" s="7"/>
      <c r="HD6" s="39">
        <f t="shared" si="54"/>
        <v>0</v>
      </c>
      <c r="HE6" s="7">
        <v>1.0</v>
      </c>
      <c r="HF6" s="7">
        <v>1.0</v>
      </c>
      <c r="HG6" s="7">
        <v>1.0</v>
      </c>
      <c r="HH6" s="39">
        <f t="shared" si="55"/>
        <v>5</v>
      </c>
    </row>
    <row r="7">
      <c r="A7" s="4" t="s">
        <v>101</v>
      </c>
      <c r="B7" s="7"/>
      <c r="C7" s="1">
        <f t="shared" si="1"/>
        <v>5</v>
      </c>
      <c r="D7" s="15">
        <f>VLOOKUP(A7,TDP!A:C,3,FALSE)</f>
        <v>0.19</v>
      </c>
      <c r="E7" s="37">
        <f t="shared" si="2"/>
        <v>252.28</v>
      </c>
      <c r="F7" s="1">
        <f>VLOOKUP($A7,Valoracion!$A:$J,9,FALSE)</f>
        <v>5</v>
      </c>
      <c r="G7" s="7">
        <v>1.0</v>
      </c>
      <c r="H7" s="39">
        <f t="shared" si="3"/>
        <v>7</v>
      </c>
      <c r="I7" s="7">
        <v>1.0</v>
      </c>
      <c r="J7" s="7">
        <v>1.0</v>
      </c>
      <c r="K7" s="7">
        <v>1.0</v>
      </c>
      <c r="L7" s="39">
        <f t="shared" si="4"/>
        <v>5</v>
      </c>
      <c r="M7" s="7">
        <v>1.0</v>
      </c>
      <c r="N7" s="7">
        <v>1.0</v>
      </c>
      <c r="O7" s="7">
        <v>1.0</v>
      </c>
      <c r="P7" s="39">
        <f t="shared" si="5"/>
        <v>5</v>
      </c>
      <c r="Q7" s="7">
        <v>1.0</v>
      </c>
      <c r="R7" s="7">
        <v>1.0</v>
      </c>
      <c r="S7" s="7">
        <v>1.0</v>
      </c>
      <c r="T7" s="39">
        <f t="shared" si="6"/>
        <v>5</v>
      </c>
      <c r="U7" s="7">
        <v>1.0</v>
      </c>
      <c r="V7" s="7">
        <v>1.0</v>
      </c>
      <c r="W7" s="7">
        <v>1.0</v>
      </c>
      <c r="X7" s="39">
        <f t="shared" si="7"/>
        <v>5</v>
      </c>
      <c r="Y7" s="41"/>
      <c r="Z7" s="41"/>
      <c r="AA7" s="41"/>
      <c r="AB7" s="42">
        <f t="shared" si="8"/>
        <v>0</v>
      </c>
      <c r="AC7" s="7"/>
      <c r="AD7" s="7"/>
      <c r="AE7" s="7"/>
      <c r="AF7" s="39">
        <f t="shared" si="9"/>
        <v>0</v>
      </c>
      <c r="AG7" s="7"/>
      <c r="AH7" s="7"/>
      <c r="AI7" s="7"/>
      <c r="AJ7" s="39">
        <f t="shared" si="10"/>
        <v>0</v>
      </c>
      <c r="AK7" s="7"/>
      <c r="AL7" s="7"/>
      <c r="AM7" s="7"/>
      <c r="AN7" s="39">
        <f t="shared" si="11"/>
        <v>0</v>
      </c>
      <c r="AO7" s="7"/>
      <c r="AP7" s="7"/>
      <c r="AQ7" s="7">
        <v>1.0</v>
      </c>
      <c r="AR7" s="39">
        <f t="shared" si="12"/>
        <v>7</v>
      </c>
      <c r="AS7" s="7"/>
      <c r="AT7" s="7"/>
      <c r="AU7" s="7">
        <v>1.0</v>
      </c>
      <c r="AV7" s="39">
        <f t="shared" si="13"/>
        <v>7</v>
      </c>
      <c r="AW7" s="7">
        <v>1.0</v>
      </c>
      <c r="AX7" s="7">
        <v>1.0</v>
      </c>
      <c r="AY7" s="7">
        <v>1.0</v>
      </c>
      <c r="AZ7" s="39">
        <f t="shared" si="14"/>
        <v>5</v>
      </c>
      <c r="BA7" s="7"/>
      <c r="BB7" s="7"/>
      <c r="BC7" s="7"/>
      <c r="BD7" s="39">
        <f t="shared" si="15"/>
        <v>0</v>
      </c>
      <c r="BE7" s="7">
        <v>1.0</v>
      </c>
      <c r="BF7" s="7">
        <v>1.0</v>
      </c>
      <c r="BG7" s="7">
        <v>1.0</v>
      </c>
      <c r="BH7" s="39">
        <f t="shared" si="16"/>
        <v>5</v>
      </c>
      <c r="BI7" s="7"/>
      <c r="BJ7" s="7"/>
      <c r="BK7" s="7">
        <v>1.0</v>
      </c>
      <c r="BL7" s="39">
        <f t="shared" si="56"/>
        <v>7</v>
      </c>
      <c r="BM7" s="7">
        <v>1.0</v>
      </c>
      <c r="BN7" s="7">
        <v>1.0</v>
      </c>
      <c r="BO7" s="7">
        <v>1.0</v>
      </c>
      <c r="BP7" s="39">
        <f t="shared" si="18"/>
        <v>5</v>
      </c>
      <c r="BQ7" s="7">
        <v>1.0</v>
      </c>
      <c r="BR7" s="7">
        <v>1.0</v>
      </c>
      <c r="BS7" s="7">
        <v>1.0</v>
      </c>
      <c r="BT7" s="39">
        <f t="shared" si="19"/>
        <v>5</v>
      </c>
      <c r="BU7" s="7">
        <v>1.0</v>
      </c>
      <c r="BV7" s="7">
        <v>1.0</v>
      </c>
      <c r="BW7" s="7">
        <v>1.0</v>
      </c>
      <c r="BX7" s="39">
        <f t="shared" si="20"/>
        <v>5</v>
      </c>
      <c r="BY7" s="7">
        <v>1.0</v>
      </c>
      <c r="BZ7" s="7">
        <v>1.0</v>
      </c>
      <c r="CA7" s="7">
        <v>1.0</v>
      </c>
      <c r="CB7" s="39">
        <f t="shared" si="21"/>
        <v>5</v>
      </c>
      <c r="CC7" s="7">
        <v>1.0</v>
      </c>
      <c r="CD7" s="7">
        <v>1.0</v>
      </c>
      <c r="CE7" s="7">
        <v>1.0</v>
      </c>
      <c r="CF7" s="39">
        <f t="shared" si="22"/>
        <v>5</v>
      </c>
      <c r="CG7" s="7">
        <v>1.0</v>
      </c>
      <c r="CH7" s="7">
        <v>1.0</v>
      </c>
      <c r="CI7" s="7">
        <v>1.0</v>
      </c>
      <c r="CJ7" s="39">
        <f t="shared" si="23"/>
        <v>5</v>
      </c>
      <c r="CK7" s="7">
        <v>1.0</v>
      </c>
      <c r="CL7" s="7">
        <v>1.0</v>
      </c>
      <c r="CM7" s="7">
        <v>1.0</v>
      </c>
      <c r="CN7" s="39">
        <f t="shared" si="24"/>
        <v>5</v>
      </c>
      <c r="CO7" s="7">
        <v>1.0</v>
      </c>
      <c r="CP7" s="7">
        <v>1.0</v>
      </c>
      <c r="CQ7" s="7"/>
      <c r="CR7" s="39">
        <f t="shared" si="25"/>
        <v>3</v>
      </c>
      <c r="CS7" s="7">
        <v>1.0</v>
      </c>
      <c r="CT7" s="7">
        <v>1.0</v>
      </c>
      <c r="CU7" s="7">
        <v>1.0</v>
      </c>
      <c r="CV7" s="39">
        <f t="shared" si="26"/>
        <v>5</v>
      </c>
      <c r="CW7" s="7">
        <v>1.0</v>
      </c>
      <c r="CX7" s="7">
        <v>1.0</v>
      </c>
      <c r="CY7" s="7">
        <v>1.0</v>
      </c>
      <c r="CZ7" s="39">
        <f t="shared" si="27"/>
        <v>5</v>
      </c>
      <c r="DA7" s="7">
        <v>1.0</v>
      </c>
      <c r="DB7" s="7">
        <v>1.0</v>
      </c>
      <c r="DC7" s="7">
        <v>1.0</v>
      </c>
      <c r="DD7" s="39">
        <f t="shared" si="28"/>
        <v>5</v>
      </c>
      <c r="DE7" s="7">
        <v>1.0</v>
      </c>
      <c r="DF7" s="7">
        <v>1.0</v>
      </c>
      <c r="DG7" s="7">
        <v>1.0</v>
      </c>
      <c r="DH7" s="39">
        <f t="shared" si="29"/>
        <v>5</v>
      </c>
      <c r="DI7" s="7">
        <v>1.0</v>
      </c>
      <c r="DJ7" s="7">
        <v>1.0</v>
      </c>
      <c r="DK7" s="7"/>
      <c r="DL7" s="39">
        <f t="shared" si="30"/>
        <v>3</v>
      </c>
      <c r="DM7" s="7"/>
      <c r="DN7" s="7"/>
      <c r="DO7" s="7"/>
      <c r="DP7" s="39">
        <f t="shared" si="31"/>
        <v>0</v>
      </c>
      <c r="DQ7" s="7"/>
      <c r="DR7" s="7"/>
      <c r="DS7" s="7"/>
      <c r="DT7" s="39">
        <f t="shared" si="32"/>
        <v>0</v>
      </c>
      <c r="DU7" s="7"/>
      <c r="DV7" s="7"/>
      <c r="DW7" s="7"/>
      <c r="DX7" s="39">
        <f t="shared" si="33"/>
        <v>0</v>
      </c>
      <c r="DY7" s="7"/>
      <c r="DZ7" s="7"/>
      <c r="EA7" s="7"/>
      <c r="EB7" s="39">
        <f t="shared" si="34"/>
        <v>0</v>
      </c>
      <c r="EC7" s="7">
        <v>1.0</v>
      </c>
      <c r="ED7" s="7">
        <v>1.0</v>
      </c>
      <c r="EE7" s="7">
        <v>1.0</v>
      </c>
      <c r="EF7" s="39">
        <f t="shared" si="35"/>
        <v>5</v>
      </c>
      <c r="EG7" s="7"/>
      <c r="EH7" s="7"/>
      <c r="EI7" s="7"/>
      <c r="EJ7" s="39">
        <f t="shared" si="36"/>
        <v>0</v>
      </c>
      <c r="EK7" s="7">
        <v>1.0</v>
      </c>
      <c r="EL7" s="7">
        <v>1.0</v>
      </c>
      <c r="EM7" s="7">
        <v>1.0</v>
      </c>
      <c r="EN7" s="39">
        <f t="shared" si="37"/>
        <v>5</v>
      </c>
      <c r="EO7" s="7">
        <v>1.0</v>
      </c>
      <c r="EP7" s="7">
        <v>1.0</v>
      </c>
      <c r="EQ7" s="7">
        <v>1.0</v>
      </c>
      <c r="ER7" s="39">
        <f t="shared" si="38"/>
        <v>5</v>
      </c>
      <c r="ES7" s="7">
        <v>1.0</v>
      </c>
      <c r="ET7" s="7">
        <v>1.0</v>
      </c>
      <c r="EU7" s="7">
        <v>1.0</v>
      </c>
      <c r="EV7" s="39">
        <f t="shared" si="39"/>
        <v>5</v>
      </c>
      <c r="EW7" s="7">
        <v>1.0</v>
      </c>
      <c r="EX7" s="7">
        <v>1.0</v>
      </c>
      <c r="EY7" s="7">
        <v>1.0</v>
      </c>
      <c r="EZ7" s="39">
        <f t="shared" si="40"/>
        <v>5</v>
      </c>
      <c r="FA7" s="7">
        <v>1.0</v>
      </c>
      <c r="FB7" s="7">
        <v>1.0</v>
      </c>
      <c r="FC7" s="7">
        <v>1.0</v>
      </c>
      <c r="FD7" s="39">
        <f t="shared" si="41"/>
        <v>5</v>
      </c>
      <c r="FE7" s="7">
        <v>1.0</v>
      </c>
      <c r="FF7" s="7">
        <v>1.0</v>
      </c>
      <c r="FG7" s="7">
        <v>1.0</v>
      </c>
      <c r="FH7" s="39">
        <f t="shared" si="42"/>
        <v>5</v>
      </c>
      <c r="FI7" s="7">
        <v>1.0</v>
      </c>
      <c r="FJ7" s="7">
        <v>1.0</v>
      </c>
      <c r="FK7" s="7">
        <v>1.0</v>
      </c>
      <c r="FL7" s="39">
        <f t="shared" si="43"/>
        <v>5</v>
      </c>
      <c r="FM7" s="7">
        <v>1.0</v>
      </c>
      <c r="FN7" s="7">
        <v>1.0</v>
      </c>
      <c r="FO7" s="7">
        <v>1.0</v>
      </c>
      <c r="FP7" s="39">
        <f t="shared" si="44"/>
        <v>5</v>
      </c>
      <c r="FQ7" s="7">
        <v>1.0</v>
      </c>
      <c r="FR7" s="7">
        <v>1.0</v>
      </c>
      <c r="FS7" s="7">
        <v>1.0</v>
      </c>
      <c r="FT7" s="39">
        <f t="shared" si="45"/>
        <v>5</v>
      </c>
      <c r="FU7" s="7">
        <v>1.0</v>
      </c>
      <c r="FV7" s="7">
        <v>1.0</v>
      </c>
      <c r="FW7" s="7">
        <v>1.0</v>
      </c>
      <c r="FX7" s="39">
        <f t="shared" si="46"/>
        <v>5</v>
      </c>
      <c r="FY7" s="7">
        <v>1.0</v>
      </c>
      <c r="FZ7" s="7">
        <v>1.0</v>
      </c>
      <c r="GA7" s="7">
        <v>1.0</v>
      </c>
      <c r="GB7" s="39">
        <f t="shared" si="47"/>
        <v>5</v>
      </c>
      <c r="GC7" s="7">
        <v>1.0</v>
      </c>
      <c r="GD7" s="7">
        <v>1.0</v>
      </c>
      <c r="GE7" s="7">
        <v>1.0</v>
      </c>
      <c r="GF7" s="39">
        <f t="shared" si="48"/>
        <v>5</v>
      </c>
      <c r="GG7" s="7">
        <v>1.0</v>
      </c>
      <c r="GH7" s="7">
        <v>1.0</v>
      </c>
      <c r="GI7" s="7">
        <v>1.0</v>
      </c>
      <c r="GJ7" s="39">
        <f t="shared" si="49"/>
        <v>5</v>
      </c>
      <c r="GK7" s="7">
        <v>1.0</v>
      </c>
      <c r="GL7" s="7">
        <v>1.0</v>
      </c>
      <c r="GM7" s="7"/>
      <c r="GN7" s="39">
        <f t="shared" si="50"/>
        <v>3</v>
      </c>
      <c r="GO7" s="7">
        <v>1.0</v>
      </c>
      <c r="GP7" s="7">
        <v>1.0</v>
      </c>
      <c r="GQ7" s="7">
        <v>1.0</v>
      </c>
      <c r="GR7" s="39">
        <f t="shared" si="51"/>
        <v>5</v>
      </c>
      <c r="GS7" s="7">
        <v>1.0</v>
      </c>
      <c r="GT7" s="7">
        <v>1.0</v>
      </c>
      <c r="GU7" s="7">
        <v>1.0</v>
      </c>
      <c r="GV7" s="39">
        <f t="shared" si="52"/>
        <v>5</v>
      </c>
      <c r="GW7" s="7">
        <v>1.0</v>
      </c>
      <c r="GX7" s="7">
        <v>1.0</v>
      </c>
      <c r="GY7" s="7">
        <v>1.0</v>
      </c>
      <c r="GZ7" s="39">
        <f t="shared" si="53"/>
        <v>5</v>
      </c>
      <c r="HA7" s="7"/>
      <c r="HB7" s="7"/>
      <c r="HC7" s="7"/>
      <c r="HD7" s="39">
        <f t="shared" si="54"/>
        <v>0</v>
      </c>
      <c r="HE7" s="7">
        <v>1.0</v>
      </c>
      <c r="HF7" s="7">
        <v>1.0</v>
      </c>
      <c r="HG7" s="7">
        <v>1.0</v>
      </c>
      <c r="HH7" s="39">
        <f t="shared" si="55"/>
        <v>5</v>
      </c>
    </row>
    <row r="8">
      <c r="A8" s="4" t="s">
        <v>26</v>
      </c>
      <c r="B8" s="7" t="s">
        <v>85</v>
      </c>
      <c r="C8" s="1">
        <f t="shared" si="1"/>
        <v>6</v>
      </c>
      <c r="D8" s="15">
        <f>VLOOKUP(A8,TDP!A:C,3,FALSE)</f>
        <v>0.27</v>
      </c>
      <c r="E8" s="37">
        <f t="shared" si="2"/>
        <v>242.57</v>
      </c>
      <c r="F8" s="1">
        <f>VLOOKUP($A8,Valoracion!$A:$J,9,FALSE)</f>
        <v>8</v>
      </c>
      <c r="G8" s="7">
        <v>1.0</v>
      </c>
      <c r="H8" s="39">
        <f t="shared" si="3"/>
        <v>7</v>
      </c>
      <c r="I8" s="7">
        <v>1.0</v>
      </c>
      <c r="J8" s="7">
        <v>1.0</v>
      </c>
      <c r="K8" s="7">
        <v>1.0</v>
      </c>
      <c r="L8" s="39">
        <f t="shared" si="4"/>
        <v>5</v>
      </c>
      <c r="M8" s="7">
        <v>1.0</v>
      </c>
      <c r="N8" s="7">
        <v>1.0</v>
      </c>
      <c r="O8" s="7">
        <v>1.0</v>
      </c>
      <c r="P8" s="39">
        <f t="shared" si="5"/>
        <v>5</v>
      </c>
      <c r="Q8" s="7">
        <v>1.0</v>
      </c>
      <c r="R8" s="7">
        <v>1.0</v>
      </c>
      <c r="S8" s="7">
        <v>1.0</v>
      </c>
      <c r="T8" s="39">
        <f t="shared" si="6"/>
        <v>5</v>
      </c>
      <c r="U8" s="7">
        <v>1.0</v>
      </c>
      <c r="V8" s="7">
        <v>1.0</v>
      </c>
      <c r="W8" s="7">
        <v>1.0</v>
      </c>
      <c r="X8" s="39">
        <f t="shared" si="7"/>
        <v>5</v>
      </c>
      <c r="Y8" s="41"/>
      <c r="Z8" s="41"/>
      <c r="AA8" s="41"/>
      <c r="AB8" s="42">
        <f t="shared" si="8"/>
        <v>0</v>
      </c>
      <c r="AC8" s="7">
        <v>1.0</v>
      </c>
      <c r="AD8" s="7">
        <v>1.0</v>
      </c>
      <c r="AE8" s="7">
        <v>1.0</v>
      </c>
      <c r="AF8" s="39">
        <f t="shared" si="9"/>
        <v>5</v>
      </c>
      <c r="AG8" s="7">
        <v>1.0</v>
      </c>
      <c r="AH8" s="7">
        <v>1.0</v>
      </c>
      <c r="AI8" s="7">
        <v>1.0</v>
      </c>
      <c r="AJ8" s="39">
        <f t="shared" si="10"/>
        <v>5</v>
      </c>
      <c r="AK8" s="7">
        <v>1.0</v>
      </c>
      <c r="AL8" s="7">
        <v>1.0</v>
      </c>
      <c r="AM8" s="7">
        <v>1.0</v>
      </c>
      <c r="AN8" s="39">
        <f t="shared" si="11"/>
        <v>5</v>
      </c>
      <c r="AO8" s="7">
        <v>1.0</v>
      </c>
      <c r="AP8" s="7">
        <v>1.0</v>
      </c>
      <c r="AQ8" s="7"/>
      <c r="AR8" s="39">
        <f t="shared" si="12"/>
        <v>3</v>
      </c>
      <c r="AS8" s="7">
        <v>1.0</v>
      </c>
      <c r="AT8" s="7">
        <v>1.0</v>
      </c>
      <c r="AU8" s="7">
        <v>1.0</v>
      </c>
      <c r="AV8" s="145">
        <v>0.0</v>
      </c>
      <c r="AW8" s="7">
        <v>1.0</v>
      </c>
      <c r="AX8" s="7">
        <v>1.0</v>
      </c>
      <c r="AY8" s="7">
        <v>1.0</v>
      </c>
      <c r="AZ8" s="39">
        <f t="shared" si="14"/>
        <v>5</v>
      </c>
      <c r="BA8" s="7"/>
      <c r="BB8" s="7"/>
      <c r="BC8" s="7">
        <v>1.0</v>
      </c>
      <c r="BD8" s="39">
        <f t="shared" si="15"/>
        <v>7</v>
      </c>
      <c r="BE8" s="7">
        <v>1.0</v>
      </c>
      <c r="BF8" s="7">
        <v>1.0</v>
      </c>
      <c r="BG8" s="7">
        <v>1.0</v>
      </c>
      <c r="BH8" s="39">
        <f t="shared" si="16"/>
        <v>5</v>
      </c>
      <c r="BI8" s="7">
        <v>1.0</v>
      </c>
      <c r="BJ8" s="7">
        <v>1.0</v>
      </c>
      <c r="BK8" s="7">
        <v>1.0</v>
      </c>
      <c r="BL8" s="39">
        <f t="shared" si="56"/>
        <v>5</v>
      </c>
      <c r="BM8" s="7"/>
      <c r="BN8" s="7"/>
      <c r="BO8" s="7"/>
      <c r="BP8" s="39">
        <f t="shared" si="18"/>
        <v>0</v>
      </c>
      <c r="BQ8" s="7">
        <v>1.0</v>
      </c>
      <c r="BR8" s="7">
        <v>1.0</v>
      </c>
      <c r="BS8" s="7">
        <v>1.0</v>
      </c>
      <c r="BT8" s="39">
        <f t="shared" si="19"/>
        <v>5</v>
      </c>
      <c r="BU8" s="7">
        <v>1.0</v>
      </c>
      <c r="BV8" s="7">
        <v>1.0</v>
      </c>
      <c r="BW8" s="7">
        <v>1.0</v>
      </c>
      <c r="BX8" s="39">
        <f t="shared" si="20"/>
        <v>5</v>
      </c>
      <c r="BY8" s="7"/>
      <c r="BZ8" s="7"/>
      <c r="CA8" s="7">
        <v>1.0</v>
      </c>
      <c r="CB8" s="39">
        <f t="shared" si="21"/>
        <v>7</v>
      </c>
      <c r="CC8" s="7">
        <v>1.0</v>
      </c>
      <c r="CD8" s="7">
        <v>1.0</v>
      </c>
      <c r="CE8" s="7">
        <v>1.0</v>
      </c>
      <c r="CF8" s="39">
        <f t="shared" si="22"/>
        <v>5</v>
      </c>
      <c r="CG8" s="7">
        <v>1.0</v>
      </c>
      <c r="CH8" s="7">
        <v>1.0</v>
      </c>
      <c r="CI8" s="7">
        <v>1.0</v>
      </c>
      <c r="CJ8" s="39">
        <f t="shared" si="23"/>
        <v>5</v>
      </c>
      <c r="CK8" s="7">
        <v>1.0</v>
      </c>
      <c r="CL8" s="7">
        <v>1.0</v>
      </c>
      <c r="CM8" s="7">
        <v>1.0</v>
      </c>
      <c r="CN8" s="39">
        <f t="shared" si="24"/>
        <v>5</v>
      </c>
      <c r="CO8" s="7">
        <v>1.0</v>
      </c>
      <c r="CP8" s="7">
        <v>1.0</v>
      </c>
      <c r="CQ8" s="7"/>
      <c r="CR8" s="39">
        <f t="shared" si="25"/>
        <v>3</v>
      </c>
      <c r="CS8" s="7"/>
      <c r="CT8" s="7"/>
      <c r="CU8" s="7"/>
      <c r="CV8" s="39">
        <f t="shared" si="26"/>
        <v>0</v>
      </c>
      <c r="CW8" s="7">
        <v>1.0</v>
      </c>
      <c r="CX8" s="7">
        <v>1.0</v>
      </c>
      <c r="CY8" s="7">
        <v>1.0</v>
      </c>
      <c r="CZ8" s="39">
        <f t="shared" si="27"/>
        <v>5</v>
      </c>
      <c r="DA8" s="7"/>
      <c r="DB8" s="7"/>
      <c r="DC8" s="7">
        <v>1.0</v>
      </c>
      <c r="DD8" s="39">
        <f t="shared" si="28"/>
        <v>7</v>
      </c>
      <c r="DE8" s="7">
        <v>1.0</v>
      </c>
      <c r="DF8" s="7">
        <v>1.0</v>
      </c>
      <c r="DG8" s="7">
        <v>1.0</v>
      </c>
      <c r="DH8" s="39">
        <f t="shared" si="29"/>
        <v>5</v>
      </c>
      <c r="DI8" s="7">
        <v>1.0</v>
      </c>
      <c r="DJ8" s="7">
        <v>1.0</v>
      </c>
      <c r="DK8" s="7">
        <v>1.0</v>
      </c>
      <c r="DL8" s="39">
        <f t="shared" si="30"/>
        <v>5</v>
      </c>
      <c r="DM8" s="7"/>
      <c r="DN8" s="7"/>
      <c r="DO8" s="7"/>
      <c r="DP8" s="39">
        <f t="shared" si="31"/>
        <v>0</v>
      </c>
      <c r="DQ8" s="7"/>
      <c r="DR8" s="7"/>
      <c r="DS8" s="7"/>
      <c r="DT8" s="39">
        <f t="shared" si="32"/>
        <v>0</v>
      </c>
      <c r="DU8" s="7"/>
      <c r="DV8" s="7"/>
      <c r="DW8" s="7"/>
      <c r="DX8" s="39">
        <f t="shared" si="33"/>
        <v>0</v>
      </c>
      <c r="DY8" s="7"/>
      <c r="DZ8" s="7"/>
      <c r="EA8" s="7"/>
      <c r="EB8" s="39">
        <f t="shared" si="34"/>
        <v>0</v>
      </c>
      <c r="EC8" s="7"/>
      <c r="ED8" s="7"/>
      <c r="EE8" s="7"/>
      <c r="EF8" s="39">
        <f t="shared" si="35"/>
        <v>0</v>
      </c>
      <c r="EG8" s="7"/>
      <c r="EH8" s="7"/>
      <c r="EI8" s="7"/>
      <c r="EJ8" s="39">
        <f t="shared" si="36"/>
        <v>0</v>
      </c>
      <c r="EK8" s="7"/>
      <c r="EL8" s="7"/>
      <c r="EM8" s="7"/>
      <c r="EN8" s="39">
        <f t="shared" si="37"/>
        <v>0</v>
      </c>
      <c r="EO8" s="7"/>
      <c r="EP8" s="7"/>
      <c r="EQ8" s="7"/>
      <c r="ER8" s="39">
        <f t="shared" si="38"/>
        <v>0</v>
      </c>
      <c r="ES8" s="7"/>
      <c r="ET8" s="7"/>
      <c r="EU8" s="7"/>
      <c r="EV8" s="39">
        <f t="shared" si="39"/>
        <v>0</v>
      </c>
      <c r="EW8" s="7"/>
      <c r="EX8" s="7"/>
      <c r="EY8" s="7"/>
      <c r="EZ8" s="39">
        <f t="shared" si="40"/>
        <v>0</v>
      </c>
      <c r="FA8" s="7">
        <v>1.0</v>
      </c>
      <c r="FB8" s="7">
        <v>1.0</v>
      </c>
      <c r="FC8" s="7">
        <v>1.0</v>
      </c>
      <c r="FD8" s="39">
        <f t="shared" si="41"/>
        <v>5</v>
      </c>
      <c r="FE8" s="7">
        <v>1.0</v>
      </c>
      <c r="FF8" s="7">
        <v>1.0</v>
      </c>
      <c r="FG8" s="7">
        <v>1.0</v>
      </c>
      <c r="FH8" s="39">
        <f t="shared" si="42"/>
        <v>5</v>
      </c>
      <c r="FI8" s="7">
        <v>1.0</v>
      </c>
      <c r="FJ8" s="7">
        <v>1.0</v>
      </c>
      <c r="FK8" s="7">
        <v>1.0</v>
      </c>
      <c r="FL8" s="39">
        <f t="shared" si="43"/>
        <v>5</v>
      </c>
      <c r="FM8" s="7">
        <v>1.0</v>
      </c>
      <c r="FN8" s="7">
        <v>1.0</v>
      </c>
      <c r="FO8" s="7">
        <v>1.0</v>
      </c>
      <c r="FP8" s="39">
        <f t="shared" si="44"/>
        <v>5</v>
      </c>
      <c r="FQ8" s="7">
        <v>1.0</v>
      </c>
      <c r="FR8" s="7">
        <v>1.0</v>
      </c>
      <c r="FS8" s="7">
        <v>1.0</v>
      </c>
      <c r="FT8" s="39">
        <f t="shared" si="45"/>
        <v>5</v>
      </c>
      <c r="FU8" s="7">
        <v>1.0</v>
      </c>
      <c r="FV8" s="7">
        <v>1.0</v>
      </c>
      <c r="FW8" s="7">
        <v>1.0</v>
      </c>
      <c r="FX8" s="39">
        <f t="shared" si="46"/>
        <v>5</v>
      </c>
      <c r="FY8" s="7">
        <v>1.0</v>
      </c>
      <c r="FZ8" s="7">
        <v>1.0</v>
      </c>
      <c r="GA8" s="7">
        <v>1.0</v>
      </c>
      <c r="GB8" s="39">
        <f t="shared" si="47"/>
        <v>5</v>
      </c>
      <c r="GC8" s="7">
        <v>1.0</v>
      </c>
      <c r="GD8" s="7">
        <v>1.0</v>
      </c>
      <c r="GE8" s="7">
        <v>1.0</v>
      </c>
      <c r="GF8" s="39">
        <f t="shared" si="48"/>
        <v>5</v>
      </c>
      <c r="GG8" s="7">
        <v>1.0</v>
      </c>
      <c r="GH8" s="7">
        <v>1.0</v>
      </c>
      <c r="GI8" s="7">
        <v>1.0</v>
      </c>
      <c r="GJ8" s="39">
        <f t="shared" si="49"/>
        <v>5</v>
      </c>
      <c r="GK8" s="7"/>
      <c r="GL8" s="7"/>
      <c r="GM8" s="7"/>
      <c r="GN8" s="39">
        <f t="shared" si="50"/>
        <v>0</v>
      </c>
      <c r="GO8" s="7"/>
      <c r="GP8" s="7"/>
      <c r="GQ8" s="7">
        <v>1.0</v>
      </c>
      <c r="GR8" s="39">
        <f t="shared" si="51"/>
        <v>7</v>
      </c>
      <c r="GS8" s="7">
        <v>1.0</v>
      </c>
      <c r="GT8" s="7">
        <v>1.0</v>
      </c>
      <c r="GU8" s="7">
        <v>1.0</v>
      </c>
      <c r="GV8" s="39">
        <f t="shared" si="52"/>
        <v>5</v>
      </c>
      <c r="GW8" s="7">
        <v>1.0</v>
      </c>
      <c r="GX8" s="7">
        <v>1.0</v>
      </c>
      <c r="GY8" s="7">
        <v>1.0</v>
      </c>
      <c r="GZ8" s="39">
        <f t="shared" si="53"/>
        <v>5</v>
      </c>
      <c r="HA8" s="7"/>
      <c r="HB8" s="7"/>
      <c r="HC8" s="7"/>
      <c r="HD8" s="39">
        <f t="shared" si="54"/>
        <v>0</v>
      </c>
      <c r="HE8" s="7">
        <v>1.0</v>
      </c>
      <c r="HF8" s="7">
        <v>1.0</v>
      </c>
      <c r="HG8" s="7">
        <v>1.0</v>
      </c>
      <c r="HH8" s="39">
        <f t="shared" si="55"/>
        <v>5</v>
      </c>
    </row>
    <row r="9">
      <c r="A9" s="4" t="s">
        <v>12</v>
      </c>
      <c r="B9" s="7" t="s">
        <v>13</v>
      </c>
      <c r="C9" s="1">
        <f t="shared" si="1"/>
        <v>7</v>
      </c>
      <c r="D9" s="15">
        <f>VLOOKUP(A9,TDP!A:C,3,FALSE)</f>
        <v>0.56</v>
      </c>
      <c r="E9" s="37">
        <f t="shared" si="2"/>
        <v>237.12</v>
      </c>
      <c r="F9" s="1">
        <f>VLOOKUP($A9,Valoracion!$A:$J,9,FALSE)</f>
        <v>3</v>
      </c>
      <c r="G9" s="7">
        <v>1.0</v>
      </c>
      <c r="H9" s="39">
        <f>if($G9=1, 7, 0 )</f>
        <v>7</v>
      </c>
      <c r="I9" s="7"/>
      <c r="J9" s="7"/>
      <c r="K9" s="7"/>
      <c r="L9" s="39">
        <f> if( $I9=1, if( $J9=1, if( $K9=1, 5, 3), if( $K9=1, 1, -3 ) ), if($J9=1,if($K9=1, -1, -2 ), if($K9=1, 7, 0 ) ) )</f>
        <v>0</v>
      </c>
      <c r="M9" s="7"/>
      <c r="N9" s="7"/>
      <c r="O9" s="7"/>
      <c r="P9" s="39">
        <f> if( $I9=1, if( $J9=1, if( $K9=1, 5, 3), if( $K9=1, 1, -3 ) ), if($J9=1,if($K9=1, -1, -2 ), if($K9=1, 7, 0 ) ) )</f>
        <v>0</v>
      </c>
      <c r="Q9" s="7">
        <v>1.0</v>
      </c>
      <c r="R9" s="7">
        <v>1.0</v>
      </c>
      <c r="S9" s="7"/>
      <c r="T9" s="39">
        <f t="shared" si="6"/>
        <v>3</v>
      </c>
      <c r="U9" s="7"/>
      <c r="V9" s="7"/>
      <c r="W9" s="7">
        <v>1.0</v>
      </c>
      <c r="X9" s="39">
        <f t="shared" si="7"/>
        <v>7</v>
      </c>
      <c r="Y9" s="41"/>
      <c r="Z9" s="41"/>
      <c r="AA9" s="41"/>
      <c r="AB9" s="42">
        <f t="shared" si="8"/>
        <v>0</v>
      </c>
      <c r="AC9" s="7">
        <v>1.0</v>
      </c>
      <c r="AD9" s="7">
        <v>1.0</v>
      </c>
      <c r="AE9" s="7">
        <v>1.0</v>
      </c>
      <c r="AF9" s="39">
        <f t="shared" si="9"/>
        <v>5</v>
      </c>
      <c r="AG9" s="7">
        <v>1.0</v>
      </c>
      <c r="AH9" s="7">
        <v>1.0</v>
      </c>
      <c r="AI9" s="7">
        <v>1.0</v>
      </c>
      <c r="AJ9" s="39">
        <f t="shared" si="10"/>
        <v>5</v>
      </c>
      <c r="AK9" s="7">
        <v>1.0</v>
      </c>
      <c r="AL9" s="7">
        <v>1.0</v>
      </c>
      <c r="AM9" s="7">
        <v>1.0</v>
      </c>
      <c r="AN9" s="39">
        <f t="shared" si="11"/>
        <v>5</v>
      </c>
      <c r="AO9" s="7">
        <v>1.0</v>
      </c>
      <c r="AP9" s="7">
        <v>1.0</v>
      </c>
      <c r="AQ9" s="7"/>
      <c r="AR9" s="39">
        <f t="shared" si="12"/>
        <v>3</v>
      </c>
      <c r="AS9" s="7">
        <v>1.0</v>
      </c>
      <c r="AT9" s="7">
        <v>1.0</v>
      </c>
      <c r="AU9" s="7">
        <v>1.0</v>
      </c>
      <c r="AV9" s="39">
        <f t="shared" ref="AV9:AV41" si="57"> if( AS9=1, if( AT9=1, if( AU9=1, 5, 3), if( AU9=1, 1, -3 ) ), if(AT9=1,if(AU9=1, -1, -2 ), if(AU9=1, 7, 0 ) ) )</f>
        <v>5</v>
      </c>
      <c r="AW9" s="7">
        <v>1.0</v>
      </c>
      <c r="AX9" s="7">
        <v>1.0</v>
      </c>
      <c r="AY9" s="7"/>
      <c r="AZ9" s="145">
        <v>0.0</v>
      </c>
      <c r="BA9" s="7">
        <v>1.0</v>
      </c>
      <c r="BB9" s="7">
        <v>1.0</v>
      </c>
      <c r="BC9" s="7">
        <v>1.0</v>
      </c>
      <c r="BD9" s="39">
        <f t="shared" si="15"/>
        <v>5</v>
      </c>
      <c r="BE9" s="7">
        <v>1.0</v>
      </c>
      <c r="BF9" s="7">
        <v>1.0</v>
      </c>
      <c r="BG9" s="7">
        <v>1.0</v>
      </c>
      <c r="BH9" s="39">
        <f t="shared" si="16"/>
        <v>5</v>
      </c>
      <c r="BI9" s="7">
        <v>1.0</v>
      </c>
      <c r="BJ9" s="7">
        <v>1.0</v>
      </c>
      <c r="BK9" s="7"/>
      <c r="BL9" s="39">
        <f t="shared" si="56"/>
        <v>3</v>
      </c>
      <c r="BM9" s="7">
        <v>1.0</v>
      </c>
      <c r="BN9" s="7">
        <v>1.0</v>
      </c>
      <c r="BO9" s="7">
        <v>1.0</v>
      </c>
      <c r="BP9" s="39">
        <f t="shared" si="18"/>
        <v>5</v>
      </c>
      <c r="BQ9" s="7">
        <v>1.0</v>
      </c>
      <c r="BR9" s="7">
        <v>1.0</v>
      </c>
      <c r="BS9" s="7"/>
      <c r="BT9" s="93">
        <v>0.0</v>
      </c>
      <c r="BU9" s="7">
        <v>1.0</v>
      </c>
      <c r="BV9" s="7">
        <v>1.0</v>
      </c>
      <c r="BW9" s="7">
        <v>1.0</v>
      </c>
      <c r="BX9" s="39">
        <f t="shared" si="20"/>
        <v>5</v>
      </c>
      <c r="BY9" s="7">
        <v>1.0</v>
      </c>
      <c r="BZ9" s="7">
        <v>1.0</v>
      </c>
      <c r="CA9" s="7"/>
      <c r="CB9" s="39">
        <f t="shared" si="21"/>
        <v>3</v>
      </c>
      <c r="CC9" s="7"/>
      <c r="CD9" s="7"/>
      <c r="CE9" s="7"/>
      <c r="CF9" s="39">
        <f t="shared" si="22"/>
        <v>0</v>
      </c>
      <c r="CG9" s="7">
        <v>1.0</v>
      </c>
      <c r="CH9" s="7">
        <v>1.0</v>
      </c>
      <c r="CI9" s="7">
        <v>1.0</v>
      </c>
      <c r="CJ9" s="39">
        <f t="shared" si="23"/>
        <v>5</v>
      </c>
      <c r="CK9" s="7">
        <v>1.0</v>
      </c>
      <c r="CL9" s="7">
        <v>1.0</v>
      </c>
      <c r="CM9" s="7"/>
      <c r="CN9" s="39">
        <f t="shared" si="24"/>
        <v>3</v>
      </c>
      <c r="CO9" s="7">
        <v>1.0</v>
      </c>
      <c r="CP9" s="7">
        <v>1.0</v>
      </c>
      <c r="CQ9" s="7"/>
      <c r="CR9" s="39">
        <f t="shared" si="25"/>
        <v>3</v>
      </c>
      <c r="CS9" s="7">
        <v>1.0</v>
      </c>
      <c r="CT9" s="7">
        <v>1.0</v>
      </c>
      <c r="CU9" s="7">
        <v>1.0</v>
      </c>
      <c r="CV9" s="39">
        <f t="shared" si="26"/>
        <v>5</v>
      </c>
      <c r="CW9" s="7">
        <v>1.0</v>
      </c>
      <c r="CX9" s="7">
        <v>1.0</v>
      </c>
      <c r="CY9" s="7">
        <v>1.0</v>
      </c>
      <c r="CZ9" s="39">
        <f t="shared" si="27"/>
        <v>5</v>
      </c>
      <c r="DA9" s="7">
        <v>1.0</v>
      </c>
      <c r="DB9" s="7">
        <v>1.0</v>
      </c>
      <c r="DC9" s="7">
        <v>1.0</v>
      </c>
      <c r="DD9" s="39">
        <f t="shared" si="28"/>
        <v>5</v>
      </c>
      <c r="DE9" s="7">
        <v>1.0</v>
      </c>
      <c r="DF9" s="7">
        <v>1.0</v>
      </c>
      <c r="DG9" s="7"/>
      <c r="DH9" s="39">
        <f t="shared" si="29"/>
        <v>3</v>
      </c>
      <c r="DI9" s="7"/>
      <c r="DJ9" s="7"/>
      <c r="DK9" s="7"/>
      <c r="DL9" s="39">
        <f t="shared" si="30"/>
        <v>0</v>
      </c>
      <c r="DM9" s="7"/>
      <c r="DN9" s="7"/>
      <c r="DO9" s="7"/>
      <c r="DP9" s="39">
        <f t="shared" si="31"/>
        <v>0</v>
      </c>
      <c r="DQ9" s="7"/>
      <c r="DR9" s="7"/>
      <c r="DS9" s="7"/>
      <c r="DT9" s="39">
        <f t="shared" si="32"/>
        <v>0</v>
      </c>
      <c r="DU9" s="7"/>
      <c r="DV9" s="7"/>
      <c r="DW9" s="7"/>
      <c r="DX9" s="39">
        <f t="shared" si="33"/>
        <v>0</v>
      </c>
      <c r="DY9" s="7"/>
      <c r="DZ9" s="7"/>
      <c r="EA9" s="7"/>
      <c r="EB9" s="39">
        <f t="shared" si="34"/>
        <v>0</v>
      </c>
      <c r="EC9" s="7">
        <v>1.0</v>
      </c>
      <c r="ED9" s="7">
        <v>1.0</v>
      </c>
      <c r="EE9" s="7">
        <v>1.0</v>
      </c>
      <c r="EF9" s="39">
        <f t="shared" si="35"/>
        <v>5</v>
      </c>
      <c r="EG9" s="7"/>
      <c r="EH9" s="7"/>
      <c r="EI9" s="7"/>
      <c r="EJ9" s="39">
        <f t="shared" si="36"/>
        <v>0</v>
      </c>
      <c r="EK9" s="7">
        <v>1.0</v>
      </c>
      <c r="EL9" s="7"/>
      <c r="EM9" s="7"/>
      <c r="EN9" s="39">
        <f t="shared" si="37"/>
        <v>-3</v>
      </c>
      <c r="EO9" s="7">
        <v>1.0</v>
      </c>
      <c r="EP9" s="7">
        <v>1.0</v>
      </c>
      <c r="EQ9" s="7">
        <v>1.0</v>
      </c>
      <c r="ER9" s="39">
        <f t="shared" si="38"/>
        <v>5</v>
      </c>
      <c r="ES9" s="7">
        <v>1.0</v>
      </c>
      <c r="ET9" s="7">
        <v>1.0</v>
      </c>
      <c r="EU9" s="7"/>
      <c r="EV9" s="39">
        <f t="shared" si="39"/>
        <v>3</v>
      </c>
      <c r="EW9" s="7">
        <v>1.0</v>
      </c>
      <c r="EX9" s="7">
        <v>1.0</v>
      </c>
      <c r="EY9" s="7"/>
      <c r="EZ9" s="39">
        <f t="shared" si="40"/>
        <v>3</v>
      </c>
      <c r="FA9" s="7"/>
      <c r="FB9" s="7"/>
      <c r="FC9" s="7"/>
      <c r="FD9" s="39">
        <f t="shared" si="41"/>
        <v>0</v>
      </c>
      <c r="FE9" s="7">
        <v>1.0</v>
      </c>
      <c r="FF9" s="7">
        <v>1.0</v>
      </c>
      <c r="FG9" s="7">
        <v>1.0</v>
      </c>
      <c r="FH9" s="39">
        <f t="shared" si="42"/>
        <v>5</v>
      </c>
      <c r="FI9" s="7"/>
      <c r="FJ9" s="7"/>
      <c r="FK9" s="7"/>
      <c r="FL9" s="39">
        <f t="shared" si="43"/>
        <v>0</v>
      </c>
      <c r="FM9" s="7">
        <v>1.0</v>
      </c>
      <c r="FN9" s="7">
        <v>1.0</v>
      </c>
      <c r="FO9" s="7">
        <v>1.0</v>
      </c>
      <c r="FP9" s="39">
        <f t="shared" si="44"/>
        <v>5</v>
      </c>
      <c r="FQ9" s="7">
        <v>1.0</v>
      </c>
      <c r="FR9" s="7">
        <v>1.0</v>
      </c>
      <c r="FS9" s="7"/>
      <c r="FT9" s="39">
        <f t="shared" si="45"/>
        <v>3</v>
      </c>
      <c r="FU9" s="7">
        <v>1.0</v>
      </c>
      <c r="FV9" s="7">
        <v>1.0</v>
      </c>
      <c r="FW9" s="7"/>
      <c r="FX9" s="39">
        <f t="shared" si="46"/>
        <v>3</v>
      </c>
      <c r="FY9" s="7">
        <v>1.0</v>
      </c>
      <c r="FZ9" s="7">
        <v>1.0</v>
      </c>
      <c r="GA9" s="7">
        <v>1.0</v>
      </c>
      <c r="GB9" s="39">
        <f t="shared" si="47"/>
        <v>5</v>
      </c>
      <c r="GC9" s="7">
        <v>1.0</v>
      </c>
      <c r="GD9" s="7">
        <v>1.0</v>
      </c>
      <c r="GE9" s="7"/>
      <c r="GF9" s="39">
        <f t="shared" si="48"/>
        <v>3</v>
      </c>
      <c r="GG9" s="7"/>
      <c r="GH9" s="7"/>
      <c r="GI9" s="7"/>
      <c r="GJ9" s="39">
        <f t="shared" si="49"/>
        <v>0</v>
      </c>
      <c r="GK9" s="7">
        <v>1.0</v>
      </c>
      <c r="GL9" s="7">
        <v>1.0</v>
      </c>
      <c r="GM9" s="7"/>
      <c r="GN9" s="39">
        <f t="shared" si="50"/>
        <v>3</v>
      </c>
      <c r="GO9" s="7">
        <v>1.0</v>
      </c>
      <c r="GP9" s="7">
        <v>1.0</v>
      </c>
      <c r="GQ9" s="7"/>
      <c r="GR9" s="39">
        <f t="shared" si="51"/>
        <v>3</v>
      </c>
      <c r="GS9" s="7">
        <v>1.0</v>
      </c>
      <c r="GT9" s="7">
        <v>1.0</v>
      </c>
      <c r="GU9" s="7">
        <v>1.0</v>
      </c>
      <c r="GV9" s="39">
        <f t="shared" si="52"/>
        <v>5</v>
      </c>
      <c r="GW9" s="7">
        <v>1.0</v>
      </c>
      <c r="GX9" s="7">
        <v>1.0</v>
      </c>
      <c r="GY9" s="7"/>
      <c r="GZ9" s="39">
        <f t="shared" si="53"/>
        <v>3</v>
      </c>
      <c r="HA9" s="7">
        <v>1.0</v>
      </c>
      <c r="HB9" s="7">
        <v>1.0</v>
      </c>
      <c r="HC9" s="7"/>
      <c r="HD9" s="39">
        <f t="shared" si="54"/>
        <v>3</v>
      </c>
      <c r="HE9" s="7">
        <v>1.0</v>
      </c>
      <c r="HF9" s="7">
        <v>1.0</v>
      </c>
      <c r="HG9" s="7"/>
      <c r="HH9" s="39">
        <f t="shared" si="55"/>
        <v>3</v>
      </c>
    </row>
    <row r="10">
      <c r="A10" s="4" t="s">
        <v>117</v>
      </c>
      <c r="B10" s="7"/>
      <c r="C10" s="1">
        <f t="shared" si="1"/>
        <v>8</v>
      </c>
      <c r="D10" s="15">
        <f>VLOOKUP(A10,TDP!A:C,3,FALSE)</f>
        <v>0.16</v>
      </c>
      <c r="E10" s="37">
        <f t="shared" si="2"/>
        <v>218.08</v>
      </c>
      <c r="F10" s="1">
        <f>VLOOKUP($A10,Valoracion!$A:$J,9,FALSE)</f>
        <v>3</v>
      </c>
      <c r="G10" s="7">
        <v>1.0</v>
      </c>
      <c r="H10" s="39">
        <f t="shared" ref="H10:H41" si="58">if(G10=1, 7, 0 )</f>
        <v>7</v>
      </c>
      <c r="I10" s="7">
        <v>1.0</v>
      </c>
      <c r="J10" s="7">
        <v>1.0</v>
      </c>
      <c r="K10" s="7">
        <v>1.0</v>
      </c>
      <c r="L10" s="39">
        <f t="shared" ref="L10:L41" si="59"> if( I10=1, if( J10=1, if( K10=1, 5, 3), if( K10=1, 1, -3 ) ), if(J10=1,if(K10=1, -1, -2 ), if(K10=1, 7, 0 ) ) )</f>
        <v>5</v>
      </c>
      <c r="M10" s="7"/>
      <c r="N10" s="7"/>
      <c r="O10" s="7"/>
      <c r="P10" s="39">
        <f t="shared" ref="P10:P41" si="60"> if( M10=1, if( N10=1, if( O10=1, 5, 3), if( O10=1, 1, -3 ) ), if(N10=1,if(O10=1, -1, -2 ), if(O10=1, 7, 0 ) ) )</f>
        <v>0</v>
      </c>
      <c r="Q10" s="7"/>
      <c r="R10" s="7"/>
      <c r="S10" s="7"/>
      <c r="T10" s="39">
        <f t="shared" si="6"/>
        <v>0</v>
      </c>
      <c r="U10" s="7"/>
      <c r="V10" s="7"/>
      <c r="W10" s="7">
        <v>1.0</v>
      </c>
      <c r="X10" s="39">
        <f t="shared" si="7"/>
        <v>7</v>
      </c>
      <c r="Y10" s="41"/>
      <c r="Z10" s="41"/>
      <c r="AA10" s="41"/>
      <c r="AB10" s="42">
        <f t="shared" si="8"/>
        <v>0</v>
      </c>
      <c r="AC10" s="7">
        <v>1.0</v>
      </c>
      <c r="AD10" s="7">
        <v>1.0</v>
      </c>
      <c r="AE10" s="7">
        <v>1.0</v>
      </c>
      <c r="AF10" s="148">
        <v>0.0</v>
      </c>
      <c r="AG10" s="7"/>
      <c r="AH10" s="7"/>
      <c r="AI10" s="7">
        <v>1.0</v>
      </c>
      <c r="AJ10" s="39">
        <f t="shared" si="10"/>
        <v>7</v>
      </c>
      <c r="AK10" s="7"/>
      <c r="AL10" s="7"/>
      <c r="AM10" s="7">
        <v>1.0</v>
      </c>
      <c r="AN10" s="39">
        <f t="shared" si="11"/>
        <v>7</v>
      </c>
      <c r="AO10" s="7"/>
      <c r="AP10" s="7"/>
      <c r="AQ10" s="7">
        <v>1.0</v>
      </c>
      <c r="AR10" s="39">
        <f t="shared" si="12"/>
        <v>7</v>
      </c>
      <c r="AS10" s="7"/>
      <c r="AT10" s="7"/>
      <c r="AU10" s="7">
        <v>1.0</v>
      </c>
      <c r="AV10" s="39">
        <f t="shared" si="57"/>
        <v>7</v>
      </c>
      <c r="AW10" s="7">
        <v>1.0</v>
      </c>
      <c r="AX10" s="7">
        <v>1.0</v>
      </c>
      <c r="AY10" s="7">
        <v>1.0</v>
      </c>
      <c r="AZ10" s="39">
        <f t="shared" ref="AZ10:AZ14" si="61"> if( AW10=1, if( AX10=1, if( AY10=1, 5, 3), if( AY10=1, 1, -3 ) ), if(AX10=1,if(AY10=1, -1, -2 ), if(AY10=1, 7, 0 ) ) )</f>
        <v>5</v>
      </c>
      <c r="BA10" s="7">
        <v>1.0</v>
      </c>
      <c r="BB10" s="7">
        <v>1.0</v>
      </c>
      <c r="BC10" s="7">
        <v>1.0</v>
      </c>
      <c r="BD10" s="39">
        <f t="shared" si="15"/>
        <v>5</v>
      </c>
      <c r="BE10" s="7">
        <v>1.0</v>
      </c>
      <c r="BF10" s="7">
        <v>1.0</v>
      </c>
      <c r="BG10" s="7">
        <v>1.0</v>
      </c>
      <c r="BH10" s="39">
        <f t="shared" si="16"/>
        <v>5</v>
      </c>
      <c r="BI10" s="7">
        <v>1.0</v>
      </c>
      <c r="BJ10" s="7">
        <v>1.0</v>
      </c>
      <c r="BK10" s="7">
        <v>1.0</v>
      </c>
      <c r="BL10" s="93">
        <v>0.0</v>
      </c>
      <c r="BM10" s="7"/>
      <c r="BN10" s="7"/>
      <c r="BO10" s="7"/>
      <c r="BP10" s="39">
        <f t="shared" si="18"/>
        <v>0</v>
      </c>
      <c r="BQ10" s="7">
        <v>1.0</v>
      </c>
      <c r="BR10" s="7">
        <v>1.0</v>
      </c>
      <c r="BS10" s="7">
        <v>1.0</v>
      </c>
      <c r="BT10" s="39">
        <f t="shared" ref="BT10:BT41" si="62"> if( BQ10=1, if( BR10=1, if( BS10=1, 5, 3), if( BS10=1, 1, -3 ) ), if(BR10=1,if(BS10=1, -1, -2 ), if(BS10=1, 7, 0 ) ) )</f>
        <v>5</v>
      </c>
      <c r="BU10" s="7">
        <v>1.0</v>
      </c>
      <c r="BV10" s="7">
        <v>1.0</v>
      </c>
      <c r="BW10" s="7">
        <v>1.0</v>
      </c>
      <c r="BX10" s="39">
        <f t="shared" si="20"/>
        <v>5</v>
      </c>
      <c r="BY10" s="7">
        <v>1.0</v>
      </c>
      <c r="BZ10" s="7">
        <v>1.0</v>
      </c>
      <c r="CA10" s="7">
        <v>1.0</v>
      </c>
      <c r="CB10" s="39">
        <f t="shared" si="21"/>
        <v>5</v>
      </c>
      <c r="CC10" s="7">
        <v>1.0</v>
      </c>
      <c r="CD10" s="7">
        <v>1.0</v>
      </c>
      <c r="CE10" s="7">
        <v>1.0</v>
      </c>
      <c r="CF10" s="39">
        <f t="shared" si="22"/>
        <v>5</v>
      </c>
      <c r="CG10" s="7">
        <v>1.0</v>
      </c>
      <c r="CH10" s="7">
        <v>1.0</v>
      </c>
      <c r="CI10" s="7">
        <v>1.0</v>
      </c>
      <c r="CJ10" s="39">
        <f t="shared" si="23"/>
        <v>5</v>
      </c>
      <c r="CK10" s="7">
        <v>1.0</v>
      </c>
      <c r="CL10" s="7">
        <v>1.0</v>
      </c>
      <c r="CM10" s="7">
        <v>1.0</v>
      </c>
      <c r="CN10" s="39">
        <f t="shared" si="24"/>
        <v>5</v>
      </c>
      <c r="CO10" s="7">
        <v>1.0</v>
      </c>
      <c r="CP10" s="7">
        <v>1.0</v>
      </c>
      <c r="CQ10" s="7"/>
      <c r="CR10" s="39">
        <f t="shared" si="25"/>
        <v>3</v>
      </c>
      <c r="CS10" s="7">
        <v>1.0</v>
      </c>
      <c r="CT10" s="7">
        <v>1.0</v>
      </c>
      <c r="CU10" s="7">
        <v>1.0</v>
      </c>
      <c r="CV10" s="39">
        <f t="shared" si="26"/>
        <v>5</v>
      </c>
      <c r="CW10" s="7"/>
      <c r="CX10" s="7"/>
      <c r="CY10" s="7"/>
      <c r="CZ10" s="39">
        <f t="shared" si="27"/>
        <v>0</v>
      </c>
      <c r="DA10" s="7">
        <v>1.0</v>
      </c>
      <c r="DB10" s="7">
        <v>1.0</v>
      </c>
      <c r="DC10" s="7">
        <v>1.0</v>
      </c>
      <c r="DD10" s="39">
        <f t="shared" si="28"/>
        <v>5</v>
      </c>
      <c r="DE10" s="7">
        <v>1.0</v>
      </c>
      <c r="DF10" s="7">
        <v>1.0</v>
      </c>
      <c r="DG10" s="7">
        <v>1.0</v>
      </c>
      <c r="DH10" s="39">
        <f t="shared" si="29"/>
        <v>5</v>
      </c>
      <c r="DI10" s="7">
        <v>1.0</v>
      </c>
      <c r="DJ10" s="7">
        <v>1.0</v>
      </c>
      <c r="DK10" s="7">
        <v>1.0</v>
      </c>
      <c r="DL10" s="39">
        <f t="shared" si="30"/>
        <v>5</v>
      </c>
      <c r="DM10" s="7"/>
      <c r="DN10" s="7"/>
      <c r="DO10" s="7"/>
      <c r="DP10" s="39">
        <f t="shared" si="31"/>
        <v>0</v>
      </c>
      <c r="DQ10" s="7"/>
      <c r="DR10" s="7"/>
      <c r="DS10" s="7"/>
      <c r="DT10" s="39">
        <f t="shared" si="32"/>
        <v>0</v>
      </c>
      <c r="DU10" s="7"/>
      <c r="DV10" s="7"/>
      <c r="DW10" s="7"/>
      <c r="DX10" s="39">
        <f t="shared" si="33"/>
        <v>0</v>
      </c>
      <c r="DY10" s="7"/>
      <c r="DZ10" s="7"/>
      <c r="EA10" s="7"/>
      <c r="EB10" s="39">
        <f t="shared" si="34"/>
        <v>0</v>
      </c>
      <c r="EC10" s="7"/>
      <c r="ED10" s="7"/>
      <c r="EE10" s="7"/>
      <c r="EF10" s="39">
        <f t="shared" si="35"/>
        <v>0</v>
      </c>
      <c r="EG10" s="7"/>
      <c r="EH10" s="7"/>
      <c r="EI10" s="7"/>
      <c r="EJ10" s="39">
        <f t="shared" si="36"/>
        <v>0</v>
      </c>
      <c r="EK10" s="7">
        <v>1.0</v>
      </c>
      <c r="EL10" s="7">
        <v>1.0</v>
      </c>
      <c r="EM10" s="7"/>
      <c r="EN10" s="39">
        <f t="shared" si="37"/>
        <v>3</v>
      </c>
      <c r="EO10" s="7"/>
      <c r="EP10" s="7"/>
      <c r="EQ10" s="7"/>
      <c r="ER10" s="39">
        <f t="shared" si="38"/>
        <v>0</v>
      </c>
      <c r="ES10" s="7">
        <v>1.0</v>
      </c>
      <c r="ET10" s="7">
        <v>1.0</v>
      </c>
      <c r="EU10" s="7">
        <v>1.0</v>
      </c>
      <c r="EV10" s="39">
        <f t="shared" si="39"/>
        <v>5</v>
      </c>
      <c r="EW10" s="7">
        <v>1.0</v>
      </c>
      <c r="EX10" s="7">
        <v>1.0</v>
      </c>
      <c r="EY10" s="7">
        <v>1.0</v>
      </c>
      <c r="EZ10" s="39">
        <f t="shared" si="40"/>
        <v>5</v>
      </c>
      <c r="FA10" s="7">
        <v>1.0</v>
      </c>
      <c r="FB10" s="7">
        <v>1.0</v>
      </c>
      <c r="FC10" s="7">
        <v>1.0</v>
      </c>
      <c r="FD10" s="39">
        <f t="shared" si="41"/>
        <v>5</v>
      </c>
      <c r="FE10" s="7">
        <v>1.0</v>
      </c>
      <c r="FF10" s="7">
        <v>1.0</v>
      </c>
      <c r="FG10" s="7">
        <v>1.0</v>
      </c>
      <c r="FH10" s="39">
        <f t="shared" si="42"/>
        <v>5</v>
      </c>
      <c r="FI10" s="7">
        <v>1.0</v>
      </c>
      <c r="FJ10" s="7">
        <v>1.0</v>
      </c>
      <c r="FK10" s="7"/>
      <c r="FL10" s="39">
        <f t="shared" si="43"/>
        <v>3</v>
      </c>
      <c r="FM10" s="7">
        <v>1.0</v>
      </c>
      <c r="FN10" s="7">
        <v>1.0</v>
      </c>
      <c r="FO10" s="7">
        <v>1.0</v>
      </c>
      <c r="FP10" s="39">
        <f t="shared" si="44"/>
        <v>5</v>
      </c>
      <c r="FQ10" s="7">
        <v>1.0</v>
      </c>
      <c r="FR10" s="7">
        <v>1.0</v>
      </c>
      <c r="FS10" s="7">
        <v>1.0</v>
      </c>
      <c r="FT10" s="39">
        <f t="shared" si="45"/>
        <v>5</v>
      </c>
      <c r="FU10" s="7">
        <v>1.0</v>
      </c>
      <c r="FV10" s="7">
        <v>1.0</v>
      </c>
      <c r="FW10" s="7">
        <v>1.0</v>
      </c>
      <c r="FX10" s="39">
        <f t="shared" si="46"/>
        <v>5</v>
      </c>
      <c r="FY10" s="7">
        <v>1.0</v>
      </c>
      <c r="FZ10" s="7">
        <v>1.0</v>
      </c>
      <c r="GA10" s="7">
        <v>1.0</v>
      </c>
      <c r="GB10" s="39">
        <f t="shared" si="47"/>
        <v>5</v>
      </c>
      <c r="GC10" s="7">
        <v>1.0</v>
      </c>
      <c r="GD10" s="7">
        <v>1.0</v>
      </c>
      <c r="GE10" s="7"/>
      <c r="GF10" s="39">
        <f t="shared" si="48"/>
        <v>3</v>
      </c>
      <c r="GG10" s="7">
        <v>1.0</v>
      </c>
      <c r="GH10" s="7">
        <v>1.0</v>
      </c>
      <c r="GI10" s="7">
        <v>1.0</v>
      </c>
      <c r="GJ10" s="39">
        <f t="shared" si="49"/>
        <v>5</v>
      </c>
      <c r="GK10" s="7">
        <v>1.0</v>
      </c>
      <c r="GL10" s="7">
        <v>1.0</v>
      </c>
      <c r="GM10" s="7"/>
      <c r="GN10" s="39">
        <f t="shared" si="50"/>
        <v>3</v>
      </c>
      <c r="GO10" s="7">
        <v>1.0</v>
      </c>
      <c r="GP10" s="7">
        <v>1.0</v>
      </c>
      <c r="GQ10" s="7"/>
      <c r="GR10" s="39">
        <f t="shared" si="51"/>
        <v>3</v>
      </c>
      <c r="GS10" s="7">
        <v>1.0</v>
      </c>
      <c r="GT10" s="7">
        <v>1.0</v>
      </c>
      <c r="GU10" s="7">
        <v>1.0</v>
      </c>
      <c r="GV10" s="39">
        <f t="shared" si="52"/>
        <v>5</v>
      </c>
      <c r="GW10" s="7">
        <v>1.0</v>
      </c>
      <c r="GX10" s="7">
        <v>1.0</v>
      </c>
      <c r="GY10" s="7"/>
      <c r="GZ10" s="39">
        <f t="shared" si="53"/>
        <v>3</v>
      </c>
      <c r="HA10" s="7"/>
      <c r="HB10" s="7"/>
      <c r="HC10" s="7"/>
      <c r="HD10" s="39">
        <f t="shared" si="54"/>
        <v>0</v>
      </c>
      <c r="HE10" s="7">
        <v>1.0</v>
      </c>
      <c r="HF10" s="7">
        <v>1.0</v>
      </c>
      <c r="HG10" s="7">
        <v>1.0</v>
      </c>
      <c r="HH10" s="39">
        <f t="shared" si="55"/>
        <v>5</v>
      </c>
    </row>
    <row r="11">
      <c r="A11" s="20" t="s">
        <v>55</v>
      </c>
      <c r="B11" s="21" t="s">
        <v>193</v>
      </c>
      <c r="C11" s="1">
        <f t="shared" si="1"/>
        <v>9</v>
      </c>
      <c r="D11" s="15">
        <f>VLOOKUP(A11,TDP!A:C,3,FALSE)</f>
        <v>0.3</v>
      </c>
      <c r="E11" s="37">
        <f t="shared" si="2"/>
        <v>189.8</v>
      </c>
      <c r="F11" s="1">
        <f>VLOOKUP($A11,Valoracion!$A:$J,9,FALSE)</f>
        <v>5</v>
      </c>
      <c r="G11" s="7"/>
      <c r="H11" s="39">
        <f t="shared" si="58"/>
        <v>0</v>
      </c>
      <c r="I11" s="7">
        <v>1.0</v>
      </c>
      <c r="J11" s="7">
        <v>1.0</v>
      </c>
      <c r="K11" s="7">
        <v>1.0</v>
      </c>
      <c r="L11" s="39">
        <f t="shared" si="59"/>
        <v>5</v>
      </c>
      <c r="M11" s="7"/>
      <c r="N11" s="7"/>
      <c r="O11" s="7"/>
      <c r="P11" s="39">
        <f t="shared" si="60"/>
        <v>0</v>
      </c>
      <c r="Q11" s="7">
        <v>1.0</v>
      </c>
      <c r="R11" s="7">
        <v>1.0</v>
      </c>
      <c r="S11" s="7">
        <v>1.0</v>
      </c>
      <c r="T11" s="39">
        <f t="shared" si="6"/>
        <v>5</v>
      </c>
      <c r="U11" s="7"/>
      <c r="V11" s="7"/>
      <c r="W11" s="7">
        <v>1.0</v>
      </c>
      <c r="X11" s="39">
        <f t="shared" si="7"/>
        <v>7</v>
      </c>
      <c r="Y11" s="41"/>
      <c r="Z11" s="41"/>
      <c r="AA11" s="41"/>
      <c r="AB11" s="42">
        <f t="shared" si="8"/>
        <v>0</v>
      </c>
      <c r="AC11" s="7">
        <v>1.0</v>
      </c>
      <c r="AD11" s="7">
        <v>1.0</v>
      </c>
      <c r="AE11" s="7">
        <v>1.0</v>
      </c>
      <c r="AF11" s="39">
        <f t="shared" ref="AF11:AF41" si="63"> if( AC11=1, if( AD11=1, if( AE11=1, 5, 3), if( AE11=1, 1, -3 ) ), if(AD11=1,if(AE11=1, -1, -2 ), if(AE11=1, 7, 0 ) ) )</f>
        <v>5</v>
      </c>
      <c r="AG11" s="7">
        <v>1.0</v>
      </c>
      <c r="AH11" s="7">
        <v>1.0</v>
      </c>
      <c r="AI11" s="7">
        <v>1.0</v>
      </c>
      <c r="AJ11" s="39">
        <f t="shared" si="10"/>
        <v>5</v>
      </c>
      <c r="AK11" s="7">
        <v>1.0</v>
      </c>
      <c r="AL11" s="7">
        <v>1.0</v>
      </c>
      <c r="AM11" s="7">
        <v>1.0</v>
      </c>
      <c r="AN11" s="39">
        <f t="shared" si="11"/>
        <v>5</v>
      </c>
      <c r="AO11" s="7">
        <v>1.0</v>
      </c>
      <c r="AP11" s="7">
        <v>1.0</v>
      </c>
      <c r="AQ11" s="7">
        <v>1.0</v>
      </c>
      <c r="AR11" s="39">
        <f t="shared" si="12"/>
        <v>5</v>
      </c>
      <c r="AS11" s="7"/>
      <c r="AT11" s="7"/>
      <c r="AU11" s="7">
        <v>1.0</v>
      </c>
      <c r="AV11" s="39">
        <f t="shared" si="57"/>
        <v>7</v>
      </c>
      <c r="AW11" s="7"/>
      <c r="AX11" s="7"/>
      <c r="AY11" s="7">
        <v>1.0</v>
      </c>
      <c r="AZ11" s="39">
        <f t="shared" si="61"/>
        <v>7</v>
      </c>
      <c r="BA11" s="7">
        <v>1.0</v>
      </c>
      <c r="BB11" s="7">
        <v>1.0</v>
      </c>
      <c r="BC11" s="7">
        <v>1.0</v>
      </c>
      <c r="BD11" s="39">
        <f t="shared" si="15"/>
        <v>5</v>
      </c>
      <c r="BE11" s="7">
        <v>1.0</v>
      </c>
      <c r="BF11" s="7">
        <v>1.0</v>
      </c>
      <c r="BG11" s="7">
        <v>1.0</v>
      </c>
      <c r="BH11" s="39">
        <f t="shared" si="16"/>
        <v>5</v>
      </c>
      <c r="BI11" s="7">
        <v>1.0</v>
      </c>
      <c r="BJ11" s="7">
        <v>1.0</v>
      </c>
      <c r="BK11" s="7">
        <v>1.0</v>
      </c>
      <c r="BL11" s="39">
        <f t="shared" ref="BL11:BL41" si="64"> if( BI11=1, if( BJ11=1, if( BK11=1, 5, 3), if( BK11=1, 1, -3 ) ), if(BJ11=1,if(BK11=1, -1, -2 ), if(BK11=1, 7, 0 ) ) )</f>
        <v>5</v>
      </c>
      <c r="BM11" s="7"/>
      <c r="BN11" s="7"/>
      <c r="BO11" s="7"/>
      <c r="BP11" s="39">
        <f t="shared" si="18"/>
        <v>0</v>
      </c>
      <c r="BQ11" s="7"/>
      <c r="BR11" s="7"/>
      <c r="BS11" s="7"/>
      <c r="BT11" s="39">
        <f t="shared" si="62"/>
        <v>0</v>
      </c>
      <c r="BU11" s="7"/>
      <c r="BV11" s="7"/>
      <c r="BW11" s="7"/>
      <c r="BX11" s="39">
        <f t="shared" si="20"/>
        <v>0</v>
      </c>
      <c r="BY11" s="7">
        <v>1.0</v>
      </c>
      <c r="BZ11" s="7">
        <v>1.0</v>
      </c>
      <c r="CA11" s="7">
        <v>1.0</v>
      </c>
      <c r="CB11" s="39">
        <f t="shared" si="21"/>
        <v>5</v>
      </c>
      <c r="CC11" s="7">
        <v>1.0</v>
      </c>
      <c r="CD11" s="7">
        <v>1.0</v>
      </c>
      <c r="CE11" s="7">
        <v>1.0</v>
      </c>
      <c r="CF11" s="39">
        <f t="shared" si="22"/>
        <v>5</v>
      </c>
      <c r="CG11" s="7">
        <v>1.0</v>
      </c>
      <c r="CH11" s="7">
        <v>1.0</v>
      </c>
      <c r="CI11" s="7">
        <v>1.0</v>
      </c>
      <c r="CJ11" s="39">
        <f t="shared" si="23"/>
        <v>5</v>
      </c>
      <c r="CK11" s="7">
        <v>1.0</v>
      </c>
      <c r="CL11" s="7">
        <v>1.0</v>
      </c>
      <c r="CM11" s="7"/>
      <c r="CN11" s="39">
        <f t="shared" si="24"/>
        <v>3</v>
      </c>
      <c r="CO11" s="7">
        <v>1.0</v>
      </c>
      <c r="CP11" s="7">
        <v>1.0</v>
      </c>
      <c r="CQ11" s="7"/>
      <c r="CR11" s="39">
        <f t="shared" si="25"/>
        <v>3</v>
      </c>
      <c r="CS11" s="7">
        <v>1.0</v>
      </c>
      <c r="CT11" s="7">
        <v>1.0</v>
      </c>
      <c r="CU11" s="7"/>
      <c r="CV11" s="39">
        <f t="shared" si="26"/>
        <v>3</v>
      </c>
      <c r="CW11" s="7">
        <v>1.0</v>
      </c>
      <c r="CX11" s="7">
        <v>1.0</v>
      </c>
      <c r="CY11" s="7">
        <v>1.0</v>
      </c>
      <c r="CZ11" s="39">
        <f t="shared" si="27"/>
        <v>5</v>
      </c>
      <c r="DA11" s="7">
        <v>1.0</v>
      </c>
      <c r="DB11" s="7">
        <v>1.0</v>
      </c>
      <c r="DC11" s="7">
        <v>1.0</v>
      </c>
      <c r="DD11" s="39">
        <f t="shared" si="28"/>
        <v>5</v>
      </c>
      <c r="DE11" s="7">
        <v>1.0</v>
      </c>
      <c r="DF11" s="7">
        <v>1.0</v>
      </c>
      <c r="DG11" s="7"/>
      <c r="DH11" s="39">
        <f t="shared" si="29"/>
        <v>3</v>
      </c>
      <c r="DI11" s="7">
        <v>1.0</v>
      </c>
      <c r="DJ11" s="7">
        <v>1.0</v>
      </c>
      <c r="DK11" s="7"/>
      <c r="DL11" s="39">
        <f t="shared" si="30"/>
        <v>3</v>
      </c>
      <c r="DM11" s="7"/>
      <c r="DN11" s="7"/>
      <c r="DO11" s="7"/>
      <c r="DP11" s="39">
        <f t="shared" si="31"/>
        <v>0</v>
      </c>
      <c r="DQ11" s="7"/>
      <c r="DR11" s="7"/>
      <c r="DS11" s="7"/>
      <c r="DT11" s="39">
        <f t="shared" si="32"/>
        <v>0</v>
      </c>
      <c r="DU11" s="7"/>
      <c r="DV11" s="7"/>
      <c r="DW11" s="7"/>
      <c r="DX11" s="39">
        <f t="shared" si="33"/>
        <v>0</v>
      </c>
      <c r="DY11" s="7"/>
      <c r="DZ11" s="7"/>
      <c r="EA11" s="7"/>
      <c r="EB11" s="39">
        <f t="shared" si="34"/>
        <v>0</v>
      </c>
      <c r="EC11" s="7"/>
      <c r="ED11" s="7"/>
      <c r="EE11" s="7"/>
      <c r="EF11" s="39">
        <f t="shared" si="35"/>
        <v>0</v>
      </c>
      <c r="EG11" s="7"/>
      <c r="EH11" s="7"/>
      <c r="EI11" s="7"/>
      <c r="EJ11" s="39">
        <f t="shared" si="36"/>
        <v>0</v>
      </c>
      <c r="EK11" s="7">
        <v>1.0</v>
      </c>
      <c r="EL11" s="7">
        <v>1.0</v>
      </c>
      <c r="EM11" s="7">
        <v>1.0</v>
      </c>
      <c r="EN11" s="39">
        <f t="shared" si="37"/>
        <v>5</v>
      </c>
      <c r="EO11" s="7"/>
      <c r="EP11" s="7"/>
      <c r="EQ11" s="7"/>
      <c r="ER11" s="39">
        <f t="shared" si="38"/>
        <v>0</v>
      </c>
      <c r="ES11" s="7">
        <v>1.0</v>
      </c>
      <c r="ET11" s="7">
        <v>1.0</v>
      </c>
      <c r="EU11" s="7"/>
      <c r="EV11" s="39">
        <f t="shared" si="39"/>
        <v>3</v>
      </c>
      <c r="EW11" s="7">
        <v>1.0</v>
      </c>
      <c r="EX11" s="7">
        <v>1.0</v>
      </c>
      <c r="EY11" s="7"/>
      <c r="EZ11" s="39">
        <f t="shared" si="40"/>
        <v>3</v>
      </c>
      <c r="FA11" s="7"/>
      <c r="FB11" s="7"/>
      <c r="FC11" s="7"/>
      <c r="FD11" s="39">
        <f t="shared" si="41"/>
        <v>0</v>
      </c>
      <c r="FE11" s="7">
        <v>1.0</v>
      </c>
      <c r="FF11" s="7">
        <v>1.0</v>
      </c>
      <c r="FG11" s="7"/>
      <c r="FH11" s="39">
        <f t="shared" si="42"/>
        <v>3</v>
      </c>
      <c r="FI11" s="7"/>
      <c r="FJ11" s="7"/>
      <c r="FK11" s="7"/>
      <c r="FL11" s="39">
        <f t="shared" si="43"/>
        <v>0</v>
      </c>
      <c r="FM11" s="7">
        <v>1.0</v>
      </c>
      <c r="FN11" s="7">
        <v>1.0</v>
      </c>
      <c r="FO11" s="7"/>
      <c r="FP11" s="39">
        <f t="shared" si="44"/>
        <v>3</v>
      </c>
      <c r="FQ11" s="7">
        <v>1.0</v>
      </c>
      <c r="FR11" s="7">
        <v>1.0</v>
      </c>
      <c r="FS11" s="7"/>
      <c r="FT11" s="39">
        <f t="shared" si="45"/>
        <v>3</v>
      </c>
      <c r="FU11" s="7"/>
      <c r="FV11" s="7"/>
      <c r="FW11" s="7"/>
      <c r="FX11" s="39">
        <f t="shared" si="46"/>
        <v>0</v>
      </c>
      <c r="FY11" s="7">
        <v>1.0</v>
      </c>
      <c r="FZ11" s="7">
        <v>1.0</v>
      </c>
      <c r="GA11" s="7"/>
      <c r="GB11" s="39">
        <f t="shared" si="47"/>
        <v>3</v>
      </c>
      <c r="GC11" s="7">
        <v>1.0</v>
      </c>
      <c r="GD11" s="7">
        <v>1.0</v>
      </c>
      <c r="GE11" s="7"/>
      <c r="GF11" s="39">
        <f t="shared" si="48"/>
        <v>3</v>
      </c>
      <c r="GG11" s="7">
        <v>1.0</v>
      </c>
      <c r="GH11" s="7">
        <v>1.0</v>
      </c>
      <c r="GI11" s="7"/>
      <c r="GJ11" s="39">
        <f t="shared" si="49"/>
        <v>3</v>
      </c>
      <c r="GK11" s="7"/>
      <c r="GL11" s="7"/>
      <c r="GM11" s="7"/>
      <c r="GN11" s="39">
        <f t="shared" si="50"/>
        <v>0</v>
      </c>
      <c r="GO11" s="7"/>
      <c r="GP11" s="7"/>
      <c r="GQ11" s="7"/>
      <c r="GR11" s="39">
        <f t="shared" si="51"/>
        <v>0</v>
      </c>
      <c r="GS11" s="7">
        <v>1.0</v>
      </c>
      <c r="GT11" s="7">
        <v>1.0</v>
      </c>
      <c r="GU11" s="7">
        <v>1.0</v>
      </c>
      <c r="GV11" s="39">
        <f t="shared" si="52"/>
        <v>5</v>
      </c>
      <c r="GW11" s="7">
        <v>1.0</v>
      </c>
      <c r="GX11" s="7">
        <v>1.0</v>
      </c>
      <c r="GY11" s="7"/>
      <c r="GZ11" s="39">
        <f t="shared" si="53"/>
        <v>3</v>
      </c>
      <c r="HA11" s="7">
        <v>1.0</v>
      </c>
      <c r="HB11" s="7">
        <v>1.0</v>
      </c>
      <c r="HC11" s="7"/>
      <c r="HD11" s="39">
        <f t="shared" si="54"/>
        <v>3</v>
      </c>
      <c r="HE11" s="7">
        <v>1.0</v>
      </c>
      <c r="HF11" s="7">
        <v>1.0</v>
      </c>
      <c r="HG11" s="7">
        <v>1.0</v>
      </c>
      <c r="HH11" s="150">
        <v>0.0</v>
      </c>
    </row>
    <row r="12">
      <c r="A12" s="4" t="s">
        <v>31</v>
      </c>
      <c r="B12" s="7" t="s">
        <v>40</v>
      </c>
      <c r="C12" s="1">
        <f t="shared" si="1"/>
        <v>10</v>
      </c>
      <c r="D12" s="15">
        <f>VLOOKUP(A12,TDP!A:C,3,FALSE)</f>
        <v>0.39</v>
      </c>
      <c r="E12" s="37">
        <f t="shared" si="2"/>
        <v>189.04</v>
      </c>
      <c r="F12" s="1">
        <f>VLOOKUP($A12,Valoracion!$A:$J,9,FALSE)</f>
        <v>4</v>
      </c>
      <c r="G12" s="7">
        <v>1.0</v>
      </c>
      <c r="H12" s="39">
        <f t="shared" si="58"/>
        <v>7</v>
      </c>
      <c r="I12" s="7">
        <v>1.0</v>
      </c>
      <c r="J12" s="7">
        <v>1.0</v>
      </c>
      <c r="K12" s="7">
        <v>1.0</v>
      </c>
      <c r="L12" s="39">
        <f t="shared" si="59"/>
        <v>5</v>
      </c>
      <c r="M12" s="7">
        <v>1.0</v>
      </c>
      <c r="N12" s="7">
        <v>1.0</v>
      </c>
      <c r="O12" s="7"/>
      <c r="P12" s="39">
        <f t="shared" si="60"/>
        <v>3</v>
      </c>
      <c r="Q12" s="7">
        <v>1.0</v>
      </c>
      <c r="R12" s="7">
        <v>1.0</v>
      </c>
      <c r="S12" s="7"/>
      <c r="T12" s="39">
        <f t="shared" si="6"/>
        <v>3</v>
      </c>
      <c r="U12" s="7">
        <v>1.0</v>
      </c>
      <c r="V12" s="7">
        <v>1.0</v>
      </c>
      <c r="W12" s="7">
        <v>1.0</v>
      </c>
      <c r="X12" s="39">
        <f t="shared" si="7"/>
        <v>5</v>
      </c>
      <c r="Y12" s="41"/>
      <c r="Z12" s="41"/>
      <c r="AA12" s="41"/>
      <c r="AB12" s="42">
        <f t="shared" si="8"/>
        <v>0</v>
      </c>
      <c r="AC12" s="7">
        <v>1.0</v>
      </c>
      <c r="AD12" s="7">
        <v>1.0</v>
      </c>
      <c r="AE12" s="7">
        <v>1.0</v>
      </c>
      <c r="AF12" s="39">
        <f t="shared" si="63"/>
        <v>5</v>
      </c>
      <c r="AG12" s="7">
        <v>1.0</v>
      </c>
      <c r="AH12" s="7">
        <v>1.0</v>
      </c>
      <c r="AI12" s="7">
        <v>1.0</v>
      </c>
      <c r="AJ12" s="39">
        <f t="shared" si="10"/>
        <v>5</v>
      </c>
      <c r="AK12" s="7"/>
      <c r="AL12" s="7"/>
      <c r="AM12" s="7">
        <v>1.0</v>
      </c>
      <c r="AN12" s="39">
        <f t="shared" si="11"/>
        <v>7</v>
      </c>
      <c r="AO12" s="7">
        <v>1.0</v>
      </c>
      <c r="AP12" s="7">
        <v>1.0</v>
      </c>
      <c r="AQ12" s="7">
        <v>1.0</v>
      </c>
      <c r="AR12" s="39">
        <f t="shared" si="12"/>
        <v>5</v>
      </c>
      <c r="AS12" s="7">
        <v>1.0</v>
      </c>
      <c r="AT12" s="7">
        <v>1.0</v>
      </c>
      <c r="AU12" s="7">
        <v>1.0</v>
      </c>
      <c r="AV12" s="39">
        <f t="shared" si="57"/>
        <v>5</v>
      </c>
      <c r="AW12" s="7"/>
      <c r="AX12" s="7"/>
      <c r="AY12" s="7">
        <v>1.0</v>
      </c>
      <c r="AZ12" s="39">
        <f t="shared" si="61"/>
        <v>7</v>
      </c>
      <c r="BA12" s="7">
        <v>1.0</v>
      </c>
      <c r="BB12" s="7">
        <v>1.0</v>
      </c>
      <c r="BC12" s="7">
        <v>1.0</v>
      </c>
      <c r="BD12" s="39">
        <f t="shared" si="15"/>
        <v>5</v>
      </c>
      <c r="BE12" s="7"/>
      <c r="BF12" s="7"/>
      <c r="BG12" s="7"/>
      <c r="BH12" s="39">
        <f t="shared" si="16"/>
        <v>0</v>
      </c>
      <c r="BI12" s="7">
        <v>1.0</v>
      </c>
      <c r="BJ12" s="7">
        <v>1.0</v>
      </c>
      <c r="BK12" s="7">
        <v>1.0</v>
      </c>
      <c r="BL12" s="39">
        <f t="shared" si="64"/>
        <v>5</v>
      </c>
      <c r="BM12" s="7"/>
      <c r="BN12" s="7"/>
      <c r="BO12" s="7">
        <v>1.0</v>
      </c>
      <c r="BP12" s="39">
        <f t="shared" si="18"/>
        <v>7</v>
      </c>
      <c r="BQ12" s="7">
        <v>1.0</v>
      </c>
      <c r="BR12" s="7">
        <v>1.0</v>
      </c>
      <c r="BS12" s="7">
        <v>1.0</v>
      </c>
      <c r="BT12" s="39">
        <f t="shared" si="62"/>
        <v>5</v>
      </c>
      <c r="BU12" s="7"/>
      <c r="BV12" s="7"/>
      <c r="BW12" s="7"/>
      <c r="BX12" s="39">
        <f t="shared" si="20"/>
        <v>0</v>
      </c>
      <c r="BY12" s="7"/>
      <c r="BZ12" s="7"/>
      <c r="CA12" s="7"/>
      <c r="CB12" s="39">
        <f t="shared" si="21"/>
        <v>0</v>
      </c>
      <c r="CC12" s="7">
        <v>1.0</v>
      </c>
      <c r="CD12" s="7">
        <v>1.0</v>
      </c>
      <c r="CE12" s="7">
        <v>1.0</v>
      </c>
      <c r="CF12" s="39">
        <f t="shared" si="22"/>
        <v>5</v>
      </c>
      <c r="CG12" s="7">
        <v>1.0</v>
      </c>
      <c r="CH12" s="7">
        <v>1.0</v>
      </c>
      <c r="CI12" s="7">
        <v>1.0</v>
      </c>
      <c r="CJ12" s="39">
        <f t="shared" si="23"/>
        <v>5</v>
      </c>
      <c r="CK12" s="7"/>
      <c r="CL12" s="7"/>
      <c r="CM12" s="7"/>
      <c r="CN12" s="39">
        <f t="shared" si="24"/>
        <v>0</v>
      </c>
      <c r="CO12" s="7"/>
      <c r="CP12" s="7"/>
      <c r="CQ12" s="7"/>
      <c r="CR12" s="39">
        <f t="shared" si="25"/>
        <v>0</v>
      </c>
      <c r="CS12" s="7"/>
      <c r="CT12" s="7"/>
      <c r="CU12" s="7"/>
      <c r="CV12" s="39">
        <f t="shared" si="26"/>
        <v>0</v>
      </c>
      <c r="CW12" s="7"/>
      <c r="CX12" s="7"/>
      <c r="CY12" s="7"/>
      <c r="CZ12" s="39">
        <f t="shared" si="27"/>
        <v>0</v>
      </c>
      <c r="DA12" s="7">
        <v>1.0</v>
      </c>
      <c r="DB12" s="7">
        <v>1.0</v>
      </c>
      <c r="DC12" s="7">
        <v>1.0</v>
      </c>
      <c r="DD12" s="39">
        <f t="shared" si="28"/>
        <v>5</v>
      </c>
      <c r="DE12" s="7"/>
      <c r="DF12" s="7"/>
      <c r="DG12" s="7"/>
      <c r="DH12" s="39">
        <f t="shared" si="29"/>
        <v>0</v>
      </c>
      <c r="DI12" s="7">
        <v>1.0</v>
      </c>
      <c r="DJ12" s="7">
        <v>1.0</v>
      </c>
      <c r="DK12" s="7"/>
      <c r="DL12" s="39">
        <f t="shared" si="30"/>
        <v>3</v>
      </c>
      <c r="DM12" s="7"/>
      <c r="DN12" s="7"/>
      <c r="DO12" s="7"/>
      <c r="DP12" s="39">
        <f t="shared" si="31"/>
        <v>0</v>
      </c>
      <c r="DQ12" s="7"/>
      <c r="DR12" s="7"/>
      <c r="DS12" s="7"/>
      <c r="DT12" s="39">
        <f t="shared" si="32"/>
        <v>0</v>
      </c>
      <c r="DU12" s="7"/>
      <c r="DV12" s="7"/>
      <c r="DW12" s="7"/>
      <c r="DX12" s="39">
        <f t="shared" si="33"/>
        <v>0</v>
      </c>
      <c r="DY12" s="7"/>
      <c r="DZ12" s="7"/>
      <c r="EA12" s="7"/>
      <c r="EB12" s="39">
        <f t="shared" si="34"/>
        <v>0</v>
      </c>
      <c r="EC12" s="7"/>
      <c r="ED12" s="7"/>
      <c r="EE12" s="7"/>
      <c r="EF12" s="39">
        <f t="shared" si="35"/>
        <v>0</v>
      </c>
      <c r="EG12" s="7"/>
      <c r="EH12" s="7"/>
      <c r="EI12" s="7"/>
      <c r="EJ12" s="39">
        <f t="shared" si="36"/>
        <v>0</v>
      </c>
      <c r="EK12" s="7"/>
      <c r="EL12" s="7"/>
      <c r="EM12" s="7"/>
      <c r="EN12" s="39">
        <f t="shared" si="37"/>
        <v>0</v>
      </c>
      <c r="EO12" s="7"/>
      <c r="EP12" s="7"/>
      <c r="EQ12" s="7"/>
      <c r="ER12" s="39">
        <f t="shared" si="38"/>
        <v>0</v>
      </c>
      <c r="ES12" s="7"/>
      <c r="ET12" s="7"/>
      <c r="EU12" s="7"/>
      <c r="EV12" s="39">
        <f t="shared" si="39"/>
        <v>0</v>
      </c>
      <c r="EW12" s="7"/>
      <c r="EX12" s="7"/>
      <c r="EY12" s="7"/>
      <c r="EZ12" s="39">
        <f t="shared" si="40"/>
        <v>0</v>
      </c>
      <c r="FA12" s="7">
        <v>1.0</v>
      </c>
      <c r="FB12" s="7">
        <v>1.0</v>
      </c>
      <c r="FC12" s="7">
        <v>1.0</v>
      </c>
      <c r="FD12" s="39">
        <f t="shared" si="41"/>
        <v>5</v>
      </c>
      <c r="FE12" s="7"/>
      <c r="FF12" s="7"/>
      <c r="FG12" s="7"/>
      <c r="FH12" s="39">
        <f t="shared" si="42"/>
        <v>0</v>
      </c>
      <c r="FI12" s="7"/>
      <c r="FJ12" s="7"/>
      <c r="FK12" s="7"/>
      <c r="FL12" s="39">
        <f t="shared" si="43"/>
        <v>0</v>
      </c>
      <c r="FM12" s="7"/>
      <c r="FN12" s="7"/>
      <c r="FO12" s="7"/>
      <c r="FP12" s="39">
        <f t="shared" si="44"/>
        <v>0</v>
      </c>
      <c r="FQ12" s="7">
        <v>1.0</v>
      </c>
      <c r="FR12" s="7">
        <v>1.0</v>
      </c>
      <c r="FS12" s="7">
        <v>1.0</v>
      </c>
      <c r="FT12" s="39">
        <f t="shared" si="45"/>
        <v>5</v>
      </c>
      <c r="FU12" s="7">
        <v>1.0</v>
      </c>
      <c r="FV12" s="7">
        <v>1.0</v>
      </c>
      <c r="FW12" s="7"/>
      <c r="FX12" s="39">
        <f t="shared" si="46"/>
        <v>3</v>
      </c>
      <c r="FY12" s="7">
        <v>1.0</v>
      </c>
      <c r="FZ12" s="7">
        <v>1.0</v>
      </c>
      <c r="GA12" s="7"/>
      <c r="GB12" s="39">
        <f t="shared" si="47"/>
        <v>3</v>
      </c>
      <c r="GC12" s="7">
        <v>1.0</v>
      </c>
      <c r="GD12" s="7">
        <v>1.0</v>
      </c>
      <c r="GE12" s="7"/>
      <c r="GF12" s="39">
        <f t="shared" si="48"/>
        <v>3</v>
      </c>
      <c r="GG12" s="7">
        <v>1.0</v>
      </c>
      <c r="GH12" s="7">
        <v>1.0</v>
      </c>
      <c r="GI12" s="7"/>
      <c r="GJ12" s="39">
        <f t="shared" si="49"/>
        <v>3</v>
      </c>
      <c r="GK12" s="7">
        <v>1.0</v>
      </c>
      <c r="GL12" s="7">
        <v>1.0</v>
      </c>
      <c r="GM12" s="7"/>
      <c r="GN12" s="39">
        <f t="shared" si="50"/>
        <v>3</v>
      </c>
      <c r="GO12" s="7">
        <v>1.0</v>
      </c>
      <c r="GP12" s="7">
        <v>1.0</v>
      </c>
      <c r="GQ12" s="7"/>
      <c r="GR12" s="39">
        <f t="shared" si="51"/>
        <v>3</v>
      </c>
      <c r="GS12" s="7">
        <v>1.0</v>
      </c>
      <c r="GT12" s="7">
        <v>1.0</v>
      </c>
      <c r="GU12" s="7">
        <v>1.0</v>
      </c>
      <c r="GV12" s="39">
        <f t="shared" si="52"/>
        <v>5</v>
      </c>
      <c r="GW12" s="7">
        <v>1.0</v>
      </c>
      <c r="GX12" s="7">
        <v>1.0</v>
      </c>
      <c r="GY12" s="7"/>
      <c r="GZ12" s="39">
        <f t="shared" si="53"/>
        <v>3</v>
      </c>
      <c r="HA12" s="7"/>
      <c r="HB12" s="7"/>
      <c r="HC12" s="7"/>
      <c r="HD12" s="39">
        <f t="shared" si="54"/>
        <v>0</v>
      </c>
      <c r="HE12" s="7">
        <v>1.0</v>
      </c>
      <c r="HF12" s="7">
        <v>1.0</v>
      </c>
      <c r="HG12" s="7"/>
      <c r="HH12" s="39">
        <f t="shared" ref="HH12:HH41" si="65"> if( HE12=1, if( HF12=1, if( HG12=1, 5, 3), if( HG12=1, 1, -3 ) ), if(HF12=1,if(HG12=1, -1, -2 ), if(HG12=1, 7, 0 ) ) )</f>
        <v>3</v>
      </c>
    </row>
    <row r="13">
      <c r="A13" s="20" t="s">
        <v>49</v>
      </c>
      <c r="B13" s="21" t="s">
        <v>50</v>
      </c>
      <c r="C13" s="1">
        <f t="shared" si="1"/>
        <v>11</v>
      </c>
      <c r="D13" s="15">
        <f>VLOOKUP(A13,TDP!A:C,3,FALSE)</f>
        <v>0.38</v>
      </c>
      <c r="E13" s="37">
        <f t="shared" si="2"/>
        <v>180.78</v>
      </c>
      <c r="F13" s="1">
        <f>VLOOKUP($A13,Valoracion!$A:$J,9,FALSE)</f>
        <v>3</v>
      </c>
      <c r="G13" s="7">
        <v>1.0</v>
      </c>
      <c r="H13" s="39">
        <f t="shared" si="58"/>
        <v>7</v>
      </c>
      <c r="I13" s="7"/>
      <c r="J13" s="7"/>
      <c r="K13" s="7"/>
      <c r="L13" s="39">
        <f t="shared" si="59"/>
        <v>0</v>
      </c>
      <c r="M13" s="7"/>
      <c r="N13" s="7"/>
      <c r="O13" s="7"/>
      <c r="P13" s="39">
        <f t="shared" si="60"/>
        <v>0</v>
      </c>
      <c r="Q13" s="7"/>
      <c r="R13" s="7"/>
      <c r="S13" s="7"/>
      <c r="T13" s="39">
        <f t="shared" si="6"/>
        <v>0</v>
      </c>
      <c r="U13" s="7"/>
      <c r="V13" s="7"/>
      <c r="W13" s="7"/>
      <c r="X13" s="39">
        <f t="shared" si="7"/>
        <v>0</v>
      </c>
      <c r="Y13" s="41"/>
      <c r="Z13" s="41"/>
      <c r="AA13" s="41"/>
      <c r="AB13" s="42">
        <f t="shared" si="8"/>
        <v>0</v>
      </c>
      <c r="AC13" s="7"/>
      <c r="AD13" s="7"/>
      <c r="AE13" s="7"/>
      <c r="AF13" s="39">
        <f t="shared" si="63"/>
        <v>0</v>
      </c>
      <c r="AG13" s="7"/>
      <c r="AH13" s="7"/>
      <c r="AI13" s="7"/>
      <c r="AJ13" s="39">
        <f t="shared" si="10"/>
        <v>0</v>
      </c>
      <c r="AK13" s="7"/>
      <c r="AL13" s="7"/>
      <c r="AM13" s="7"/>
      <c r="AN13" s="39">
        <f t="shared" si="11"/>
        <v>0</v>
      </c>
      <c r="AO13" s="7"/>
      <c r="AP13" s="7"/>
      <c r="AQ13" s="7"/>
      <c r="AR13" s="39">
        <f t="shared" si="12"/>
        <v>0</v>
      </c>
      <c r="AS13" s="7"/>
      <c r="AT13" s="7"/>
      <c r="AU13" s="7"/>
      <c r="AV13" s="39">
        <f t="shared" si="57"/>
        <v>0</v>
      </c>
      <c r="AW13" s="7"/>
      <c r="AX13" s="7"/>
      <c r="AY13" s="7"/>
      <c r="AZ13" s="39">
        <f t="shared" si="61"/>
        <v>0</v>
      </c>
      <c r="BA13" s="7"/>
      <c r="BB13" s="7"/>
      <c r="BC13" s="7"/>
      <c r="BD13" s="39">
        <f t="shared" si="15"/>
        <v>0</v>
      </c>
      <c r="BE13" s="7"/>
      <c r="BF13" s="7"/>
      <c r="BG13" s="7"/>
      <c r="BH13" s="39">
        <f t="shared" si="16"/>
        <v>0</v>
      </c>
      <c r="BI13" s="7"/>
      <c r="BJ13" s="7"/>
      <c r="BK13" s="7"/>
      <c r="BL13" s="39">
        <f t="shared" si="64"/>
        <v>0</v>
      </c>
      <c r="BM13" s="7"/>
      <c r="BN13" s="7"/>
      <c r="BO13" s="7"/>
      <c r="BP13" s="39">
        <f t="shared" si="18"/>
        <v>0</v>
      </c>
      <c r="BQ13" s="7"/>
      <c r="BR13" s="7"/>
      <c r="BS13" s="7"/>
      <c r="BT13" s="39">
        <f t="shared" si="62"/>
        <v>0</v>
      </c>
      <c r="BU13" s="7"/>
      <c r="BV13" s="7"/>
      <c r="BW13" s="7">
        <v>1.0</v>
      </c>
      <c r="BX13" s="39">
        <f t="shared" si="20"/>
        <v>7</v>
      </c>
      <c r="BY13" s="7"/>
      <c r="BZ13" s="7"/>
      <c r="CA13" s="7">
        <v>1.0</v>
      </c>
      <c r="CB13" s="39">
        <f t="shared" si="21"/>
        <v>7</v>
      </c>
      <c r="CC13" s="7"/>
      <c r="CD13" s="7"/>
      <c r="CE13" s="7">
        <v>1.0</v>
      </c>
      <c r="CF13" s="39">
        <f t="shared" si="22"/>
        <v>7</v>
      </c>
      <c r="CG13" s="7"/>
      <c r="CH13" s="7"/>
      <c r="CI13" s="7">
        <v>1.0</v>
      </c>
      <c r="CJ13" s="39">
        <f t="shared" si="23"/>
        <v>7</v>
      </c>
      <c r="CK13" s="7">
        <v>1.0</v>
      </c>
      <c r="CL13" s="7">
        <v>1.0</v>
      </c>
      <c r="CM13" s="7">
        <v>1.0</v>
      </c>
      <c r="CN13" s="39">
        <f t="shared" si="24"/>
        <v>5</v>
      </c>
      <c r="CO13" s="7">
        <v>1.0</v>
      </c>
      <c r="CP13" s="7">
        <v>1.0</v>
      </c>
      <c r="CQ13" s="7">
        <v>1.0</v>
      </c>
      <c r="CR13" s="39">
        <f t="shared" si="25"/>
        <v>5</v>
      </c>
      <c r="CS13" s="7">
        <v>1.0</v>
      </c>
      <c r="CT13" s="7">
        <v>1.0</v>
      </c>
      <c r="CU13" s="7">
        <v>1.0</v>
      </c>
      <c r="CV13" s="39">
        <f t="shared" si="26"/>
        <v>5</v>
      </c>
      <c r="CW13" s="7">
        <v>1.0</v>
      </c>
      <c r="CX13" s="7">
        <v>1.0</v>
      </c>
      <c r="CY13" s="7">
        <v>1.0</v>
      </c>
      <c r="CZ13" s="39">
        <f t="shared" si="27"/>
        <v>5</v>
      </c>
      <c r="DA13" s="7"/>
      <c r="DB13" s="7"/>
      <c r="DC13" s="7">
        <v>1.0</v>
      </c>
      <c r="DD13" s="39">
        <f t="shared" si="28"/>
        <v>7</v>
      </c>
      <c r="DE13" s="7"/>
      <c r="DF13" s="7"/>
      <c r="DG13" s="7">
        <v>1.0</v>
      </c>
      <c r="DH13" s="39">
        <f t="shared" si="29"/>
        <v>7</v>
      </c>
      <c r="DI13" s="7">
        <v>1.0</v>
      </c>
      <c r="DJ13" s="7">
        <v>1.0</v>
      </c>
      <c r="DK13" s="7"/>
      <c r="DL13" s="39">
        <f t="shared" si="30"/>
        <v>3</v>
      </c>
      <c r="DM13" s="7"/>
      <c r="DN13" s="7"/>
      <c r="DO13" s="7"/>
      <c r="DP13" s="39">
        <f t="shared" si="31"/>
        <v>0</v>
      </c>
      <c r="DQ13" s="7"/>
      <c r="DR13" s="7"/>
      <c r="DS13" s="7"/>
      <c r="DT13" s="39">
        <f t="shared" si="32"/>
        <v>0</v>
      </c>
      <c r="DU13" s="7"/>
      <c r="DV13" s="7"/>
      <c r="DW13" s="7"/>
      <c r="DX13" s="39">
        <f t="shared" si="33"/>
        <v>0</v>
      </c>
      <c r="DY13" s="7"/>
      <c r="DZ13" s="7"/>
      <c r="EA13" s="7"/>
      <c r="EB13" s="39">
        <f t="shared" si="34"/>
        <v>0</v>
      </c>
      <c r="EC13" s="7"/>
      <c r="ED13" s="7"/>
      <c r="EE13" s="7"/>
      <c r="EF13" s="39">
        <f t="shared" si="35"/>
        <v>0</v>
      </c>
      <c r="EG13" s="7"/>
      <c r="EH13" s="7"/>
      <c r="EI13" s="7"/>
      <c r="EJ13" s="39">
        <f t="shared" si="36"/>
        <v>0</v>
      </c>
      <c r="EK13" s="7">
        <v>1.0</v>
      </c>
      <c r="EL13" s="7">
        <v>1.0</v>
      </c>
      <c r="EM13" s="7">
        <v>1.0</v>
      </c>
      <c r="EN13" s="39">
        <f t="shared" si="37"/>
        <v>5</v>
      </c>
      <c r="EO13" s="7">
        <v>1.0</v>
      </c>
      <c r="EP13" s="7">
        <v>1.0</v>
      </c>
      <c r="EQ13" s="7">
        <v>1.0</v>
      </c>
      <c r="ER13" s="39">
        <f t="shared" si="38"/>
        <v>5</v>
      </c>
      <c r="ES13" s="7"/>
      <c r="ET13" s="7"/>
      <c r="EU13" s="7"/>
      <c r="EV13" s="39">
        <f t="shared" si="39"/>
        <v>0</v>
      </c>
      <c r="EW13" s="7"/>
      <c r="EX13" s="7"/>
      <c r="EY13" s="7"/>
      <c r="EZ13" s="39">
        <f t="shared" si="40"/>
        <v>0</v>
      </c>
      <c r="FA13" s="7"/>
      <c r="FB13" s="7"/>
      <c r="FC13" s="7"/>
      <c r="FD13" s="39">
        <f t="shared" si="41"/>
        <v>0</v>
      </c>
      <c r="FE13" s="7"/>
      <c r="FF13" s="7"/>
      <c r="FG13" s="7"/>
      <c r="FH13" s="39">
        <f t="shared" si="42"/>
        <v>0</v>
      </c>
      <c r="FI13" s="7"/>
      <c r="FJ13" s="7"/>
      <c r="FK13" s="7"/>
      <c r="FL13" s="39">
        <f t="shared" si="43"/>
        <v>0</v>
      </c>
      <c r="FM13" s="7">
        <v>1.0</v>
      </c>
      <c r="FN13" s="7">
        <v>1.0</v>
      </c>
      <c r="FO13" s="7">
        <v>1.0</v>
      </c>
      <c r="FP13" s="39">
        <f t="shared" si="44"/>
        <v>5</v>
      </c>
      <c r="FQ13" s="7">
        <v>1.0</v>
      </c>
      <c r="FR13" s="7">
        <v>1.0</v>
      </c>
      <c r="FS13" s="7">
        <v>1.0</v>
      </c>
      <c r="FT13" s="39">
        <f t="shared" si="45"/>
        <v>5</v>
      </c>
      <c r="FU13" s="7">
        <v>1.0</v>
      </c>
      <c r="FV13" s="7">
        <v>1.0</v>
      </c>
      <c r="FW13" s="7">
        <v>1.0</v>
      </c>
      <c r="FX13" s="39">
        <f t="shared" si="46"/>
        <v>5</v>
      </c>
      <c r="FY13" s="7">
        <v>1.0</v>
      </c>
      <c r="FZ13" s="7">
        <v>1.0</v>
      </c>
      <c r="GA13" s="7">
        <v>1.0</v>
      </c>
      <c r="GB13" s="39">
        <f t="shared" si="47"/>
        <v>5</v>
      </c>
      <c r="GC13" s="7">
        <v>1.0</v>
      </c>
      <c r="GD13" s="7">
        <v>1.0</v>
      </c>
      <c r="GE13" s="7">
        <v>1.0</v>
      </c>
      <c r="GF13" s="39">
        <f t="shared" si="48"/>
        <v>5</v>
      </c>
      <c r="GG13" s="7"/>
      <c r="GH13" s="7"/>
      <c r="GI13" s="7"/>
      <c r="GJ13" s="39">
        <f t="shared" si="49"/>
        <v>0</v>
      </c>
      <c r="GK13" s="7"/>
      <c r="GL13" s="7"/>
      <c r="GM13" s="7"/>
      <c r="GN13" s="39">
        <f t="shared" si="50"/>
        <v>0</v>
      </c>
      <c r="GO13" s="7">
        <v>1.0</v>
      </c>
      <c r="GP13" s="7">
        <v>1.0</v>
      </c>
      <c r="GQ13" s="7">
        <v>1.0</v>
      </c>
      <c r="GR13" s="39">
        <f t="shared" si="51"/>
        <v>5</v>
      </c>
      <c r="GS13" s="7"/>
      <c r="GT13" s="7"/>
      <c r="GU13" s="7">
        <v>1.0</v>
      </c>
      <c r="GV13" s="39">
        <f t="shared" si="52"/>
        <v>7</v>
      </c>
      <c r="GW13" s="7">
        <v>1.0</v>
      </c>
      <c r="GX13" s="7">
        <v>1.0</v>
      </c>
      <c r="GY13" s="7">
        <v>1.0</v>
      </c>
      <c r="GZ13" s="39">
        <f t="shared" si="53"/>
        <v>5</v>
      </c>
      <c r="HA13" s="7"/>
      <c r="HB13" s="7"/>
      <c r="HC13" s="7"/>
      <c r="HD13" s="39">
        <f t="shared" si="54"/>
        <v>0</v>
      </c>
      <c r="HE13" s="7"/>
      <c r="HF13" s="7"/>
      <c r="HG13" s="7">
        <v>1.0</v>
      </c>
      <c r="HH13" s="39">
        <f t="shared" si="65"/>
        <v>7</v>
      </c>
    </row>
    <row r="14">
      <c r="A14" s="20" t="s">
        <v>42</v>
      </c>
      <c r="B14" s="21" t="s">
        <v>124</v>
      </c>
      <c r="C14" s="1">
        <f t="shared" si="1"/>
        <v>12</v>
      </c>
      <c r="D14" s="15">
        <f>VLOOKUP(A14,TDP!A:C,3,FALSE)</f>
        <v>0.17</v>
      </c>
      <c r="E14" s="37">
        <f t="shared" si="2"/>
        <v>177.84</v>
      </c>
      <c r="F14" s="1">
        <f>VLOOKUP($A14,Valoracion!$A:$J,9,FALSE)</f>
        <v>2</v>
      </c>
      <c r="G14" s="7">
        <v>1.0</v>
      </c>
      <c r="H14" s="39">
        <f t="shared" si="58"/>
        <v>7</v>
      </c>
      <c r="I14" s="7">
        <v>1.0</v>
      </c>
      <c r="J14" s="7">
        <v>1.0</v>
      </c>
      <c r="K14" s="7">
        <v>1.0</v>
      </c>
      <c r="L14" s="39">
        <f t="shared" si="59"/>
        <v>5</v>
      </c>
      <c r="M14" s="7">
        <v>1.0</v>
      </c>
      <c r="N14" s="7">
        <v>1.0</v>
      </c>
      <c r="O14" s="7">
        <v>1.0</v>
      </c>
      <c r="P14" s="39">
        <f t="shared" si="60"/>
        <v>5</v>
      </c>
      <c r="Q14" s="7">
        <v>1.0</v>
      </c>
      <c r="R14" s="7">
        <v>1.0</v>
      </c>
      <c r="S14" s="7">
        <v>1.0</v>
      </c>
      <c r="T14" s="39">
        <f t="shared" si="6"/>
        <v>5</v>
      </c>
      <c r="U14" s="7">
        <v>1.0</v>
      </c>
      <c r="V14" s="7">
        <v>1.0</v>
      </c>
      <c r="W14" s="7">
        <v>1.0</v>
      </c>
      <c r="X14" s="39">
        <f t="shared" si="7"/>
        <v>5</v>
      </c>
      <c r="Y14" s="41"/>
      <c r="Z14" s="41"/>
      <c r="AA14" s="41"/>
      <c r="AB14" s="42">
        <f t="shared" si="8"/>
        <v>0</v>
      </c>
      <c r="AC14" s="7"/>
      <c r="AD14" s="7"/>
      <c r="AE14" s="7"/>
      <c r="AF14" s="39">
        <f t="shared" si="63"/>
        <v>0</v>
      </c>
      <c r="AG14" s="7">
        <v>1.0</v>
      </c>
      <c r="AH14" s="7">
        <v>1.0</v>
      </c>
      <c r="AI14" s="7">
        <v>1.0</v>
      </c>
      <c r="AJ14" s="39">
        <f t="shared" si="10"/>
        <v>5</v>
      </c>
      <c r="AK14" s="7">
        <v>1.0</v>
      </c>
      <c r="AL14" s="7">
        <v>1.0</v>
      </c>
      <c r="AM14" s="7">
        <v>1.0</v>
      </c>
      <c r="AN14" s="39">
        <f t="shared" si="11"/>
        <v>5</v>
      </c>
      <c r="AO14" s="7">
        <v>1.0</v>
      </c>
      <c r="AP14" s="7">
        <v>1.0</v>
      </c>
      <c r="AQ14" s="7">
        <v>1.0</v>
      </c>
      <c r="AR14" s="39">
        <f t="shared" si="12"/>
        <v>5</v>
      </c>
      <c r="AS14" s="7">
        <v>1.0</v>
      </c>
      <c r="AT14" s="7">
        <v>1.0</v>
      </c>
      <c r="AU14" s="7"/>
      <c r="AV14" s="39">
        <f t="shared" si="57"/>
        <v>3</v>
      </c>
      <c r="AW14" s="7"/>
      <c r="AX14" s="7"/>
      <c r="AY14" s="7"/>
      <c r="AZ14" s="39">
        <f t="shared" si="61"/>
        <v>0</v>
      </c>
      <c r="BA14" s="7"/>
      <c r="BB14" s="7"/>
      <c r="BC14" s="7"/>
      <c r="BD14" s="39">
        <f t="shared" si="15"/>
        <v>0</v>
      </c>
      <c r="BE14" s="7"/>
      <c r="BF14" s="7"/>
      <c r="BG14" s="7"/>
      <c r="BH14" s="39">
        <f t="shared" si="16"/>
        <v>0</v>
      </c>
      <c r="BI14" s="7"/>
      <c r="BJ14" s="7"/>
      <c r="BK14" s="7"/>
      <c r="BL14" s="39">
        <f t="shared" si="64"/>
        <v>0</v>
      </c>
      <c r="BM14" s="7"/>
      <c r="BN14" s="7"/>
      <c r="BO14" s="7"/>
      <c r="BP14" s="39">
        <f t="shared" si="18"/>
        <v>0</v>
      </c>
      <c r="BQ14" s="7"/>
      <c r="BR14" s="7"/>
      <c r="BS14" s="7"/>
      <c r="BT14" s="39">
        <f t="shared" si="62"/>
        <v>0</v>
      </c>
      <c r="BU14" s="7"/>
      <c r="BV14" s="7"/>
      <c r="BW14" s="7"/>
      <c r="BX14" s="39">
        <f t="shared" si="20"/>
        <v>0</v>
      </c>
      <c r="BY14" s="7"/>
      <c r="BZ14" s="7"/>
      <c r="CA14" s="7"/>
      <c r="CB14" s="39">
        <f t="shared" si="21"/>
        <v>0</v>
      </c>
      <c r="CC14" s="7"/>
      <c r="CD14" s="7"/>
      <c r="CE14" s="7"/>
      <c r="CF14" s="39">
        <f t="shared" si="22"/>
        <v>0</v>
      </c>
      <c r="CG14" s="7"/>
      <c r="CH14" s="7"/>
      <c r="CI14" s="7"/>
      <c r="CJ14" s="39">
        <f t="shared" si="23"/>
        <v>0</v>
      </c>
      <c r="CK14" s="7">
        <v>1.0</v>
      </c>
      <c r="CL14" s="7">
        <v>1.0</v>
      </c>
      <c r="CM14" s="7">
        <v>1.0</v>
      </c>
      <c r="CN14" s="39">
        <f t="shared" si="24"/>
        <v>5</v>
      </c>
      <c r="CO14" s="7">
        <v>1.0</v>
      </c>
      <c r="CP14" s="7">
        <v>1.0</v>
      </c>
      <c r="CQ14" s="7"/>
      <c r="CR14" s="39">
        <f t="shared" si="25"/>
        <v>3</v>
      </c>
      <c r="CS14" s="7">
        <v>1.0</v>
      </c>
      <c r="CT14" s="7">
        <v>1.0</v>
      </c>
      <c r="CU14" s="7">
        <v>1.0</v>
      </c>
      <c r="CV14" s="39">
        <f t="shared" si="26"/>
        <v>5</v>
      </c>
      <c r="CW14" s="7">
        <v>1.0</v>
      </c>
      <c r="CX14" s="7">
        <v>1.0</v>
      </c>
      <c r="CY14" s="7">
        <v>1.0</v>
      </c>
      <c r="CZ14" s="39">
        <f t="shared" si="27"/>
        <v>5</v>
      </c>
      <c r="DA14" s="7">
        <v>1.0</v>
      </c>
      <c r="DB14" s="7">
        <v>1.0</v>
      </c>
      <c r="DC14" s="7">
        <v>1.0</v>
      </c>
      <c r="DD14" s="39">
        <f t="shared" si="28"/>
        <v>5</v>
      </c>
      <c r="DE14" s="7">
        <v>1.0</v>
      </c>
      <c r="DF14" s="7">
        <v>1.0</v>
      </c>
      <c r="DG14" s="7"/>
      <c r="DH14" s="39">
        <f t="shared" si="29"/>
        <v>3</v>
      </c>
      <c r="DI14" s="7"/>
      <c r="DJ14" s="7"/>
      <c r="DK14" s="7"/>
      <c r="DL14" s="39">
        <f t="shared" si="30"/>
        <v>0</v>
      </c>
      <c r="DM14" s="7">
        <v>1.0</v>
      </c>
      <c r="DN14" s="7">
        <v>1.0</v>
      </c>
      <c r="DO14" s="7">
        <v>1.0</v>
      </c>
      <c r="DP14" s="39">
        <f t="shared" si="31"/>
        <v>5</v>
      </c>
      <c r="DQ14" s="7"/>
      <c r="DR14" s="7"/>
      <c r="DS14" s="7"/>
      <c r="DT14" s="39">
        <f t="shared" si="32"/>
        <v>0</v>
      </c>
      <c r="DU14" s="7"/>
      <c r="DV14" s="7"/>
      <c r="DW14" s="7"/>
      <c r="DX14" s="39">
        <f t="shared" si="33"/>
        <v>0</v>
      </c>
      <c r="DY14" s="7"/>
      <c r="DZ14" s="7"/>
      <c r="EA14" s="7"/>
      <c r="EB14" s="39">
        <f t="shared" si="34"/>
        <v>0</v>
      </c>
      <c r="EC14" s="7">
        <v>1.0</v>
      </c>
      <c r="ED14" s="7">
        <v>1.0</v>
      </c>
      <c r="EE14" s="7">
        <v>1.0</v>
      </c>
      <c r="EF14" s="39">
        <f t="shared" si="35"/>
        <v>5</v>
      </c>
      <c r="EG14" s="7"/>
      <c r="EH14" s="7"/>
      <c r="EI14" s="7"/>
      <c r="EJ14" s="39">
        <f t="shared" si="36"/>
        <v>0</v>
      </c>
      <c r="EK14" s="7">
        <v>1.0</v>
      </c>
      <c r="EL14" s="7">
        <v>1.0</v>
      </c>
      <c r="EM14" s="7"/>
      <c r="EN14" s="39">
        <f t="shared" si="37"/>
        <v>3</v>
      </c>
      <c r="EO14" s="7"/>
      <c r="EP14" s="7"/>
      <c r="EQ14" s="7"/>
      <c r="ER14" s="39">
        <f t="shared" si="38"/>
        <v>0</v>
      </c>
      <c r="ES14" s="7"/>
      <c r="ET14" s="7"/>
      <c r="EU14" s="7"/>
      <c r="EV14" s="39">
        <f t="shared" si="39"/>
        <v>0</v>
      </c>
      <c r="EW14" s="7">
        <v>1.0</v>
      </c>
      <c r="EX14" s="7">
        <v>1.0</v>
      </c>
      <c r="EY14" s="7">
        <v>1.0</v>
      </c>
      <c r="EZ14" s="39">
        <f t="shared" si="40"/>
        <v>5</v>
      </c>
      <c r="FA14" s="7">
        <v>1.0</v>
      </c>
      <c r="FB14" s="7">
        <v>1.0</v>
      </c>
      <c r="FC14" s="7">
        <v>1.0</v>
      </c>
      <c r="FD14" s="39">
        <f t="shared" si="41"/>
        <v>5</v>
      </c>
      <c r="FE14" s="7">
        <v>1.0</v>
      </c>
      <c r="FF14" s="7">
        <v>1.0</v>
      </c>
      <c r="FG14" s="7">
        <v>1.0</v>
      </c>
      <c r="FH14" s="39">
        <f t="shared" si="42"/>
        <v>5</v>
      </c>
      <c r="FI14" s="7">
        <v>1.0</v>
      </c>
      <c r="FJ14" s="7">
        <v>1.0</v>
      </c>
      <c r="FK14" s="7">
        <v>1.0</v>
      </c>
      <c r="FL14" s="39">
        <f t="shared" si="43"/>
        <v>5</v>
      </c>
      <c r="FM14" s="7">
        <v>1.0</v>
      </c>
      <c r="FN14" s="7">
        <v>1.0</v>
      </c>
      <c r="FO14" s="7">
        <v>1.0</v>
      </c>
      <c r="FP14" s="39">
        <f t="shared" si="44"/>
        <v>5</v>
      </c>
      <c r="FQ14" s="7"/>
      <c r="FR14" s="7"/>
      <c r="FS14" s="7"/>
      <c r="FT14" s="39">
        <f t="shared" si="45"/>
        <v>0</v>
      </c>
      <c r="FU14" s="7"/>
      <c r="FV14" s="7"/>
      <c r="FW14" s="7"/>
      <c r="FX14" s="39">
        <f t="shared" si="46"/>
        <v>0</v>
      </c>
      <c r="FY14" s="7">
        <v>1.0</v>
      </c>
      <c r="FZ14" s="7">
        <v>1.0</v>
      </c>
      <c r="GA14" s="7">
        <v>1.0</v>
      </c>
      <c r="GB14" s="39">
        <f t="shared" si="47"/>
        <v>5</v>
      </c>
      <c r="GC14" s="7">
        <v>1.0</v>
      </c>
      <c r="GD14" s="7">
        <v>1.0</v>
      </c>
      <c r="GE14" s="7">
        <v>1.0</v>
      </c>
      <c r="GF14" s="39">
        <f t="shared" si="48"/>
        <v>5</v>
      </c>
      <c r="GG14" s="7">
        <v>1.0</v>
      </c>
      <c r="GH14" s="7">
        <v>1.0</v>
      </c>
      <c r="GI14" s="7">
        <v>1.0</v>
      </c>
      <c r="GJ14" s="39">
        <f t="shared" si="49"/>
        <v>5</v>
      </c>
      <c r="GK14" s="7">
        <v>1.0</v>
      </c>
      <c r="GL14" s="7">
        <v>1.0</v>
      </c>
      <c r="GM14" s="7"/>
      <c r="GN14" s="39">
        <f t="shared" si="50"/>
        <v>3</v>
      </c>
      <c r="GO14" s="7">
        <v>1.0</v>
      </c>
      <c r="GP14" s="7">
        <v>1.0</v>
      </c>
      <c r="GQ14" s="7">
        <v>1.0</v>
      </c>
      <c r="GR14" s="39">
        <f t="shared" si="51"/>
        <v>5</v>
      </c>
      <c r="GS14" s="7">
        <v>1.0</v>
      </c>
      <c r="GT14" s="7">
        <v>1.0</v>
      </c>
      <c r="GU14" s="7">
        <v>1.0</v>
      </c>
      <c r="GV14" s="39">
        <f t="shared" si="52"/>
        <v>5</v>
      </c>
      <c r="GW14" s="7"/>
      <c r="GX14" s="7"/>
      <c r="GY14" s="7">
        <v>1.0</v>
      </c>
      <c r="GZ14" s="39">
        <f t="shared" si="53"/>
        <v>7</v>
      </c>
      <c r="HA14" s="7">
        <v>1.0</v>
      </c>
      <c r="HB14" s="7">
        <v>1.0</v>
      </c>
      <c r="HC14" s="7"/>
      <c r="HD14" s="39">
        <f t="shared" si="54"/>
        <v>3</v>
      </c>
      <c r="HE14" s="7">
        <v>1.0</v>
      </c>
      <c r="HF14" s="7">
        <v>1.0</v>
      </c>
      <c r="HG14" s="7">
        <v>1.0</v>
      </c>
      <c r="HH14" s="39">
        <f t="shared" si="65"/>
        <v>5</v>
      </c>
    </row>
    <row r="15">
      <c r="A15" s="20" t="s">
        <v>27</v>
      </c>
      <c r="B15" s="21" t="s">
        <v>28</v>
      </c>
      <c r="C15" s="1">
        <f t="shared" si="1"/>
        <v>13</v>
      </c>
      <c r="D15" s="15">
        <f>VLOOKUP(A15,TDP!A:C,3,FALSE)</f>
        <v>0.46</v>
      </c>
      <c r="E15" s="37">
        <f t="shared" si="2"/>
        <v>167.9</v>
      </c>
      <c r="F15" s="1">
        <f>VLOOKUP($A15,Valoracion!$A:$J,9,FALSE)</f>
        <v>2</v>
      </c>
      <c r="G15" s="7">
        <v>1.0</v>
      </c>
      <c r="H15" s="39">
        <f t="shared" si="58"/>
        <v>7</v>
      </c>
      <c r="I15" s="7"/>
      <c r="J15" s="7"/>
      <c r="K15" s="7">
        <v>1.0</v>
      </c>
      <c r="L15" s="39">
        <f t="shared" si="59"/>
        <v>7</v>
      </c>
      <c r="M15" s="7"/>
      <c r="N15" s="7"/>
      <c r="O15" s="7">
        <v>1.0</v>
      </c>
      <c r="P15" s="39">
        <f t="shared" si="60"/>
        <v>7</v>
      </c>
      <c r="Q15" s="7"/>
      <c r="R15" s="7"/>
      <c r="S15" s="7"/>
      <c r="T15" s="39">
        <f t="shared" si="6"/>
        <v>0</v>
      </c>
      <c r="U15" s="7"/>
      <c r="V15" s="7"/>
      <c r="W15" s="7">
        <v>1.0</v>
      </c>
      <c r="X15" s="39">
        <f t="shared" si="7"/>
        <v>7</v>
      </c>
      <c r="Y15" s="41"/>
      <c r="Z15" s="41"/>
      <c r="AA15" s="41"/>
      <c r="AB15" s="42">
        <f t="shared" si="8"/>
        <v>0</v>
      </c>
      <c r="AC15" s="7"/>
      <c r="AD15" s="7"/>
      <c r="AE15" s="7"/>
      <c r="AF15" s="39">
        <f t="shared" si="63"/>
        <v>0</v>
      </c>
      <c r="AG15" s="7">
        <v>1.0</v>
      </c>
      <c r="AH15" s="7">
        <v>1.0</v>
      </c>
      <c r="AI15" s="7">
        <v>1.0</v>
      </c>
      <c r="AJ15" s="39">
        <f t="shared" si="10"/>
        <v>5</v>
      </c>
      <c r="AK15" s="7"/>
      <c r="AL15" s="7"/>
      <c r="AM15" s="7"/>
      <c r="AN15" s="39">
        <f t="shared" si="11"/>
        <v>0</v>
      </c>
      <c r="AO15" s="7"/>
      <c r="AP15" s="7"/>
      <c r="AQ15" s="7"/>
      <c r="AR15" s="39">
        <f t="shared" si="12"/>
        <v>0</v>
      </c>
      <c r="AS15" s="7">
        <v>1.0</v>
      </c>
      <c r="AT15" s="7">
        <v>1.0</v>
      </c>
      <c r="AU15" s="7">
        <v>1.0</v>
      </c>
      <c r="AV15" s="39">
        <f t="shared" si="57"/>
        <v>5</v>
      </c>
      <c r="AW15" s="7">
        <v>1.0</v>
      </c>
      <c r="AX15" s="7">
        <v>1.0</v>
      </c>
      <c r="AY15" s="7"/>
      <c r="AZ15" s="145">
        <v>0.0</v>
      </c>
      <c r="BA15" s="7"/>
      <c r="BB15" s="7"/>
      <c r="BC15" s="7">
        <v>1.0</v>
      </c>
      <c r="BD15" s="39">
        <f t="shared" si="15"/>
        <v>7</v>
      </c>
      <c r="BE15" s="7"/>
      <c r="BF15" s="7"/>
      <c r="BG15" s="7"/>
      <c r="BH15" s="39">
        <f t="shared" si="16"/>
        <v>0</v>
      </c>
      <c r="BI15" s="7">
        <v>1.0</v>
      </c>
      <c r="BJ15" s="7">
        <v>1.0</v>
      </c>
      <c r="BK15" s="7">
        <v>1.0</v>
      </c>
      <c r="BL15" s="39">
        <f t="shared" si="64"/>
        <v>5</v>
      </c>
      <c r="BM15" s="7">
        <v>1.0</v>
      </c>
      <c r="BN15" s="7">
        <v>1.0</v>
      </c>
      <c r="BO15" s="7">
        <v>1.0</v>
      </c>
      <c r="BP15" s="39">
        <f t="shared" si="18"/>
        <v>5</v>
      </c>
      <c r="BQ15" s="7">
        <v>1.0</v>
      </c>
      <c r="BR15" s="7">
        <v>1.0</v>
      </c>
      <c r="BS15" s="7">
        <v>1.0</v>
      </c>
      <c r="BT15" s="39">
        <f t="shared" si="62"/>
        <v>5</v>
      </c>
      <c r="BU15" s="7"/>
      <c r="BV15" s="7"/>
      <c r="BW15" s="7">
        <v>1.0</v>
      </c>
      <c r="BX15" s="39">
        <f t="shared" si="20"/>
        <v>7</v>
      </c>
      <c r="BY15" s="7">
        <v>1.0</v>
      </c>
      <c r="BZ15" s="7">
        <v>1.0</v>
      </c>
      <c r="CA15" s="7">
        <v>1.0</v>
      </c>
      <c r="CB15" s="145">
        <v>0.0</v>
      </c>
      <c r="CC15" s="7"/>
      <c r="CD15" s="7"/>
      <c r="CE15" s="7"/>
      <c r="CF15" s="39">
        <f t="shared" si="22"/>
        <v>0</v>
      </c>
      <c r="CG15" s="7">
        <v>1.0</v>
      </c>
      <c r="CH15" s="7">
        <v>1.0</v>
      </c>
      <c r="CI15" s="7">
        <v>1.0</v>
      </c>
      <c r="CJ15" s="39">
        <f t="shared" si="23"/>
        <v>5</v>
      </c>
      <c r="CK15" s="7"/>
      <c r="CL15" s="7"/>
      <c r="CM15" s="7"/>
      <c r="CN15" s="39">
        <f t="shared" si="24"/>
        <v>0</v>
      </c>
      <c r="CO15" s="7"/>
      <c r="CP15" s="7"/>
      <c r="CQ15" s="7"/>
      <c r="CR15" s="39">
        <f t="shared" si="25"/>
        <v>0</v>
      </c>
      <c r="CS15" s="7"/>
      <c r="CT15" s="7"/>
      <c r="CU15" s="7"/>
      <c r="CV15" s="39">
        <f t="shared" si="26"/>
        <v>0</v>
      </c>
      <c r="CW15" s="7"/>
      <c r="CX15" s="7"/>
      <c r="CY15" s="7"/>
      <c r="CZ15" s="39">
        <f t="shared" si="27"/>
        <v>0</v>
      </c>
      <c r="DA15" s="7"/>
      <c r="DB15" s="7"/>
      <c r="DC15" s="7"/>
      <c r="DD15" s="39">
        <f t="shared" si="28"/>
        <v>0</v>
      </c>
      <c r="DE15" s="7"/>
      <c r="DF15" s="7"/>
      <c r="DG15" s="7"/>
      <c r="DH15" s="39">
        <f t="shared" si="29"/>
        <v>0</v>
      </c>
      <c r="DI15" s="7">
        <v>1.0</v>
      </c>
      <c r="DJ15" s="7">
        <v>1.0</v>
      </c>
      <c r="DK15" s="7">
        <v>1.0</v>
      </c>
      <c r="DL15" s="39">
        <f t="shared" si="30"/>
        <v>5</v>
      </c>
      <c r="DM15" s="7"/>
      <c r="DN15" s="7"/>
      <c r="DO15" s="7"/>
      <c r="DP15" s="39">
        <f t="shared" si="31"/>
        <v>0</v>
      </c>
      <c r="DQ15" s="7"/>
      <c r="DR15" s="7"/>
      <c r="DS15" s="7"/>
      <c r="DT15" s="39">
        <f t="shared" si="32"/>
        <v>0</v>
      </c>
      <c r="DU15" s="7"/>
      <c r="DV15" s="7"/>
      <c r="DW15" s="7"/>
      <c r="DX15" s="39">
        <f t="shared" si="33"/>
        <v>0</v>
      </c>
      <c r="DY15" s="7"/>
      <c r="DZ15" s="7"/>
      <c r="EA15" s="7"/>
      <c r="EB15" s="39">
        <f t="shared" si="34"/>
        <v>0</v>
      </c>
      <c r="EC15" s="7"/>
      <c r="ED15" s="7"/>
      <c r="EE15" s="7"/>
      <c r="EF15" s="39">
        <f t="shared" si="35"/>
        <v>0</v>
      </c>
      <c r="EG15" s="7"/>
      <c r="EH15" s="7"/>
      <c r="EI15" s="7"/>
      <c r="EJ15" s="39">
        <f t="shared" si="36"/>
        <v>0</v>
      </c>
      <c r="EK15" s="7"/>
      <c r="EL15" s="7"/>
      <c r="EM15" s="7"/>
      <c r="EN15" s="39">
        <f t="shared" si="37"/>
        <v>0</v>
      </c>
      <c r="EO15" s="7"/>
      <c r="EP15" s="7"/>
      <c r="EQ15" s="7"/>
      <c r="ER15" s="39">
        <f t="shared" si="38"/>
        <v>0</v>
      </c>
      <c r="ES15" s="7"/>
      <c r="ET15" s="7"/>
      <c r="EU15" s="7"/>
      <c r="EV15" s="39">
        <f t="shared" si="39"/>
        <v>0</v>
      </c>
      <c r="EW15" s="7"/>
      <c r="EX15" s="7"/>
      <c r="EY15" s="7"/>
      <c r="EZ15" s="39">
        <f t="shared" si="40"/>
        <v>0</v>
      </c>
      <c r="FA15" s="7">
        <v>1.0</v>
      </c>
      <c r="FB15" s="7">
        <v>1.0</v>
      </c>
      <c r="FC15" s="7">
        <v>1.0</v>
      </c>
      <c r="FD15" s="39">
        <f t="shared" si="41"/>
        <v>5</v>
      </c>
      <c r="FE15" s="7"/>
      <c r="FF15" s="7"/>
      <c r="FG15" s="7"/>
      <c r="FH15" s="39">
        <f t="shared" si="42"/>
        <v>0</v>
      </c>
      <c r="FI15" s="7"/>
      <c r="FJ15" s="7"/>
      <c r="FK15" s="7"/>
      <c r="FL15" s="39">
        <f t="shared" si="43"/>
        <v>0</v>
      </c>
      <c r="FM15" s="7"/>
      <c r="FN15" s="7"/>
      <c r="FO15" s="7"/>
      <c r="FP15" s="39">
        <f t="shared" si="44"/>
        <v>0</v>
      </c>
      <c r="FQ15" s="7"/>
      <c r="FR15" s="7"/>
      <c r="FS15" s="7"/>
      <c r="FT15" s="39">
        <f t="shared" si="45"/>
        <v>0</v>
      </c>
      <c r="FU15" s="7">
        <v>1.0</v>
      </c>
      <c r="FV15" s="7">
        <v>1.0</v>
      </c>
      <c r="FW15" s="7"/>
      <c r="FX15" s="39">
        <f t="shared" si="46"/>
        <v>3</v>
      </c>
      <c r="FY15" s="7">
        <v>1.0</v>
      </c>
      <c r="FZ15" s="7">
        <v>1.0</v>
      </c>
      <c r="GA15" s="7">
        <v>1.0</v>
      </c>
      <c r="GB15" s="39">
        <f t="shared" si="47"/>
        <v>5</v>
      </c>
      <c r="GC15" s="7">
        <v>1.0</v>
      </c>
      <c r="GD15" s="7">
        <v>1.0</v>
      </c>
      <c r="GE15" s="7">
        <v>1.0</v>
      </c>
      <c r="GF15" s="39">
        <f t="shared" si="48"/>
        <v>5</v>
      </c>
      <c r="GG15" s="7"/>
      <c r="GH15" s="7"/>
      <c r="GI15" s="7"/>
      <c r="GJ15" s="39">
        <f t="shared" si="49"/>
        <v>0</v>
      </c>
      <c r="GK15" s="7">
        <v>1.0</v>
      </c>
      <c r="GL15" s="7">
        <v>1.0</v>
      </c>
      <c r="GM15" s="7">
        <v>1.0</v>
      </c>
      <c r="GN15" s="39">
        <f t="shared" si="50"/>
        <v>5</v>
      </c>
      <c r="GO15" s="7">
        <v>1.0</v>
      </c>
      <c r="GP15" s="7">
        <v>1.0</v>
      </c>
      <c r="GQ15" s="7">
        <v>1.0</v>
      </c>
      <c r="GR15" s="39">
        <f t="shared" si="51"/>
        <v>5</v>
      </c>
      <c r="GS15" s="7">
        <v>1.0</v>
      </c>
      <c r="GT15" s="7">
        <v>1.0</v>
      </c>
      <c r="GU15" s="7">
        <v>1.0</v>
      </c>
      <c r="GV15" s="39">
        <f t="shared" si="52"/>
        <v>5</v>
      </c>
      <c r="GW15" s="7">
        <v>1.0</v>
      </c>
      <c r="GX15" s="7">
        <v>1.0</v>
      </c>
      <c r="GY15" s="7">
        <v>1.0</v>
      </c>
      <c r="GZ15" s="39">
        <f t="shared" si="53"/>
        <v>5</v>
      </c>
      <c r="HA15" s="7"/>
      <c r="HB15" s="7"/>
      <c r="HC15" s="7"/>
      <c r="HD15" s="39">
        <f t="shared" si="54"/>
        <v>0</v>
      </c>
      <c r="HE15" s="7"/>
      <c r="HF15" s="7"/>
      <c r="HG15" s="7"/>
      <c r="HH15" s="39">
        <f t="shared" si="65"/>
        <v>0</v>
      </c>
    </row>
    <row r="16">
      <c r="A16" s="20" t="s">
        <v>32</v>
      </c>
      <c r="B16" s="21" t="s">
        <v>33</v>
      </c>
      <c r="C16" s="1">
        <f t="shared" si="1"/>
        <v>14</v>
      </c>
      <c r="D16" s="15">
        <f>VLOOKUP(A16,TDP!A:C,3,FALSE)</f>
        <v>0.39</v>
      </c>
      <c r="E16" s="37">
        <f t="shared" si="2"/>
        <v>144.56</v>
      </c>
      <c r="F16" s="1">
        <f>VLOOKUP($A16,Valoracion!$A:$J,9,FALSE)</f>
        <v>1</v>
      </c>
      <c r="G16" s="7">
        <v>1.0</v>
      </c>
      <c r="H16" s="39">
        <f t="shared" si="58"/>
        <v>7</v>
      </c>
      <c r="I16" s="7"/>
      <c r="J16" s="7"/>
      <c r="K16" s="7"/>
      <c r="L16" s="39">
        <f t="shared" si="59"/>
        <v>0</v>
      </c>
      <c r="M16" s="7">
        <v>1.0</v>
      </c>
      <c r="N16" s="7">
        <v>1.0</v>
      </c>
      <c r="O16" s="7"/>
      <c r="P16" s="39">
        <f t="shared" si="60"/>
        <v>3</v>
      </c>
      <c r="Q16" s="7">
        <v>1.0</v>
      </c>
      <c r="R16" s="7">
        <v>1.0</v>
      </c>
      <c r="S16" s="7"/>
      <c r="T16" s="39">
        <f t="shared" si="6"/>
        <v>3</v>
      </c>
      <c r="U16" s="7">
        <v>1.0</v>
      </c>
      <c r="V16" s="7">
        <v>1.0</v>
      </c>
      <c r="W16" s="7">
        <v>1.0</v>
      </c>
      <c r="X16" s="39">
        <f t="shared" si="7"/>
        <v>5</v>
      </c>
      <c r="Y16" s="41"/>
      <c r="Z16" s="41"/>
      <c r="AA16" s="41"/>
      <c r="AB16" s="42">
        <f t="shared" si="8"/>
        <v>0</v>
      </c>
      <c r="AC16" s="7">
        <v>1.0</v>
      </c>
      <c r="AD16" s="7">
        <v>1.0</v>
      </c>
      <c r="AE16" s="7"/>
      <c r="AF16" s="39">
        <f t="shared" si="63"/>
        <v>3</v>
      </c>
      <c r="AG16" s="7">
        <v>1.0</v>
      </c>
      <c r="AH16" s="7">
        <v>1.0</v>
      </c>
      <c r="AI16" s="7">
        <v>1.0</v>
      </c>
      <c r="AJ16" s="39">
        <f t="shared" si="10"/>
        <v>5</v>
      </c>
      <c r="AK16" s="7">
        <v>1.0</v>
      </c>
      <c r="AL16" s="7">
        <v>1.0</v>
      </c>
      <c r="AM16" s="7"/>
      <c r="AN16" s="39">
        <f t="shared" si="11"/>
        <v>3</v>
      </c>
      <c r="AO16" s="7">
        <v>1.0</v>
      </c>
      <c r="AP16" s="7">
        <v>1.0</v>
      </c>
      <c r="AQ16" s="7">
        <v>1.0</v>
      </c>
      <c r="AR16" s="39">
        <f t="shared" si="12"/>
        <v>5</v>
      </c>
      <c r="AS16" s="7"/>
      <c r="AT16" s="7"/>
      <c r="AU16" s="7">
        <v>1.0</v>
      </c>
      <c r="AV16" s="39">
        <f t="shared" si="57"/>
        <v>7</v>
      </c>
      <c r="AW16" s="7">
        <v>1.0</v>
      </c>
      <c r="AX16" s="7">
        <v>1.0</v>
      </c>
      <c r="AY16" s="7">
        <v>1.0</v>
      </c>
      <c r="AZ16" s="39">
        <f t="shared" ref="AZ16:AZ41" si="66"> if( AW16=1, if( AX16=1, if( AY16=1, 5, 3), if( AY16=1, 1, -3 ) ), if(AX16=1,if(AY16=1, -1, -2 ), if(AY16=1, 7, 0 ) ) )</f>
        <v>5</v>
      </c>
      <c r="BA16" s="7">
        <v>1.0</v>
      </c>
      <c r="BB16" s="7">
        <v>1.0</v>
      </c>
      <c r="BC16" s="7">
        <v>1.0</v>
      </c>
      <c r="BD16" s="39">
        <f t="shared" si="15"/>
        <v>5</v>
      </c>
      <c r="BE16" s="7">
        <v>1.0</v>
      </c>
      <c r="BF16" s="7">
        <v>1.0</v>
      </c>
      <c r="BG16" s="7">
        <v>1.0</v>
      </c>
      <c r="BH16" s="39">
        <f t="shared" si="16"/>
        <v>5</v>
      </c>
      <c r="BI16" s="7">
        <v>1.0</v>
      </c>
      <c r="BJ16" s="7">
        <v>1.0</v>
      </c>
      <c r="BK16" s="7">
        <v>1.0</v>
      </c>
      <c r="BL16" s="39">
        <f t="shared" si="64"/>
        <v>5</v>
      </c>
      <c r="BM16" s="7">
        <v>1.0</v>
      </c>
      <c r="BN16" s="7">
        <v>1.0</v>
      </c>
      <c r="BO16" s="7">
        <v>1.0</v>
      </c>
      <c r="BP16" s="39">
        <f t="shared" si="18"/>
        <v>5</v>
      </c>
      <c r="BQ16" s="7">
        <v>1.0</v>
      </c>
      <c r="BR16" s="7">
        <v>1.0</v>
      </c>
      <c r="BS16" s="7"/>
      <c r="BT16" s="39">
        <f t="shared" si="62"/>
        <v>3</v>
      </c>
      <c r="BU16" s="7">
        <v>1.0</v>
      </c>
      <c r="BV16" s="7">
        <v>1.0</v>
      </c>
      <c r="BW16" s="7"/>
      <c r="BX16" s="39">
        <f t="shared" si="20"/>
        <v>3</v>
      </c>
      <c r="BY16" s="7">
        <v>1.0</v>
      </c>
      <c r="BZ16" s="7">
        <v>1.0</v>
      </c>
      <c r="CA16" s="7"/>
      <c r="CB16" s="39">
        <f t="shared" ref="CB16:CB41" si="67"> if( BY16=1, if( BZ16=1, if( CA16=1, 5, 3), if( CA16=1, 1, -3 ) ), if(BZ16=1,if(CA16=1, -1, -2 ), if(CA16=1, 7, 0 ) ) )</f>
        <v>3</v>
      </c>
      <c r="CC16" s="7">
        <v>1.0</v>
      </c>
      <c r="CD16" s="7">
        <v>1.0</v>
      </c>
      <c r="CE16" s="7"/>
      <c r="CF16" s="39">
        <f t="shared" si="22"/>
        <v>3</v>
      </c>
      <c r="CG16" s="7"/>
      <c r="CH16" s="7"/>
      <c r="CI16" s="7"/>
      <c r="CJ16" s="39">
        <f t="shared" si="23"/>
        <v>0</v>
      </c>
      <c r="CK16" s="7">
        <v>1.0</v>
      </c>
      <c r="CL16" s="7">
        <v>1.0</v>
      </c>
      <c r="CM16" s="7"/>
      <c r="CN16" s="39">
        <f t="shared" si="24"/>
        <v>3</v>
      </c>
      <c r="CO16" s="7"/>
      <c r="CP16" s="7"/>
      <c r="CQ16" s="7"/>
      <c r="CR16" s="39">
        <f t="shared" si="25"/>
        <v>0</v>
      </c>
      <c r="CS16" s="7">
        <v>1.0</v>
      </c>
      <c r="CT16" s="7">
        <v>1.0</v>
      </c>
      <c r="CU16" s="7"/>
      <c r="CV16" s="39">
        <f t="shared" si="26"/>
        <v>3</v>
      </c>
      <c r="CW16" s="7"/>
      <c r="CX16" s="7"/>
      <c r="CY16" s="7"/>
      <c r="CZ16" s="39">
        <f t="shared" si="27"/>
        <v>0</v>
      </c>
      <c r="DA16" s="7"/>
      <c r="DB16" s="7"/>
      <c r="DC16" s="7"/>
      <c r="DD16" s="39">
        <f t="shared" si="28"/>
        <v>0</v>
      </c>
      <c r="DE16" s="7"/>
      <c r="DF16" s="7"/>
      <c r="DG16" s="7"/>
      <c r="DH16" s="39">
        <f t="shared" si="29"/>
        <v>0</v>
      </c>
      <c r="DI16" s="7"/>
      <c r="DJ16" s="7"/>
      <c r="DK16" s="7"/>
      <c r="DL16" s="39">
        <f t="shared" si="30"/>
        <v>0</v>
      </c>
      <c r="DM16" s="7"/>
      <c r="DN16" s="7"/>
      <c r="DO16" s="7"/>
      <c r="DP16" s="39">
        <f t="shared" si="31"/>
        <v>0</v>
      </c>
      <c r="DQ16" s="7"/>
      <c r="DR16" s="7"/>
      <c r="DS16" s="7"/>
      <c r="DT16" s="39">
        <f t="shared" si="32"/>
        <v>0</v>
      </c>
      <c r="DU16" s="7"/>
      <c r="DV16" s="7"/>
      <c r="DW16" s="7"/>
      <c r="DX16" s="39">
        <f t="shared" si="33"/>
        <v>0</v>
      </c>
      <c r="DY16" s="7"/>
      <c r="DZ16" s="7"/>
      <c r="EA16" s="7"/>
      <c r="EB16" s="39">
        <f t="shared" si="34"/>
        <v>0</v>
      </c>
      <c r="EC16" s="7"/>
      <c r="ED16" s="7"/>
      <c r="EE16" s="7"/>
      <c r="EF16" s="39">
        <f t="shared" si="35"/>
        <v>0</v>
      </c>
      <c r="EG16" s="7"/>
      <c r="EH16" s="7"/>
      <c r="EI16" s="7"/>
      <c r="EJ16" s="39">
        <f t="shared" si="36"/>
        <v>0</v>
      </c>
      <c r="EK16" s="7"/>
      <c r="EL16" s="7"/>
      <c r="EM16" s="7"/>
      <c r="EN16" s="39">
        <f t="shared" si="37"/>
        <v>0</v>
      </c>
      <c r="EO16" s="7">
        <v>1.0</v>
      </c>
      <c r="EP16" s="7">
        <v>1.0</v>
      </c>
      <c r="EQ16" s="7">
        <v>1.0</v>
      </c>
      <c r="ER16" s="39">
        <f t="shared" si="38"/>
        <v>5</v>
      </c>
      <c r="ES16" s="7">
        <v>1.0</v>
      </c>
      <c r="ET16" s="7">
        <v>1.0</v>
      </c>
      <c r="EU16" s="7"/>
      <c r="EV16" s="39">
        <f t="shared" si="39"/>
        <v>3</v>
      </c>
      <c r="EW16" s="7"/>
      <c r="EX16" s="7"/>
      <c r="EY16" s="7"/>
      <c r="EZ16" s="39">
        <f t="shared" si="40"/>
        <v>0</v>
      </c>
      <c r="FA16" s="7"/>
      <c r="FB16" s="7"/>
      <c r="FC16" s="7"/>
      <c r="FD16" s="39">
        <f t="shared" si="41"/>
        <v>0</v>
      </c>
      <c r="FE16" s="7"/>
      <c r="FF16" s="7"/>
      <c r="FG16" s="7"/>
      <c r="FH16" s="39">
        <f t="shared" si="42"/>
        <v>0</v>
      </c>
      <c r="FI16" s="7"/>
      <c r="FJ16" s="7"/>
      <c r="FK16" s="7"/>
      <c r="FL16" s="39">
        <f t="shared" si="43"/>
        <v>0</v>
      </c>
      <c r="FM16" s="7">
        <v>1.0</v>
      </c>
      <c r="FN16" s="7">
        <v>1.0</v>
      </c>
      <c r="FO16" s="7"/>
      <c r="FP16" s="39">
        <f t="shared" si="44"/>
        <v>3</v>
      </c>
      <c r="FQ16" s="7"/>
      <c r="FR16" s="7"/>
      <c r="FS16" s="7"/>
      <c r="FT16" s="39">
        <f t="shared" si="45"/>
        <v>0</v>
      </c>
      <c r="FU16" s="7"/>
      <c r="FV16" s="7"/>
      <c r="FW16" s="7"/>
      <c r="FX16" s="39">
        <f t="shared" si="46"/>
        <v>0</v>
      </c>
      <c r="FY16" s="7">
        <v>1.0</v>
      </c>
      <c r="FZ16" s="7">
        <v>1.0</v>
      </c>
      <c r="GA16" s="7"/>
      <c r="GB16" s="39">
        <f t="shared" si="47"/>
        <v>3</v>
      </c>
      <c r="GC16" s="7">
        <v>1.0</v>
      </c>
      <c r="GD16" s="7">
        <v>1.0</v>
      </c>
      <c r="GE16" s="7"/>
      <c r="GF16" s="39">
        <f t="shared" si="48"/>
        <v>3</v>
      </c>
      <c r="GG16" s="7"/>
      <c r="GH16" s="7"/>
      <c r="GI16" s="7"/>
      <c r="GJ16" s="39">
        <f t="shared" si="49"/>
        <v>0</v>
      </c>
      <c r="GK16" s="7"/>
      <c r="GL16" s="7"/>
      <c r="GM16" s="7"/>
      <c r="GN16" s="39">
        <f t="shared" si="50"/>
        <v>0</v>
      </c>
      <c r="GO16" s="7">
        <v>1.0</v>
      </c>
      <c r="GP16" s="7">
        <v>1.0</v>
      </c>
      <c r="GQ16" s="7"/>
      <c r="GR16" s="39">
        <f t="shared" si="51"/>
        <v>3</v>
      </c>
      <c r="GS16" s="7"/>
      <c r="GT16" s="7"/>
      <c r="GU16" s="7"/>
      <c r="GV16" s="39">
        <f t="shared" si="52"/>
        <v>0</v>
      </c>
      <c r="GW16" s="7"/>
      <c r="GX16" s="7"/>
      <c r="GY16" s="7"/>
      <c r="GZ16" s="39">
        <f t="shared" si="53"/>
        <v>0</v>
      </c>
      <c r="HA16" s="7"/>
      <c r="HB16" s="7"/>
      <c r="HC16" s="7"/>
      <c r="HD16" s="39">
        <f t="shared" si="54"/>
        <v>0</v>
      </c>
      <c r="HE16" s="7"/>
      <c r="HF16" s="7"/>
      <c r="HG16" s="7"/>
      <c r="HH16" s="39">
        <f t="shared" si="65"/>
        <v>0</v>
      </c>
    </row>
    <row r="17">
      <c r="A17" s="20" t="s">
        <v>77</v>
      </c>
      <c r="B17" s="21"/>
      <c r="C17" s="1">
        <f t="shared" si="1"/>
        <v>15</v>
      </c>
      <c r="D17" s="15">
        <f>VLOOKUP(A17,TDP!A:C,3,FALSE)</f>
        <v>0.25</v>
      </c>
      <c r="E17" s="37">
        <f t="shared" si="2"/>
        <v>133.75</v>
      </c>
      <c r="F17" s="1">
        <f>VLOOKUP($A17,Valoracion!$A:$J,9,FALSE)</f>
        <v>5</v>
      </c>
      <c r="G17" s="7">
        <v>1.0</v>
      </c>
      <c r="H17" s="39">
        <f t="shared" si="58"/>
        <v>7</v>
      </c>
      <c r="I17" s="7"/>
      <c r="J17" s="7"/>
      <c r="K17" s="7">
        <v>1.0</v>
      </c>
      <c r="L17" s="39">
        <f t="shared" si="59"/>
        <v>7</v>
      </c>
      <c r="M17" s="7"/>
      <c r="N17" s="7"/>
      <c r="O17" s="7"/>
      <c r="P17" s="39">
        <f t="shared" si="60"/>
        <v>0</v>
      </c>
      <c r="Q17" s="7"/>
      <c r="R17" s="7"/>
      <c r="S17" s="7"/>
      <c r="T17" s="39">
        <f t="shared" si="6"/>
        <v>0</v>
      </c>
      <c r="U17" s="7">
        <v>1.0</v>
      </c>
      <c r="V17" s="7">
        <v>1.0</v>
      </c>
      <c r="W17" s="7">
        <v>1.0</v>
      </c>
      <c r="X17" s="39">
        <f t="shared" si="7"/>
        <v>5</v>
      </c>
      <c r="Y17" s="41"/>
      <c r="Z17" s="41"/>
      <c r="AA17" s="41"/>
      <c r="AB17" s="42">
        <f t="shared" si="8"/>
        <v>0</v>
      </c>
      <c r="AC17" s="7"/>
      <c r="AD17" s="7"/>
      <c r="AE17" s="7"/>
      <c r="AF17" s="39">
        <f t="shared" si="63"/>
        <v>0</v>
      </c>
      <c r="AG17" s="7"/>
      <c r="AH17" s="7"/>
      <c r="AI17" s="7">
        <v>1.0</v>
      </c>
      <c r="AJ17" s="39">
        <f t="shared" si="10"/>
        <v>7</v>
      </c>
      <c r="AK17" s="7"/>
      <c r="AL17" s="7"/>
      <c r="AM17" s="7">
        <v>1.0</v>
      </c>
      <c r="AN17" s="39">
        <f t="shared" si="11"/>
        <v>7</v>
      </c>
      <c r="AO17" s="7">
        <v>1.0</v>
      </c>
      <c r="AP17" s="7">
        <v>1.0</v>
      </c>
      <c r="AQ17" s="7">
        <v>1.0</v>
      </c>
      <c r="AR17" s="39">
        <f t="shared" si="12"/>
        <v>5</v>
      </c>
      <c r="AS17" s="7">
        <v>1.0</v>
      </c>
      <c r="AT17" s="7">
        <v>1.0</v>
      </c>
      <c r="AU17" s="7">
        <v>1.0</v>
      </c>
      <c r="AV17" s="39">
        <f t="shared" si="57"/>
        <v>5</v>
      </c>
      <c r="AW17" s="7"/>
      <c r="AX17" s="7"/>
      <c r="AY17" s="7"/>
      <c r="AZ17" s="39">
        <f t="shared" si="66"/>
        <v>0</v>
      </c>
      <c r="BA17" s="7">
        <v>1.0</v>
      </c>
      <c r="BB17" s="7">
        <v>1.0</v>
      </c>
      <c r="BC17" s="7">
        <v>1.0</v>
      </c>
      <c r="BD17" s="39">
        <f t="shared" si="15"/>
        <v>5</v>
      </c>
      <c r="BE17" s="7"/>
      <c r="BF17" s="7"/>
      <c r="BG17" s="7"/>
      <c r="BH17" s="39">
        <f t="shared" si="16"/>
        <v>0</v>
      </c>
      <c r="BI17" s="7"/>
      <c r="BJ17" s="7"/>
      <c r="BK17" s="7"/>
      <c r="BL17" s="39">
        <f t="shared" si="64"/>
        <v>0</v>
      </c>
      <c r="BM17" s="7"/>
      <c r="BN17" s="7"/>
      <c r="BO17" s="7"/>
      <c r="BP17" s="39">
        <f t="shared" si="18"/>
        <v>0</v>
      </c>
      <c r="BQ17" s="7"/>
      <c r="BR17" s="7"/>
      <c r="BS17" s="7"/>
      <c r="BT17" s="39">
        <f t="shared" si="62"/>
        <v>0</v>
      </c>
      <c r="BU17" s="7">
        <v>1.0</v>
      </c>
      <c r="BV17" s="7">
        <v>1.0</v>
      </c>
      <c r="BW17" s="7"/>
      <c r="BX17" s="39">
        <f t="shared" si="20"/>
        <v>3</v>
      </c>
      <c r="BY17" s="7"/>
      <c r="BZ17" s="7"/>
      <c r="CA17" s="7">
        <v>1.0</v>
      </c>
      <c r="CB17" s="39">
        <f t="shared" si="67"/>
        <v>7</v>
      </c>
      <c r="CC17" s="7"/>
      <c r="CD17" s="7"/>
      <c r="CE17" s="7">
        <v>1.0</v>
      </c>
      <c r="CF17" s="39">
        <f t="shared" si="22"/>
        <v>7</v>
      </c>
      <c r="CG17" s="7"/>
      <c r="CH17" s="7"/>
      <c r="CI17" s="7"/>
      <c r="CJ17" s="39">
        <f t="shared" si="23"/>
        <v>0</v>
      </c>
      <c r="CK17" s="7">
        <v>1.0</v>
      </c>
      <c r="CL17" s="7">
        <v>1.0</v>
      </c>
      <c r="CM17" s="7"/>
      <c r="CN17" s="39">
        <f t="shared" si="24"/>
        <v>3</v>
      </c>
      <c r="CO17" s="7"/>
      <c r="CP17" s="7"/>
      <c r="CQ17" s="7"/>
      <c r="CR17" s="39">
        <f t="shared" si="25"/>
        <v>0</v>
      </c>
      <c r="CS17" s="7"/>
      <c r="CT17" s="7"/>
      <c r="CU17" s="7"/>
      <c r="CV17" s="39">
        <f t="shared" si="26"/>
        <v>0</v>
      </c>
      <c r="CW17" s="7"/>
      <c r="CX17" s="7"/>
      <c r="CY17" s="7"/>
      <c r="CZ17" s="39">
        <f t="shared" si="27"/>
        <v>0</v>
      </c>
      <c r="DA17" s="7"/>
      <c r="DB17" s="7"/>
      <c r="DC17" s="7"/>
      <c r="DD17" s="39">
        <f t="shared" si="28"/>
        <v>0</v>
      </c>
      <c r="DE17" s="7"/>
      <c r="DF17" s="7"/>
      <c r="DG17" s="7"/>
      <c r="DH17" s="39">
        <f t="shared" si="29"/>
        <v>0</v>
      </c>
      <c r="DI17" s="7">
        <v>1.0</v>
      </c>
      <c r="DJ17" s="7">
        <v>1.0</v>
      </c>
      <c r="DK17" s="7"/>
      <c r="DL17" s="39">
        <f t="shared" si="30"/>
        <v>3</v>
      </c>
      <c r="DM17" s="7"/>
      <c r="DN17" s="7"/>
      <c r="DO17" s="7"/>
      <c r="DP17" s="39">
        <f t="shared" si="31"/>
        <v>0</v>
      </c>
      <c r="DQ17" s="7"/>
      <c r="DR17" s="7"/>
      <c r="DS17" s="7"/>
      <c r="DT17" s="39">
        <f t="shared" si="32"/>
        <v>0</v>
      </c>
      <c r="DU17" s="7"/>
      <c r="DV17" s="7"/>
      <c r="DW17" s="7"/>
      <c r="DX17" s="39">
        <f t="shared" si="33"/>
        <v>0</v>
      </c>
      <c r="DY17" s="7"/>
      <c r="DZ17" s="7"/>
      <c r="EA17" s="7"/>
      <c r="EB17" s="39">
        <f t="shared" si="34"/>
        <v>0</v>
      </c>
      <c r="EC17" s="7"/>
      <c r="ED17" s="7"/>
      <c r="EE17" s="7">
        <v>1.0</v>
      </c>
      <c r="EF17" s="39">
        <f t="shared" si="35"/>
        <v>7</v>
      </c>
      <c r="EG17" s="7"/>
      <c r="EH17" s="7"/>
      <c r="EI17" s="7">
        <v>1.0</v>
      </c>
      <c r="EJ17" s="39">
        <f t="shared" si="36"/>
        <v>7</v>
      </c>
      <c r="EK17" s="7">
        <v>1.0</v>
      </c>
      <c r="EL17" s="7">
        <v>1.0</v>
      </c>
      <c r="EM17" s="7">
        <v>1.0</v>
      </c>
      <c r="EN17" s="39">
        <f t="shared" si="37"/>
        <v>5</v>
      </c>
      <c r="EO17" s="7"/>
      <c r="EP17" s="7"/>
      <c r="EQ17" s="7"/>
      <c r="ER17" s="39">
        <f t="shared" si="38"/>
        <v>0</v>
      </c>
      <c r="ES17" s="7">
        <v>1.0</v>
      </c>
      <c r="ET17" s="7">
        <v>1.0</v>
      </c>
      <c r="EU17" s="7">
        <v>1.0</v>
      </c>
      <c r="EV17" s="39">
        <f t="shared" si="39"/>
        <v>5</v>
      </c>
      <c r="EW17" s="7"/>
      <c r="EX17" s="7"/>
      <c r="EY17" s="7"/>
      <c r="EZ17" s="39">
        <f t="shared" si="40"/>
        <v>0</v>
      </c>
      <c r="FA17" s="7"/>
      <c r="FB17" s="7"/>
      <c r="FC17" s="7"/>
      <c r="FD17" s="39">
        <f t="shared" si="41"/>
        <v>0</v>
      </c>
      <c r="FE17" s="7"/>
      <c r="FF17" s="7"/>
      <c r="FG17" s="7"/>
      <c r="FH17" s="39">
        <f t="shared" si="42"/>
        <v>0</v>
      </c>
      <c r="FI17" s="7"/>
      <c r="FJ17" s="7"/>
      <c r="FK17" s="7">
        <v>1.0</v>
      </c>
      <c r="FL17" s="39">
        <f t="shared" si="43"/>
        <v>7</v>
      </c>
      <c r="FM17" s="7">
        <v>1.0</v>
      </c>
      <c r="FN17" s="7">
        <v>1.0</v>
      </c>
      <c r="FO17" s="7">
        <v>1.0</v>
      </c>
      <c r="FP17" s="39">
        <f t="shared" si="44"/>
        <v>5</v>
      </c>
      <c r="FQ17" s="7"/>
      <c r="FR17" s="7"/>
      <c r="FS17" s="7"/>
      <c r="FT17" s="39">
        <f t="shared" si="45"/>
        <v>0</v>
      </c>
      <c r="FU17" s="7"/>
      <c r="FV17" s="7"/>
      <c r="FW17" s="7"/>
      <c r="FX17" s="39">
        <f t="shared" si="46"/>
        <v>0</v>
      </c>
      <c r="FY17" s="7"/>
      <c r="FZ17" s="7"/>
      <c r="GA17" s="7"/>
      <c r="GB17" s="39">
        <f t="shared" si="47"/>
        <v>0</v>
      </c>
      <c r="GC17" s="7"/>
      <c r="GD17" s="7"/>
      <c r="GE17" s="7"/>
      <c r="GF17" s="39">
        <f t="shared" si="48"/>
        <v>0</v>
      </c>
      <c r="GG17" s="7"/>
      <c r="GH17" s="7"/>
      <c r="GI17" s="7"/>
      <c r="GJ17" s="39">
        <f t="shared" si="49"/>
        <v>0</v>
      </c>
      <c r="GK17" s="7"/>
      <c r="GL17" s="7"/>
      <c r="GM17" s="7"/>
      <c r="GN17" s="39">
        <f t="shared" si="50"/>
        <v>0</v>
      </c>
      <c r="GO17" s="7"/>
      <c r="GP17" s="7"/>
      <c r="GQ17" s="7"/>
      <c r="GR17" s="39">
        <f t="shared" si="51"/>
        <v>0</v>
      </c>
      <c r="GS17" s="7"/>
      <c r="GT17" s="7"/>
      <c r="GU17" s="7"/>
      <c r="GV17" s="39">
        <f t="shared" si="52"/>
        <v>0</v>
      </c>
      <c r="GW17" s="7"/>
      <c r="GX17" s="7"/>
      <c r="GY17" s="7"/>
      <c r="GZ17" s="39">
        <f t="shared" si="53"/>
        <v>0</v>
      </c>
      <c r="HA17" s="7"/>
      <c r="HB17" s="7"/>
      <c r="HC17" s="7"/>
      <c r="HD17" s="39">
        <f t="shared" si="54"/>
        <v>0</v>
      </c>
      <c r="HE17" s="7"/>
      <c r="HF17" s="7"/>
      <c r="HG17" s="7"/>
      <c r="HH17" s="39">
        <f t="shared" si="65"/>
        <v>0</v>
      </c>
    </row>
    <row r="18">
      <c r="A18" s="20" t="s">
        <v>47</v>
      </c>
      <c r="B18" s="23" t="s">
        <v>167</v>
      </c>
      <c r="C18" s="1">
        <f t="shared" si="1"/>
        <v>16</v>
      </c>
      <c r="D18" s="15">
        <f>VLOOKUP(A18,TDP!A:C,3,FALSE)</f>
        <v>0.37</v>
      </c>
      <c r="E18" s="37">
        <f t="shared" si="2"/>
        <v>132.89</v>
      </c>
      <c r="F18" s="1">
        <f>VLOOKUP($A18,Valoracion!$A:$J,9,FALSE)</f>
        <v>4</v>
      </c>
      <c r="G18" s="7">
        <v>1.0</v>
      </c>
      <c r="H18" s="39">
        <f t="shared" si="58"/>
        <v>7</v>
      </c>
      <c r="I18" s="7"/>
      <c r="J18" s="7"/>
      <c r="K18" s="7"/>
      <c r="L18" s="39">
        <f t="shared" si="59"/>
        <v>0</v>
      </c>
      <c r="M18" s="7">
        <v>1.0</v>
      </c>
      <c r="N18" s="7">
        <v>1.0</v>
      </c>
      <c r="O18" s="7"/>
      <c r="P18" s="39">
        <f t="shared" si="60"/>
        <v>3</v>
      </c>
      <c r="Q18" s="7">
        <v>1.0</v>
      </c>
      <c r="R18" s="7">
        <v>1.0</v>
      </c>
      <c r="S18" s="7"/>
      <c r="T18" s="39">
        <f t="shared" si="6"/>
        <v>3</v>
      </c>
      <c r="U18" s="7">
        <v>1.0</v>
      </c>
      <c r="V18" s="7">
        <v>1.0</v>
      </c>
      <c r="W18" s="7">
        <v>1.0</v>
      </c>
      <c r="X18" s="39">
        <f t="shared" si="7"/>
        <v>5</v>
      </c>
      <c r="Y18" s="41"/>
      <c r="Z18" s="41"/>
      <c r="AA18" s="41"/>
      <c r="AB18" s="42">
        <f t="shared" si="8"/>
        <v>0</v>
      </c>
      <c r="AC18" s="7">
        <v>1.0</v>
      </c>
      <c r="AD18" s="7">
        <v>1.0</v>
      </c>
      <c r="AE18" s="7"/>
      <c r="AF18" s="39">
        <f t="shared" si="63"/>
        <v>3</v>
      </c>
      <c r="AG18" s="7">
        <v>1.0</v>
      </c>
      <c r="AH18" s="7">
        <v>1.0</v>
      </c>
      <c r="AI18" s="7">
        <v>1.0</v>
      </c>
      <c r="AJ18" s="39">
        <f t="shared" si="10"/>
        <v>5</v>
      </c>
      <c r="AK18" s="7">
        <v>1.0</v>
      </c>
      <c r="AL18" s="7">
        <v>1.0</v>
      </c>
      <c r="AM18" s="7"/>
      <c r="AN18" s="39">
        <f t="shared" si="11"/>
        <v>3</v>
      </c>
      <c r="AO18" s="7"/>
      <c r="AP18" s="7"/>
      <c r="AQ18" s="7">
        <v>1.0</v>
      </c>
      <c r="AR18" s="39">
        <f t="shared" si="12"/>
        <v>7</v>
      </c>
      <c r="AS18" s="7">
        <v>1.0</v>
      </c>
      <c r="AT18" s="7">
        <v>1.0</v>
      </c>
      <c r="AU18" s="7">
        <v>1.0</v>
      </c>
      <c r="AV18" s="39">
        <f t="shared" si="57"/>
        <v>5</v>
      </c>
      <c r="AW18" s="7">
        <v>1.0</v>
      </c>
      <c r="AX18" s="7">
        <v>1.0</v>
      </c>
      <c r="AY18" s="7">
        <v>1.0</v>
      </c>
      <c r="AZ18" s="39">
        <f t="shared" si="66"/>
        <v>5</v>
      </c>
      <c r="BA18" s="7">
        <v>1.0</v>
      </c>
      <c r="BB18" s="7">
        <v>1.0</v>
      </c>
      <c r="BC18" s="7">
        <v>1.0</v>
      </c>
      <c r="BD18" s="39">
        <f t="shared" si="15"/>
        <v>5</v>
      </c>
      <c r="BE18" s="7">
        <v>1.0</v>
      </c>
      <c r="BF18" s="7">
        <v>1.0</v>
      </c>
      <c r="BG18" s="7">
        <v>1.0</v>
      </c>
      <c r="BH18" s="39">
        <f t="shared" si="16"/>
        <v>5</v>
      </c>
      <c r="BI18" s="7">
        <v>1.0</v>
      </c>
      <c r="BJ18" s="7">
        <v>1.0</v>
      </c>
      <c r="BK18" s="7"/>
      <c r="BL18" s="39">
        <f t="shared" si="64"/>
        <v>3</v>
      </c>
      <c r="BM18" s="7">
        <v>1.0</v>
      </c>
      <c r="BN18" s="7">
        <v>1.0</v>
      </c>
      <c r="BO18" s="7"/>
      <c r="BP18" s="39">
        <f t="shared" si="18"/>
        <v>3</v>
      </c>
      <c r="BQ18" s="7">
        <v>1.0</v>
      </c>
      <c r="BR18" s="7">
        <v>1.0</v>
      </c>
      <c r="BS18" s="7"/>
      <c r="BT18" s="39">
        <f t="shared" si="62"/>
        <v>3</v>
      </c>
      <c r="BU18" s="7">
        <v>1.0</v>
      </c>
      <c r="BV18" s="7">
        <v>1.0</v>
      </c>
      <c r="BW18" s="7"/>
      <c r="BX18" s="39">
        <f t="shared" si="20"/>
        <v>3</v>
      </c>
      <c r="BY18" s="7">
        <v>1.0</v>
      </c>
      <c r="BZ18" s="7">
        <v>1.0</v>
      </c>
      <c r="CA18" s="7"/>
      <c r="CB18" s="39">
        <f t="shared" si="67"/>
        <v>3</v>
      </c>
      <c r="CC18" s="7">
        <v>1.0</v>
      </c>
      <c r="CD18" s="7">
        <v>1.0</v>
      </c>
      <c r="CE18" s="7"/>
      <c r="CF18" s="39">
        <f t="shared" si="22"/>
        <v>3</v>
      </c>
      <c r="CG18" s="7"/>
      <c r="CH18" s="7"/>
      <c r="CI18" s="7"/>
      <c r="CJ18" s="39">
        <f t="shared" si="23"/>
        <v>0</v>
      </c>
      <c r="CK18" s="7">
        <v>1.0</v>
      </c>
      <c r="CL18" s="7">
        <v>1.0</v>
      </c>
      <c r="CM18" s="7"/>
      <c r="CN18" s="39">
        <f t="shared" si="24"/>
        <v>3</v>
      </c>
      <c r="CO18" s="7"/>
      <c r="CP18" s="7"/>
      <c r="CQ18" s="7"/>
      <c r="CR18" s="39">
        <f t="shared" si="25"/>
        <v>0</v>
      </c>
      <c r="CS18" s="7">
        <v>1.0</v>
      </c>
      <c r="CT18" s="7">
        <v>1.0</v>
      </c>
      <c r="CU18" s="7"/>
      <c r="CV18" s="39">
        <f t="shared" si="26"/>
        <v>3</v>
      </c>
      <c r="CW18" s="7"/>
      <c r="CX18" s="7"/>
      <c r="CY18" s="7"/>
      <c r="CZ18" s="39">
        <f t="shared" si="27"/>
        <v>0</v>
      </c>
      <c r="DA18" s="7"/>
      <c r="DB18" s="7"/>
      <c r="DC18" s="7"/>
      <c r="DD18" s="39">
        <f t="shared" si="28"/>
        <v>0</v>
      </c>
      <c r="DE18" s="7"/>
      <c r="DF18" s="7"/>
      <c r="DG18" s="7"/>
      <c r="DH18" s="39">
        <f t="shared" si="29"/>
        <v>0</v>
      </c>
      <c r="DI18" s="7"/>
      <c r="DJ18" s="7"/>
      <c r="DK18" s="7"/>
      <c r="DL18" s="39">
        <f t="shared" si="30"/>
        <v>0</v>
      </c>
      <c r="DM18" s="7"/>
      <c r="DN18" s="7"/>
      <c r="DO18" s="7"/>
      <c r="DP18" s="39">
        <f t="shared" si="31"/>
        <v>0</v>
      </c>
      <c r="DQ18" s="7"/>
      <c r="DR18" s="7"/>
      <c r="DS18" s="7"/>
      <c r="DT18" s="39">
        <f t="shared" si="32"/>
        <v>0</v>
      </c>
      <c r="DU18" s="7"/>
      <c r="DV18" s="7"/>
      <c r="DW18" s="7"/>
      <c r="DX18" s="39">
        <f t="shared" si="33"/>
        <v>0</v>
      </c>
      <c r="DY18" s="7"/>
      <c r="DZ18" s="7"/>
      <c r="EA18" s="7"/>
      <c r="EB18" s="39">
        <f t="shared" si="34"/>
        <v>0</v>
      </c>
      <c r="EC18" s="7"/>
      <c r="ED18" s="7"/>
      <c r="EE18" s="7"/>
      <c r="EF18" s="39">
        <f t="shared" si="35"/>
        <v>0</v>
      </c>
      <c r="EG18" s="7"/>
      <c r="EH18" s="7"/>
      <c r="EI18" s="7"/>
      <c r="EJ18" s="39">
        <f t="shared" si="36"/>
        <v>0</v>
      </c>
      <c r="EK18" s="7"/>
      <c r="EL18" s="7"/>
      <c r="EM18" s="7"/>
      <c r="EN18" s="39">
        <f t="shared" si="37"/>
        <v>0</v>
      </c>
      <c r="EO18" s="7">
        <v>1.0</v>
      </c>
      <c r="EP18" s="7">
        <v>1.0</v>
      </c>
      <c r="EQ18" s="7">
        <v>1.0</v>
      </c>
      <c r="ER18" s="39">
        <f t="shared" si="38"/>
        <v>5</v>
      </c>
      <c r="ES18" s="7">
        <v>1.0</v>
      </c>
      <c r="ET18" s="7">
        <v>1.0</v>
      </c>
      <c r="EU18" s="7"/>
      <c r="EV18" s="39">
        <f t="shared" si="39"/>
        <v>3</v>
      </c>
      <c r="EW18" s="7"/>
      <c r="EX18" s="7"/>
      <c r="EY18" s="7"/>
      <c r="EZ18" s="39">
        <f t="shared" si="40"/>
        <v>0</v>
      </c>
      <c r="FA18" s="7"/>
      <c r="FB18" s="7"/>
      <c r="FC18" s="7"/>
      <c r="FD18" s="39">
        <f t="shared" si="41"/>
        <v>0</v>
      </c>
      <c r="FE18" s="7"/>
      <c r="FF18" s="7"/>
      <c r="FG18" s="7"/>
      <c r="FH18" s="39">
        <f t="shared" si="42"/>
        <v>0</v>
      </c>
      <c r="FI18" s="7"/>
      <c r="FJ18" s="7"/>
      <c r="FK18" s="7"/>
      <c r="FL18" s="39">
        <f t="shared" si="43"/>
        <v>0</v>
      </c>
      <c r="FM18" s="7">
        <v>1.0</v>
      </c>
      <c r="FN18" s="7">
        <v>1.0</v>
      </c>
      <c r="FO18" s="7"/>
      <c r="FP18" s="39">
        <f t="shared" si="44"/>
        <v>3</v>
      </c>
      <c r="FQ18" s="7"/>
      <c r="FR18" s="7"/>
      <c r="FS18" s="7"/>
      <c r="FT18" s="39">
        <f t="shared" si="45"/>
        <v>0</v>
      </c>
      <c r="FU18" s="7"/>
      <c r="FV18" s="7"/>
      <c r="FW18" s="7"/>
      <c r="FX18" s="39">
        <f t="shared" si="46"/>
        <v>0</v>
      </c>
      <c r="FY18" s="7">
        <v>1.0</v>
      </c>
      <c r="FZ18" s="7">
        <v>1.0</v>
      </c>
      <c r="GA18" s="7"/>
      <c r="GB18" s="39">
        <f t="shared" si="47"/>
        <v>3</v>
      </c>
      <c r="GC18" s="7">
        <v>1.0</v>
      </c>
      <c r="GD18" s="7">
        <v>1.0</v>
      </c>
      <c r="GE18" s="7"/>
      <c r="GF18" s="39">
        <f t="shared" si="48"/>
        <v>3</v>
      </c>
      <c r="GG18" s="7"/>
      <c r="GH18" s="7"/>
      <c r="GI18" s="7"/>
      <c r="GJ18" s="39">
        <f t="shared" si="49"/>
        <v>0</v>
      </c>
      <c r="GK18" s="7"/>
      <c r="GL18" s="7"/>
      <c r="GM18" s="7"/>
      <c r="GN18" s="39">
        <f t="shared" si="50"/>
        <v>0</v>
      </c>
      <c r="GO18" s="7"/>
      <c r="GP18" s="7"/>
      <c r="GQ18" s="7"/>
      <c r="GR18" s="39">
        <f t="shared" si="51"/>
        <v>0</v>
      </c>
      <c r="GS18" s="7"/>
      <c r="GT18" s="7"/>
      <c r="GU18" s="7"/>
      <c r="GV18" s="39">
        <f t="shared" si="52"/>
        <v>0</v>
      </c>
      <c r="GW18" s="7"/>
      <c r="GX18" s="7"/>
      <c r="GY18" s="7"/>
      <c r="GZ18" s="39">
        <f t="shared" si="53"/>
        <v>0</v>
      </c>
      <c r="HA18" s="7"/>
      <c r="HB18" s="7"/>
      <c r="HC18" s="7"/>
      <c r="HD18" s="39">
        <f t="shared" si="54"/>
        <v>0</v>
      </c>
      <c r="HE18" s="7"/>
      <c r="HF18" s="7"/>
      <c r="HG18" s="7"/>
      <c r="HH18" s="39">
        <f t="shared" si="65"/>
        <v>0</v>
      </c>
    </row>
    <row r="19">
      <c r="A19" s="4" t="s">
        <v>63</v>
      </c>
      <c r="B19" s="7" t="s">
        <v>155</v>
      </c>
      <c r="C19" s="1">
        <f t="shared" si="1"/>
        <v>17</v>
      </c>
      <c r="D19" s="15">
        <f>VLOOKUP(A19,TDP!A:C,3,FALSE)</f>
        <v>0.29</v>
      </c>
      <c r="E19" s="37">
        <f t="shared" si="2"/>
        <v>116.1</v>
      </c>
      <c r="F19" s="1">
        <f>VLOOKUP($A19,Valoracion!$A:$J,9,FALSE)</f>
        <v>3</v>
      </c>
      <c r="G19" s="7">
        <v>1.0</v>
      </c>
      <c r="H19" s="39">
        <f t="shared" si="58"/>
        <v>7</v>
      </c>
      <c r="I19" s="7">
        <v>1.0</v>
      </c>
      <c r="J19" s="7">
        <v>1.0</v>
      </c>
      <c r="K19" s="7">
        <v>1.0</v>
      </c>
      <c r="L19" s="39">
        <f t="shared" si="59"/>
        <v>5</v>
      </c>
      <c r="M19" s="7"/>
      <c r="N19" s="7"/>
      <c r="O19" s="7"/>
      <c r="P19" s="39">
        <f t="shared" si="60"/>
        <v>0</v>
      </c>
      <c r="Q19" s="7"/>
      <c r="R19" s="7"/>
      <c r="S19" s="7"/>
      <c r="T19" s="39">
        <f t="shared" si="6"/>
        <v>0</v>
      </c>
      <c r="U19" s="7"/>
      <c r="V19" s="7"/>
      <c r="W19" s="7">
        <v>1.0</v>
      </c>
      <c r="X19" s="39">
        <f t="shared" si="7"/>
        <v>7</v>
      </c>
      <c r="Y19" s="41"/>
      <c r="Z19" s="41"/>
      <c r="AA19" s="41"/>
      <c r="AB19" s="42">
        <f t="shared" si="8"/>
        <v>0</v>
      </c>
      <c r="AC19" s="7"/>
      <c r="AD19" s="7"/>
      <c r="AE19" s="7"/>
      <c r="AF19" s="39">
        <f t="shared" si="63"/>
        <v>0</v>
      </c>
      <c r="AG19" s="7"/>
      <c r="AH19" s="7"/>
      <c r="AI19" s="7">
        <v>1.0</v>
      </c>
      <c r="AJ19" s="39">
        <f t="shared" si="10"/>
        <v>7</v>
      </c>
      <c r="AK19" s="7"/>
      <c r="AL19" s="7"/>
      <c r="AM19" s="7">
        <v>1.0</v>
      </c>
      <c r="AN19" s="39">
        <f t="shared" si="11"/>
        <v>7</v>
      </c>
      <c r="AO19" s="7">
        <v>1.0</v>
      </c>
      <c r="AP19" s="7">
        <v>1.0</v>
      </c>
      <c r="AQ19" s="7">
        <v>1.0</v>
      </c>
      <c r="AR19" s="39">
        <f t="shared" si="12"/>
        <v>5</v>
      </c>
      <c r="AS19" s="7"/>
      <c r="AT19" s="7"/>
      <c r="AU19" s="7"/>
      <c r="AV19" s="39">
        <f t="shared" si="57"/>
        <v>0</v>
      </c>
      <c r="AW19" s="7">
        <v>1.0</v>
      </c>
      <c r="AX19" s="7">
        <v>1.0</v>
      </c>
      <c r="AY19" s="7">
        <v>1.0</v>
      </c>
      <c r="AZ19" s="39">
        <f t="shared" si="66"/>
        <v>5</v>
      </c>
      <c r="BA19" s="7">
        <v>1.0</v>
      </c>
      <c r="BB19" s="7">
        <v>1.0</v>
      </c>
      <c r="BC19" s="7">
        <v>1.0</v>
      </c>
      <c r="BD19" s="39">
        <f t="shared" si="15"/>
        <v>5</v>
      </c>
      <c r="BE19" s="7">
        <v>1.0</v>
      </c>
      <c r="BF19" s="7">
        <v>1.0</v>
      </c>
      <c r="BG19" s="7">
        <v>1.0</v>
      </c>
      <c r="BH19" s="39">
        <f t="shared" si="16"/>
        <v>5</v>
      </c>
      <c r="BI19" s="7">
        <v>1.0</v>
      </c>
      <c r="BJ19" s="7">
        <v>1.0</v>
      </c>
      <c r="BK19" s="7">
        <v>1.0</v>
      </c>
      <c r="BL19" s="39">
        <f t="shared" si="64"/>
        <v>5</v>
      </c>
      <c r="BM19" s="7">
        <v>1.0</v>
      </c>
      <c r="BN19" s="7">
        <v>1.0</v>
      </c>
      <c r="BO19" s="7">
        <v>1.0</v>
      </c>
      <c r="BP19" s="39">
        <f t="shared" si="18"/>
        <v>5</v>
      </c>
      <c r="BQ19" s="7">
        <v>1.0</v>
      </c>
      <c r="BR19" s="7">
        <v>1.0</v>
      </c>
      <c r="BS19" s="7">
        <v>1.0</v>
      </c>
      <c r="BT19" s="39">
        <f t="shared" si="62"/>
        <v>5</v>
      </c>
      <c r="BU19" s="7">
        <v>1.0</v>
      </c>
      <c r="BV19" s="7">
        <v>1.0</v>
      </c>
      <c r="BW19" s="7">
        <v>1.0</v>
      </c>
      <c r="BX19" s="39">
        <f t="shared" si="20"/>
        <v>5</v>
      </c>
      <c r="BY19" s="7">
        <v>1.0</v>
      </c>
      <c r="BZ19" s="7">
        <v>1.0</v>
      </c>
      <c r="CA19" s="7">
        <v>1.0</v>
      </c>
      <c r="CB19" s="39">
        <f t="shared" si="67"/>
        <v>5</v>
      </c>
      <c r="CC19" s="7">
        <v>1.0</v>
      </c>
      <c r="CD19" s="7"/>
      <c r="CE19" s="7"/>
      <c r="CF19" s="39">
        <f t="shared" si="22"/>
        <v>-3</v>
      </c>
      <c r="CG19" s="7">
        <v>1.0</v>
      </c>
      <c r="CH19" s="7">
        <v>1.0</v>
      </c>
      <c r="CI19" s="7">
        <v>1.0</v>
      </c>
      <c r="CJ19" s="39">
        <f t="shared" si="23"/>
        <v>5</v>
      </c>
      <c r="CK19" s="7">
        <v>1.0</v>
      </c>
      <c r="CL19" s="7">
        <v>1.0</v>
      </c>
      <c r="CM19" s="7">
        <v>1.0</v>
      </c>
      <c r="CN19" s="39">
        <f t="shared" si="24"/>
        <v>5</v>
      </c>
      <c r="CO19" s="7"/>
      <c r="CP19" s="7"/>
      <c r="CQ19" s="7"/>
      <c r="CR19" s="39">
        <f t="shared" si="25"/>
        <v>0</v>
      </c>
      <c r="CS19" s="7">
        <v>1.0</v>
      </c>
      <c r="CT19" s="7">
        <v>1.0</v>
      </c>
      <c r="CU19" s="7">
        <v>1.0</v>
      </c>
      <c r="CV19" s="39">
        <f t="shared" si="26"/>
        <v>5</v>
      </c>
      <c r="CW19" s="7"/>
      <c r="CX19" s="7"/>
      <c r="CY19" s="7"/>
      <c r="CZ19" s="39">
        <f t="shared" si="27"/>
        <v>0</v>
      </c>
      <c r="DA19" s="7"/>
      <c r="DB19" s="7"/>
      <c r="DC19" s="7"/>
      <c r="DD19" s="39">
        <f t="shared" si="28"/>
        <v>0</v>
      </c>
      <c r="DE19" s="7"/>
      <c r="DF19" s="7"/>
      <c r="DG19" s="7"/>
      <c r="DH19" s="39">
        <f t="shared" si="29"/>
        <v>0</v>
      </c>
      <c r="DI19" s="7"/>
      <c r="DJ19" s="7"/>
      <c r="DK19" s="7"/>
      <c r="DL19" s="39">
        <f t="shared" si="30"/>
        <v>0</v>
      </c>
      <c r="DM19" s="7"/>
      <c r="DN19" s="7"/>
      <c r="DO19" s="7"/>
      <c r="DP19" s="39">
        <f t="shared" si="31"/>
        <v>0</v>
      </c>
      <c r="DQ19" s="7"/>
      <c r="DR19" s="7"/>
      <c r="DS19" s="7"/>
      <c r="DT19" s="39">
        <f t="shared" si="32"/>
        <v>0</v>
      </c>
      <c r="DU19" s="7"/>
      <c r="DV19" s="7"/>
      <c r="DW19" s="7"/>
      <c r="DX19" s="39">
        <f t="shared" si="33"/>
        <v>0</v>
      </c>
      <c r="DY19" s="7"/>
      <c r="DZ19" s="7"/>
      <c r="EA19" s="7"/>
      <c r="EB19" s="39">
        <f t="shared" si="34"/>
        <v>0</v>
      </c>
      <c r="EC19" s="7"/>
      <c r="ED19" s="7"/>
      <c r="EE19" s="7"/>
      <c r="EF19" s="39">
        <f t="shared" si="35"/>
        <v>0</v>
      </c>
      <c r="EG19" s="7"/>
      <c r="EH19" s="7"/>
      <c r="EI19" s="7"/>
      <c r="EJ19" s="39">
        <f t="shared" si="36"/>
        <v>0</v>
      </c>
      <c r="EK19" s="7"/>
      <c r="EL19" s="7"/>
      <c r="EM19" s="7"/>
      <c r="EN19" s="39">
        <f t="shared" si="37"/>
        <v>0</v>
      </c>
      <c r="EO19" s="7"/>
      <c r="EP19" s="7"/>
      <c r="EQ19" s="7"/>
      <c r="ER19" s="39">
        <f t="shared" si="38"/>
        <v>0</v>
      </c>
      <c r="ES19" s="7"/>
      <c r="ET19" s="7"/>
      <c r="EU19" s="7"/>
      <c r="EV19" s="39">
        <f t="shared" si="39"/>
        <v>0</v>
      </c>
      <c r="EW19" s="7"/>
      <c r="EX19" s="7"/>
      <c r="EY19" s="7"/>
      <c r="EZ19" s="39">
        <f t="shared" si="40"/>
        <v>0</v>
      </c>
      <c r="FA19" s="7"/>
      <c r="FB19" s="7"/>
      <c r="FC19" s="7"/>
      <c r="FD19" s="39">
        <f t="shared" si="41"/>
        <v>0</v>
      </c>
      <c r="FE19" s="7"/>
      <c r="FF19" s="7"/>
      <c r="FG19" s="7"/>
      <c r="FH19" s="39">
        <f t="shared" si="42"/>
        <v>0</v>
      </c>
      <c r="FI19" s="7"/>
      <c r="FJ19" s="7"/>
      <c r="FK19" s="7"/>
      <c r="FL19" s="39">
        <f t="shared" si="43"/>
        <v>0</v>
      </c>
      <c r="FM19" s="7"/>
      <c r="FN19" s="7"/>
      <c r="FO19" s="7"/>
      <c r="FP19" s="39">
        <f t="shared" si="44"/>
        <v>0</v>
      </c>
      <c r="FQ19" s="7"/>
      <c r="FR19" s="7"/>
      <c r="FS19" s="7"/>
      <c r="FT19" s="39">
        <f t="shared" si="45"/>
        <v>0</v>
      </c>
      <c r="FU19" s="7"/>
      <c r="FV19" s="7"/>
      <c r="FW19" s="7"/>
      <c r="FX19" s="39">
        <f t="shared" si="46"/>
        <v>0</v>
      </c>
      <c r="FY19" s="7"/>
      <c r="FZ19" s="7"/>
      <c r="GA19" s="7"/>
      <c r="GB19" s="39">
        <f t="shared" si="47"/>
        <v>0</v>
      </c>
      <c r="GC19" s="7"/>
      <c r="GD19" s="7"/>
      <c r="GE19" s="7"/>
      <c r="GF19" s="39">
        <f t="shared" si="48"/>
        <v>0</v>
      </c>
      <c r="GG19" s="7"/>
      <c r="GH19" s="7"/>
      <c r="GI19" s="7"/>
      <c r="GJ19" s="39">
        <f t="shared" si="49"/>
        <v>0</v>
      </c>
      <c r="GK19" s="7"/>
      <c r="GL19" s="7"/>
      <c r="GM19" s="7"/>
      <c r="GN19" s="39">
        <f t="shared" si="50"/>
        <v>0</v>
      </c>
      <c r="GO19" s="7"/>
      <c r="GP19" s="7"/>
      <c r="GQ19" s="7"/>
      <c r="GR19" s="39">
        <f t="shared" si="51"/>
        <v>0</v>
      </c>
      <c r="GS19" s="7"/>
      <c r="GT19" s="7"/>
      <c r="GU19" s="7"/>
      <c r="GV19" s="39">
        <f t="shared" si="52"/>
        <v>0</v>
      </c>
      <c r="GW19" s="7"/>
      <c r="GX19" s="7"/>
      <c r="GY19" s="7"/>
      <c r="GZ19" s="39">
        <f t="shared" si="53"/>
        <v>0</v>
      </c>
      <c r="HA19" s="7"/>
      <c r="HB19" s="7"/>
      <c r="HC19" s="7"/>
      <c r="HD19" s="39">
        <f t="shared" si="54"/>
        <v>0</v>
      </c>
      <c r="HE19" s="7"/>
      <c r="HF19" s="7"/>
      <c r="HG19" s="7"/>
      <c r="HH19" s="39">
        <f t="shared" si="65"/>
        <v>0</v>
      </c>
    </row>
    <row r="20">
      <c r="A20" s="20" t="s">
        <v>106</v>
      </c>
      <c r="B20" s="21" t="s">
        <v>107</v>
      </c>
      <c r="C20" s="1">
        <f t="shared" si="1"/>
        <v>18</v>
      </c>
      <c r="D20" s="15">
        <f>VLOOKUP(A20,TDP!A:C,3,FALSE)</f>
        <v>0.19</v>
      </c>
      <c r="E20" s="37">
        <f t="shared" si="2"/>
        <v>91.63</v>
      </c>
      <c r="F20" s="1">
        <f>VLOOKUP($A20,Valoracion!$A:$J,9,FALSE)</f>
        <v>2</v>
      </c>
      <c r="G20" s="7"/>
      <c r="H20" s="39">
        <f t="shared" si="58"/>
        <v>0</v>
      </c>
      <c r="I20" s="7"/>
      <c r="J20" s="7"/>
      <c r="K20" s="7"/>
      <c r="L20" s="39">
        <f t="shared" si="59"/>
        <v>0</v>
      </c>
      <c r="M20" s="7">
        <v>1.0</v>
      </c>
      <c r="N20" s="7">
        <v>1.0</v>
      </c>
      <c r="O20" s="7">
        <v>1.0</v>
      </c>
      <c r="P20" s="39">
        <f t="shared" si="60"/>
        <v>5</v>
      </c>
      <c r="Q20" s="7"/>
      <c r="R20" s="7"/>
      <c r="S20" s="7"/>
      <c r="T20" s="39">
        <f t="shared" si="6"/>
        <v>0</v>
      </c>
      <c r="U20" s="7"/>
      <c r="V20" s="7"/>
      <c r="W20" s="7"/>
      <c r="X20" s="39">
        <f t="shared" si="7"/>
        <v>0</v>
      </c>
      <c r="Y20" s="41"/>
      <c r="Z20" s="41"/>
      <c r="AA20" s="41"/>
      <c r="AB20" s="42">
        <f t="shared" si="8"/>
        <v>0</v>
      </c>
      <c r="AC20" s="7">
        <v>1.0</v>
      </c>
      <c r="AD20" s="7">
        <v>1.0</v>
      </c>
      <c r="AE20" s="7"/>
      <c r="AF20" s="39">
        <f t="shared" si="63"/>
        <v>3</v>
      </c>
      <c r="AG20" s="7"/>
      <c r="AH20" s="7"/>
      <c r="AI20" s="7">
        <v>1.0</v>
      </c>
      <c r="AJ20" s="39">
        <f t="shared" si="10"/>
        <v>7</v>
      </c>
      <c r="AK20" s="7"/>
      <c r="AL20" s="7"/>
      <c r="AM20" s="7"/>
      <c r="AN20" s="39">
        <f t="shared" si="11"/>
        <v>0</v>
      </c>
      <c r="AO20" s="7"/>
      <c r="AP20" s="7"/>
      <c r="AQ20" s="7"/>
      <c r="AR20" s="39">
        <f t="shared" si="12"/>
        <v>0</v>
      </c>
      <c r="AS20" s="7"/>
      <c r="AT20" s="7"/>
      <c r="AU20" s="7"/>
      <c r="AV20" s="39">
        <f t="shared" si="57"/>
        <v>0</v>
      </c>
      <c r="AW20" s="7"/>
      <c r="AX20" s="7"/>
      <c r="AY20" s="7"/>
      <c r="AZ20" s="39">
        <f t="shared" si="66"/>
        <v>0</v>
      </c>
      <c r="BA20" s="7"/>
      <c r="BB20" s="7"/>
      <c r="BC20" s="7"/>
      <c r="BD20" s="39">
        <f t="shared" si="15"/>
        <v>0</v>
      </c>
      <c r="BE20" s="7"/>
      <c r="BF20" s="7"/>
      <c r="BG20" s="7"/>
      <c r="BH20" s="39">
        <f t="shared" si="16"/>
        <v>0</v>
      </c>
      <c r="BI20" s="7"/>
      <c r="BJ20" s="7"/>
      <c r="BK20" s="7"/>
      <c r="BL20" s="39">
        <f t="shared" si="64"/>
        <v>0</v>
      </c>
      <c r="BM20" s="7"/>
      <c r="BN20" s="7"/>
      <c r="BO20" s="7"/>
      <c r="BP20" s="39">
        <f t="shared" si="18"/>
        <v>0</v>
      </c>
      <c r="BQ20" s="7"/>
      <c r="BR20" s="7"/>
      <c r="BS20" s="7"/>
      <c r="BT20" s="39">
        <f t="shared" si="62"/>
        <v>0</v>
      </c>
      <c r="BU20" s="7"/>
      <c r="BV20" s="7"/>
      <c r="BW20" s="7"/>
      <c r="BX20" s="39">
        <f t="shared" si="20"/>
        <v>0</v>
      </c>
      <c r="BY20" s="7"/>
      <c r="BZ20" s="7"/>
      <c r="CA20" s="7"/>
      <c r="CB20" s="39">
        <f t="shared" si="67"/>
        <v>0</v>
      </c>
      <c r="CC20" s="7"/>
      <c r="CD20" s="7"/>
      <c r="CE20" s="7"/>
      <c r="CF20" s="39">
        <f t="shared" si="22"/>
        <v>0</v>
      </c>
      <c r="CG20" s="7"/>
      <c r="CH20" s="7"/>
      <c r="CI20" s="7"/>
      <c r="CJ20" s="39">
        <f t="shared" si="23"/>
        <v>0</v>
      </c>
      <c r="CK20" s="7">
        <v>1.0</v>
      </c>
      <c r="CL20" s="7">
        <v>1.0</v>
      </c>
      <c r="CM20" s="7">
        <v>1.0</v>
      </c>
      <c r="CN20" s="39">
        <f t="shared" si="24"/>
        <v>5</v>
      </c>
      <c r="CO20" s="7"/>
      <c r="CP20" s="7"/>
      <c r="CQ20" s="7"/>
      <c r="CR20" s="39">
        <f t="shared" si="25"/>
        <v>0</v>
      </c>
      <c r="CS20" s="7">
        <v>1.0</v>
      </c>
      <c r="CT20" s="7">
        <v>1.0</v>
      </c>
      <c r="CU20" s="7">
        <v>1.0</v>
      </c>
      <c r="CV20" s="39">
        <f t="shared" si="26"/>
        <v>5</v>
      </c>
      <c r="CW20" s="7"/>
      <c r="CX20" s="7"/>
      <c r="CY20" s="7"/>
      <c r="CZ20" s="39">
        <f t="shared" si="27"/>
        <v>0</v>
      </c>
      <c r="DA20" s="7"/>
      <c r="DB20" s="7"/>
      <c r="DC20" s="7"/>
      <c r="DD20" s="39">
        <f t="shared" si="28"/>
        <v>0</v>
      </c>
      <c r="DE20" s="7">
        <v>1.0</v>
      </c>
      <c r="DF20" s="7">
        <v>1.0</v>
      </c>
      <c r="DG20" s="7"/>
      <c r="DH20" s="39">
        <f t="shared" si="29"/>
        <v>3</v>
      </c>
      <c r="DI20" s="7">
        <v>1.0</v>
      </c>
      <c r="DJ20" s="7">
        <v>1.0</v>
      </c>
      <c r="DK20" s="7"/>
      <c r="DL20" s="39">
        <f t="shared" si="30"/>
        <v>3</v>
      </c>
      <c r="DM20" s="7">
        <v>1.0</v>
      </c>
      <c r="DN20" s="7">
        <v>1.0</v>
      </c>
      <c r="DO20" s="7">
        <v>1.0</v>
      </c>
      <c r="DP20" s="39">
        <f t="shared" si="31"/>
        <v>5</v>
      </c>
      <c r="DQ20" s="7"/>
      <c r="DR20" s="7"/>
      <c r="DS20" s="7"/>
      <c r="DT20" s="39">
        <f t="shared" si="32"/>
        <v>0</v>
      </c>
      <c r="DU20" s="7"/>
      <c r="DV20" s="7"/>
      <c r="DW20" s="7"/>
      <c r="DX20" s="39">
        <f t="shared" si="33"/>
        <v>0</v>
      </c>
      <c r="DY20" s="7"/>
      <c r="DZ20" s="7"/>
      <c r="EA20" s="7"/>
      <c r="EB20" s="39">
        <f t="shared" si="34"/>
        <v>0</v>
      </c>
      <c r="EC20" s="7"/>
      <c r="ED20" s="7"/>
      <c r="EE20" s="7"/>
      <c r="EF20" s="39">
        <f t="shared" si="35"/>
        <v>0</v>
      </c>
      <c r="EG20" s="7"/>
      <c r="EH20" s="7"/>
      <c r="EI20" s="7"/>
      <c r="EJ20" s="39">
        <f t="shared" si="36"/>
        <v>0</v>
      </c>
      <c r="EK20" s="7">
        <v>1.0</v>
      </c>
      <c r="EL20" s="7">
        <v>1.0</v>
      </c>
      <c r="EM20" s="7">
        <v>1.0</v>
      </c>
      <c r="EN20" s="39">
        <f t="shared" si="37"/>
        <v>5</v>
      </c>
      <c r="EO20" s="7"/>
      <c r="EP20" s="7"/>
      <c r="EQ20" s="7"/>
      <c r="ER20" s="39">
        <f t="shared" si="38"/>
        <v>0</v>
      </c>
      <c r="ES20" s="7"/>
      <c r="ET20" s="7"/>
      <c r="EU20" s="7"/>
      <c r="EV20" s="39">
        <f t="shared" si="39"/>
        <v>0</v>
      </c>
      <c r="EW20" s="7"/>
      <c r="EX20" s="7"/>
      <c r="EY20" s="7"/>
      <c r="EZ20" s="39">
        <f t="shared" si="40"/>
        <v>0</v>
      </c>
      <c r="FA20" s="7">
        <v>1.0</v>
      </c>
      <c r="FB20" s="7">
        <v>1.0</v>
      </c>
      <c r="FC20" s="7">
        <v>1.0</v>
      </c>
      <c r="FD20" s="39">
        <f t="shared" si="41"/>
        <v>5</v>
      </c>
      <c r="FE20" s="7">
        <v>1.0</v>
      </c>
      <c r="FF20" s="7">
        <v>1.0</v>
      </c>
      <c r="FG20" s="7"/>
      <c r="FH20" s="39">
        <f t="shared" si="42"/>
        <v>3</v>
      </c>
      <c r="FI20" s="7">
        <v>1.0</v>
      </c>
      <c r="FJ20" s="7">
        <v>1.0</v>
      </c>
      <c r="FK20" s="7">
        <v>1.0</v>
      </c>
      <c r="FL20" s="39">
        <f t="shared" si="43"/>
        <v>5</v>
      </c>
      <c r="FM20" s="7"/>
      <c r="FN20" s="7"/>
      <c r="FO20" s="7"/>
      <c r="FP20" s="39">
        <f t="shared" si="44"/>
        <v>0</v>
      </c>
      <c r="FQ20" s="7">
        <v>1.0</v>
      </c>
      <c r="FR20" s="7">
        <v>1.0</v>
      </c>
      <c r="FS20" s="7">
        <v>1.0</v>
      </c>
      <c r="FT20" s="39">
        <f t="shared" si="45"/>
        <v>5</v>
      </c>
      <c r="FU20" s="7">
        <v>1.0</v>
      </c>
      <c r="FV20" s="7">
        <v>1.0</v>
      </c>
      <c r="FW20" s="7"/>
      <c r="FX20" s="39">
        <f t="shared" si="46"/>
        <v>3</v>
      </c>
      <c r="FY20" s="7">
        <v>1.0</v>
      </c>
      <c r="FZ20" s="7">
        <v>1.0</v>
      </c>
      <c r="GA20" s="7"/>
      <c r="GB20" s="39">
        <f t="shared" si="47"/>
        <v>3</v>
      </c>
      <c r="GC20" s="7">
        <v>1.0</v>
      </c>
      <c r="GD20" s="7">
        <v>1.0</v>
      </c>
      <c r="GE20" s="7"/>
      <c r="GF20" s="39">
        <f t="shared" si="48"/>
        <v>3</v>
      </c>
      <c r="GG20" s="7">
        <v>1.0</v>
      </c>
      <c r="GH20" s="7">
        <v>1.0</v>
      </c>
      <c r="GI20" s="7"/>
      <c r="GJ20" s="39">
        <f t="shared" si="49"/>
        <v>3</v>
      </c>
      <c r="GK20" s="7">
        <v>1.0</v>
      </c>
      <c r="GL20" s="7">
        <v>1.0</v>
      </c>
      <c r="GM20" s="7"/>
      <c r="GN20" s="39">
        <f t="shared" si="50"/>
        <v>3</v>
      </c>
      <c r="GO20" s="7"/>
      <c r="GP20" s="7"/>
      <c r="GQ20" s="7"/>
      <c r="GR20" s="39">
        <f t="shared" si="51"/>
        <v>0</v>
      </c>
      <c r="GS20" s="7"/>
      <c r="GT20" s="7"/>
      <c r="GU20" s="7"/>
      <c r="GV20" s="39">
        <f t="shared" si="52"/>
        <v>0</v>
      </c>
      <c r="GW20" s="7"/>
      <c r="GX20" s="7"/>
      <c r="GY20" s="7"/>
      <c r="GZ20" s="39">
        <f t="shared" si="53"/>
        <v>0</v>
      </c>
      <c r="HA20" s="7">
        <v>1.0</v>
      </c>
      <c r="HB20" s="7">
        <v>1.0</v>
      </c>
      <c r="HC20" s="7"/>
      <c r="HD20" s="39">
        <f t="shared" si="54"/>
        <v>3</v>
      </c>
      <c r="HE20" s="7"/>
      <c r="HF20" s="7"/>
      <c r="HG20" s="7"/>
      <c r="HH20" s="39">
        <f t="shared" si="65"/>
        <v>0</v>
      </c>
    </row>
    <row r="21">
      <c r="A21" s="20" t="s">
        <v>126</v>
      </c>
      <c r="B21" s="21"/>
      <c r="C21" s="1">
        <f t="shared" si="1"/>
        <v>19</v>
      </c>
      <c r="D21" s="15">
        <f>VLOOKUP(A21,TDP!A:C,3,FALSE)</f>
        <v>0.12</v>
      </c>
      <c r="E21" s="37">
        <f t="shared" si="2"/>
        <v>69.44</v>
      </c>
      <c r="F21" s="1">
        <f>VLOOKUP($A21,Valoracion!$A:$J,9,FALSE)</f>
        <v>3</v>
      </c>
      <c r="G21" s="7"/>
      <c r="H21" s="39">
        <f t="shared" si="58"/>
        <v>0</v>
      </c>
      <c r="I21" s="7"/>
      <c r="J21" s="7"/>
      <c r="K21" s="7"/>
      <c r="L21" s="39">
        <f t="shared" si="59"/>
        <v>0</v>
      </c>
      <c r="M21" s="7"/>
      <c r="N21" s="7"/>
      <c r="O21" s="7"/>
      <c r="P21" s="39">
        <f t="shared" si="60"/>
        <v>0</v>
      </c>
      <c r="Q21" s="7"/>
      <c r="R21" s="7"/>
      <c r="S21" s="7"/>
      <c r="T21" s="39">
        <f t="shared" si="6"/>
        <v>0</v>
      </c>
      <c r="U21" s="7"/>
      <c r="V21" s="7"/>
      <c r="W21" s="7"/>
      <c r="X21" s="39">
        <f t="shared" si="7"/>
        <v>0</v>
      </c>
      <c r="Y21" s="41"/>
      <c r="Z21" s="41"/>
      <c r="AA21" s="41"/>
      <c r="AB21" s="42">
        <f t="shared" si="8"/>
        <v>0</v>
      </c>
      <c r="AC21" s="7"/>
      <c r="AD21" s="7"/>
      <c r="AE21" s="7"/>
      <c r="AF21" s="39">
        <f t="shared" si="63"/>
        <v>0</v>
      </c>
      <c r="AG21" s="7"/>
      <c r="AH21" s="7"/>
      <c r="AI21" s="7"/>
      <c r="AJ21" s="39">
        <f t="shared" si="10"/>
        <v>0</v>
      </c>
      <c r="AK21" s="7"/>
      <c r="AL21" s="7"/>
      <c r="AM21" s="7"/>
      <c r="AN21" s="39">
        <f t="shared" si="11"/>
        <v>0</v>
      </c>
      <c r="AO21" s="7"/>
      <c r="AP21" s="7"/>
      <c r="AQ21" s="7"/>
      <c r="AR21" s="39">
        <f t="shared" si="12"/>
        <v>0</v>
      </c>
      <c r="AS21" s="7"/>
      <c r="AT21" s="7"/>
      <c r="AU21" s="7"/>
      <c r="AV21" s="39">
        <f t="shared" si="57"/>
        <v>0</v>
      </c>
      <c r="AW21" s="7"/>
      <c r="AX21" s="7"/>
      <c r="AY21" s="7"/>
      <c r="AZ21" s="39">
        <f t="shared" si="66"/>
        <v>0</v>
      </c>
      <c r="BA21" s="7"/>
      <c r="BB21" s="7"/>
      <c r="BC21" s="7"/>
      <c r="BD21" s="39">
        <f t="shared" si="15"/>
        <v>0</v>
      </c>
      <c r="BE21" s="7"/>
      <c r="BF21" s="7"/>
      <c r="BG21" s="7"/>
      <c r="BH21" s="39">
        <f t="shared" si="16"/>
        <v>0</v>
      </c>
      <c r="BI21" s="7"/>
      <c r="BJ21" s="7"/>
      <c r="BK21" s="7"/>
      <c r="BL21" s="39">
        <f t="shared" si="64"/>
        <v>0</v>
      </c>
      <c r="BM21" s="7"/>
      <c r="BN21" s="7"/>
      <c r="BO21" s="7"/>
      <c r="BP21" s="39">
        <f t="shared" si="18"/>
        <v>0</v>
      </c>
      <c r="BQ21" s="7"/>
      <c r="BR21" s="7"/>
      <c r="BS21" s="7"/>
      <c r="BT21" s="39">
        <f t="shared" si="62"/>
        <v>0</v>
      </c>
      <c r="BU21" s="7"/>
      <c r="BV21" s="7"/>
      <c r="BW21" s="7"/>
      <c r="BX21" s="39">
        <f t="shared" si="20"/>
        <v>0</v>
      </c>
      <c r="BY21" s="7"/>
      <c r="BZ21" s="7"/>
      <c r="CA21" s="7"/>
      <c r="CB21" s="39">
        <f t="shared" si="67"/>
        <v>0</v>
      </c>
      <c r="CC21" s="7"/>
      <c r="CD21" s="7"/>
      <c r="CE21" s="7"/>
      <c r="CF21" s="39">
        <f t="shared" si="22"/>
        <v>0</v>
      </c>
      <c r="CG21" s="7"/>
      <c r="CH21" s="7"/>
      <c r="CI21" s="7"/>
      <c r="CJ21" s="39">
        <f t="shared" si="23"/>
        <v>0</v>
      </c>
      <c r="CK21" s="7"/>
      <c r="CL21" s="7"/>
      <c r="CM21" s="7"/>
      <c r="CN21" s="39">
        <f t="shared" si="24"/>
        <v>0</v>
      </c>
      <c r="CO21" s="7"/>
      <c r="CP21" s="7"/>
      <c r="CQ21" s="7"/>
      <c r="CR21" s="39">
        <f t="shared" si="25"/>
        <v>0</v>
      </c>
      <c r="CS21" s="7"/>
      <c r="CT21" s="7"/>
      <c r="CU21" s="7"/>
      <c r="CV21" s="39">
        <f t="shared" si="26"/>
        <v>0</v>
      </c>
      <c r="CW21" s="7"/>
      <c r="CX21" s="7"/>
      <c r="CY21" s="7"/>
      <c r="CZ21" s="39">
        <f t="shared" si="27"/>
        <v>0</v>
      </c>
      <c r="DA21" s="7"/>
      <c r="DB21" s="7"/>
      <c r="DC21" s="7"/>
      <c r="DD21" s="39">
        <f t="shared" si="28"/>
        <v>0</v>
      </c>
      <c r="DE21" s="7"/>
      <c r="DF21" s="7"/>
      <c r="DG21" s="7"/>
      <c r="DH21" s="39">
        <f t="shared" si="29"/>
        <v>0</v>
      </c>
      <c r="DI21" s="7"/>
      <c r="DJ21" s="7"/>
      <c r="DK21" s="7"/>
      <c r="DL21" s="39">
        <f t="shared" si="30"/>
        <v>0</v>
      </c>
      <c r="DM21" s="7"/>
      <c r="DN21" s="7"/>
      <c r="DO21" s="7"/>
      <c r="DP21" s="39">
        <f t="shared" si="31"/>
        <v>0</v>
      </c>
      <c r="DQ21" s="7"/>
      <c r="DR21" s="7"/>
      <c r="DS21" s="7"/>
      <c r="DT21" s="39">
        <f t="shared" si="32"/>
        <v>0</v>
      </c>
      <c r="DU21" s="7"/>
      <c r="DV21" s="7"/>
      <c r="DW21" s="7"/>
      <c r="DX21" s="39">
        <f t="shared" si="33"/>
        <v>0</v>
      </c>
      <c r="DY21" s="7"/>
      <c r="DZ21" s="7"/>
      <c r="EA21" s="7"/>
      <c r="EB21" s="39">
        <f t="shared" si="34"/>
        <v>0</v>
      </c>
      <c r="EC21" s="7"/>
      <c r="ED21" s="7"/>
      <c r="EE21" s="7"/>
      <c r="EF21" s="39">
        <f t="shared" si="35"/>
        <v>0</v>
      </c>
      <c r="EG21" s="7"/>
      <c r="EH21" s="7"/>
      <c r="EI21" s="7"/>
      <c r="EJ21" s="39">
        <f t="shared" si="36"/>
        <v>0</v>
      </c>
      <c r="EK21" s="7"/>
      <c r="EL21" s="7"/>
      <c r="EM21" s="7"/>
      <c r="EN21" s="39">
        <f t="shared" si="37"/>
        <v>0</v>
      </c>
      <c r="EO21" s="7"/>
      <c r="EP21" s="7"/>
      <c r="EQ21" s="7"/>
      <c r="ER21" s="39">
        <f t="shared" si="38"/>
        <v>0</v>
      </c>
      <c r="ES21" s="7"/>
      <c r="ET21" s="7"/>
      <c r="EU21" s="7"/>
      <c r="EV21" s="39">
        <f t="shared" si="39"/>
        <v>0</v>
      </c>
      <c r="EW21" s="7"/>
      <c r="EX21" s="7"/>
      <c r="EY21" s="7"/>
      <c r="EZ21" s="39">
        <f t="shared" si="40"/>
        <v>0</v>
      </c>
      <c r="FA21" s="7">
        <v>1.0</v>
      </c>
      <c r="FB21" s="7">
        <v>1.0</v>
      </c>
      <c r="FC21" s="7">
        <v>1.0</v>
      </c>
      <c r="FD21" s="39">
        <f t="shared" si="41"/>
        <v>5</v>
      </c>
      <c r="FE21" s="7">
        <v>1.0</v>
      </c>
      <c r="FF21" s="7">
        <v>1.0</v>
      </c>
      <c r="FG21" s="7">
        <v>1.0</v>
      </c>
      <c r="FH21" s="39">
        <f t="shared" si="42"/>
        <v>5</v>
      </c>
      <c r="FI21" s="7">
        <v>1.0</v>
      </c>
      <c r="FJ21" s="7">
        <v>1.0</v>
      </c>
      <c r="FK21" s="7">
        <v>1.0</v>
      </c>
      <c r="FL21" s="39">
        <f t="shared" si="43"/>
        <v>5</v>
      </c>
      <c r="FM21" s="7">
        <v>1.0</v>
      </c>
      <c r="FN21" s="7">
        <v>1.0</v>
      </c>
      <c r="FO21" s="7"/>
      <c r="FP21" s="39">
        <f t="shared" si="44"/>
        <v>3</v>
      </c>
      <c r="FQ21" s="7">
        <v>1.0</v>
      </c>
      <c r="FR21" s="7">
        <v>1.0</v>
      </c>
      <c r="FS21" s="7">
        <v>1.0</v>
      </c>
      <c r="FT21" s="39">
        <f t="shared" si="45"/>
        <v>5</v>
      </c>
      <c r="FU21" s="7">
        <v>1.0</v>
      </c>
      <c r="FV21" s="7">
        <v>1.0</v>
      </c>
      <c r="FW21" s="7">
        <v>1.0</v>
      </c>
      <c r="FX21" s="39">
        <f t="shared" si="46"/>
        <v>5</v>
      </c>
      <c r="FY21" s="7">
        <v>1.0</v>
      </c>
      <c r="FZ21" s="7">
        <v>1.0</v>
      </c>
      <c r="GA21" s="7">
        <v>1.0</v>
      </c>
      <c r="GB21" s="39">
        <f t="shared" si="47"/>
        <v>5</v>
      </c>
      <c r="GC21" s="7">
        <v>1.0</v>
      </c>
      <c r="GD21" s="7">
        <v>1.0</v>
      </c>
      <c r="GE21" s="7"/>
      <c r="GF21" s="39">
        <f t="shared" si="48"/>
        <v>3</v>
      </c>
      <c r="GG21" s="7"/>
      <c r="GH21" s="7"/>
      <c r="GI21" s="7"/>
      <c r="GJ21" s="39">
        <f t="shared" si="49"/>
        <v>0</v>
      </c>
      <c r="GK21" s="7"/>
      <c r="GL21" s="7"/>
      <c r="GM21" s="7"/>
      <c r="GN21" s="39">
        <f t="shared" si="50"/>
        <v>0</v>
      </c>
      <c r="GO21" s="7">
        <v>1.0</v>
      </c>
      <c r="GP21" s="7">
        <v>1.0</v>
      </c>
      <c r="GQ21" s="7">
        <v>1.0</v>
      </c>
      <c r="GR21" s="39">
        <f t="shared" si="51"/>
        <v>5</v>
      </c>
      <c r="GS21" s="7"/>
      <c r="GT21" s="7"/>
      <c r="GU21" s="7">
        <v>1.0</v>
      </c>
      <c r="GV21" s="39">
        <f t="shared" si="52"/>
        <v>7</v>
      </c>
      <c r="GW21" s="7"/>
      <c r="GX21" s="7"/>
      <c r="GY21" s="7">
        <v>1.0</v>
      </c>
      <c r="GZ21" s="39">
        <f t="shared" si="53"/>
        <v>7</v>
      </c>
      <c r="HA21" s="7"/>
      <c r="HB21" s="7"/>
      <c r="HC21" s="7"/>
      <c r="HD21" s="39">
        <f t="shared" si="54"/>
        <v>0</v>
      </c>
      <c r="HE21" s="7"/>
      <c r="HF21" s="7"/>
      <c r="HG21" s="7">
        <v>1.0</v>
      </c>
      <c r="HH21" s="39">
        <f t="shared" si="65"/>
        <v>7</v>
      </c>
    </row>
    <row r="22">
      <c r="A22" s="20" t="s">
        <v>36</v>
      </c>
      <c r="B22" s="21" t="s">
        <v>37</v>
      </c>
      <c r="C22" s="1">
        <f t="shared" si="1"/>
        <v>20</v>
      </c>
      <c r="D22" s="15">
        <f>VLOOKUP(A22,TDP!A:C,3,FALSE)</f>
        <v>0.37</v>
      </c>
      <c r="E22" s="37">
        <f t="shared" si="2"/>
        <v>65.76</v>
      </c>
      <c r="F22" s="1">
        <f>VLOOKUP($A22,Valoracion!$A:$J,9,FALSE)</f>
        <v>4</v>
      </c>
      <c r="G22" s="7"/>
      <c r="H22" s="39">
        <f t="shared" si="58"/>
        <v>0</v>
      </c>
      <c r="I22" s="7">
        <v>1.0</v>
      </c>
      <c r="J22" s="7">
        <v>1.0</v>
      </c>
      <c r="K22" s="7">
        <v>1.0</v>
      </c>
      <c r="L22" s="39">
        <f t="shared" si="59"/>
        <v>5</v>
      </c>
      <c r="M22" s="7">
        <v>1.0</v>
      </c>
      <c r="N22" s="7">
        <v>1.0</v>
      </c>
      <c r="O22" s="7">
        <v>1.0</v>
      </c>
      <c r="P22" s="39">
        <f t="shared" si="60"/>
        <v>5</v>
      </c>
      <c r="Q22" s="7">
        <v>1.0</v>
      </c>
      <c r="R22" s="7">
        <v>1.0</v>
      </c>
      <c r="S22" s="7">
        <v>1.0</v>
      </c>
      <c r="T22" s="39">
        <f t="shared" si="6"/>
        <v>5</v>
      </c>
      <c r="U22" s="7">
        <v>1.0</v>
      </c>
      <c r="V22" s="7">
        <v>1.0</v>
      </c>
      <c r="W22" s="7">
        <v>1.0</v>
      </c>
      <c r="X22" s="39">
        <f t="shared" si="7"/>
        <v>5</v>
      </c>
      <c r="Y22" s="41"/>
      <c r="Z22" s="41"/>
      <c r="AA22" s="41"/>
      <c r="AB22" s="42">
        <f t="shared" si="8"/>
        <v>0</v>
      </c>
      <c r="AC22" s="7"/>
      <c r="AD22" s="7"/>
      <c r="AE22" s="7"/>
      <c r="AF22" s="39">
        <f t="shared" si="63"/>
        <v>0</v>
      </c>
      <c r="AG22" s="7">
        <v>1.0</v>
      </c>
      <c r="AH22" s="7">
        <v>1.0</v>
      </c>
      <c r="AI22" s="7">
        <v>1.0</v>
      </c>
      <c r="AJ22" s="39">
        <f t="shared" si="10"/>
        <v>5</v>
      </c>
      <c r="AK22" s="7">
        <v>1.0</v>
      </c>
      <c r="AL22" s="7">
        <v>1.0</v>
      </c>
      <c r="AM22" s="7">
        <v>1.0</v>
      </c>
      <c r="AN22" s="39">
        <f t="shared" si="11"/>
        <v>5</v>
      </c>
      <c r="AO22" s="7">
        <v>1.0</v>
      </c>
      <c r="AP22" s="7">
        <v>1.0</v>
      </c>
      <c r="AQ22" s="7">
        <v>1.0</v>
      </c>
      <c r="AR22" s="39">
        <f t="shared" si="12"/>
        <v>5</v>
      </c>
      <c r="AS22" s="7">
        <v>1.0</v>
      </c>
      <c r="AT22" s="7">
        <v>1.0</v>
      </c>
      <c r="AU22" s="7"/>
      <c r="AV22" s="39">
        <f t="shared" si="57"/>
        <v>3</v>
      </c>
      <c r="AW22" s="7"/>
      <c r="AX22" s="7"/>
      <c r="AY22" s="7"/>
      <c r="AZ22" s="39">
        <f t="shared" si="66"/>
        <v>0</v>
      </c>
      <c r="BA22" s="7"/>
      <c r="BB22" s="7"/>
      <c r="BC22" s="7"/>
      <c r="BD22" s="39">
        <f t="shared" si="15"/>
        <v>0</v>
      </c>
      <c r="BE22" s="7">
        <v>1.0</v>
      </c>
      <c r="BF22" s="7">
        <v>1.0</v>
      </c>
      <c r="BG22" s="7">
        <v>1.0</v>
      </c>
      <c r="BH22" s="39">
        <f t="shared" si="16"/>
        <v>5</v>
      </c>
      <c r="BI22" s="7"/>
      <c r="BJ22" s="7"/>
      <c r="BK22" s="7"/>
      <c r="BL22" s="39">
        <f t="shared" si="64"/>
        <v>0</v>
      </c>
      <c r="BM22" s="7">
        <v>1.0</v>
      </c>
      <c r="BN22" s="7">
        <v>1.0</v>
      </c>
      <c r="BO22" s="7">
        <v>1.0</v>
      </c>
      <c r="BP22" s="39">
        <f t="shared" si="18"/>
        <v>5</v>
      </c>
      <c r="BQ22" s="7"/>
      <c r="BR22" s="7"/>
      <c r="BS22" s="7"/>
      <c r="BT22" s="39">
        <f t="shared" si="62"/>
        <v>0</v>
      </c>
      <c r="BU22" s="7"/>
      <c r="BV22" s="7"/>
      <c r="BW22" s="7"/>
      <c r="BX22" s="39">
        <f t="shared" si="20"/>
        <v>0</v>
      </c>
      <c r="BY22" s="7"/>
      <c r="BZ22" s="7"/>
      <c r="CA22" s="7"/>
      <c r="CB22" s="39">
        <f t="shared" si="67"/>
        <v>0</v>
      </c>
      <c r="CC22" s="7"/>
      <c r="CD22" s="7"/>
      <c r="CE22" s="7"/>
      <c r="CF22" s="39">
        <f t="shared" si="22"/>
        <v>0</v>
      </c>
      <c r="CG22" s="7"/>
      <c r="CH22" s="7"/>
      <c r="CI22" s="7"/>
      <c r="CJ22" s="39">
        <f t="shared" si="23"/>
        <v>0</v>
      </c>
      <c r="CK22" s="7"/>
      <c r="CL22" s="7"/>
      <c r="CM22" s="7"/>
      <c r="CN22" s="39">
        <f t="shared" si="24"/>
        <v>0</v>
      </c>
      <c r="CO22" s="7"/>
      <c r="CP22" s="7"/>
      <c r="CQ22" s="7"/>
      <c r="CR22" s="39">
        <f t="shared" si="25"/>
        <v>0</v>
      </c>
      <c r="CS22" s="7"/>
      <c r="CT22" s="7"/>
      <c r="CU22" s="7"/>
      <c r="CV22" s="39">
        <f t="shared" si="26"/>
        <v>0</v>
      </c>
      <c r="CW22" s="7"/>
      <c r="CX22" s="7"/>
      <c r="CY22" s="7"/>
      <c r="CZ22" s="39">
        <f t="shared" si="27"/>
        <v>0</v>
      </c>
      <c r="DA22" s="7"/>
      <c r="DB22" s="7"/>
      <c r="DC22" s="7"/>
      <c r="DD22" s="39">
        <f t="shared" si="28"/>
        <v>0</v>
      </c>
      <c r="DE22" s="7"/>
      <c r="DF22" s="7"/>
      <c r="DG22" s="7"/>
      <c r="DH22" s="39">
        <f t="shared" si="29"/>
        <v>0</v>
      </c>
      <c r="DI22" s="7"/>
      <c r="DJ22" s="7"/>
      <c r="DK22" s="7"/>
      <c r="DL22" s="39">
        <f t="shared" si="30"/>
        <v>0</v>
      </c>
      <c r="DM22" s="7"/>
      <c r="DN22" s="7"/>
      <c r="DO22" s="7"/>
      <c r="DP22" s="39">
        <f t="shared" si="31"/>
        <v>0</v>
      </c>
      <c r="DQ22" s="7"/>
      <c r="DR22" s="7"/>
      <c r="DS22" s="7"/>
      <c r="DT22" s="39">
        <f t="shared" si="32"/>
        <v>0</v>
      </c>
      <c r="DU22" s="7"/>
      <c r="DV22" s="7"/>
      <c r="DW22" s="7"/>
      <c r="DX22" s="39">
        <f t="shared" si="33"/>
        <v>0</v>
      </c>
      <c r="DY22" s="7"/>
      <c r="DZ22" s="7"/>
      <c r="EA22" s="7"/>
      <c r="EB22" s="39">
        <f t="shared" si="34"/>
        <v>0</v>
      </c>
      <c r="EC22" s="7"/>
      <c r="ED22" s="7"/>
      <c r="EE22" s="7"/>
      <c r="EF22" s="39">
        <f t="shared" si="35"/>
        <v>0</v>
      </c>
      <c r="EG22" s="7"/>
      <c r="EH22" s="7"/>
      <c r="EI22" s="7"/>
      <c r="EJ22" s="39">
        <f t="shared" si="36"/>
        <v>0</v>
      </c>
      <c r="EK22" s="7"/>
      <c r="EL22" s="7"/>
      <c r="EM22" s="7"/>
      <c r="EN22" s="39">
        <f t="shared" si="37"/>
        <v>0</v>
      </c>
      <c r="EO22" s="7"/>
      <c r="EP22" s="7"/>
      <c r="EQ22" s="7"/>
      <c r="ER22" s="39">
        <f t="shared" si="38"/>
        <v>0</v>
      </c>
      <c r="ES22" s="7"/>
      <c r="ET22" s="7"/>
      <c r="EU22" s="7"/>
      <c r="EV22" s="39">
        <f t="shared" si="39"/>
        <v>0</v>
      </c>
      <c r="EW22" s="7"/>
      <c r="EX22" s="7"/>
      <c r="EY22" s="7"/>
      <c r="EZ22" s="39">
        <f t="shared" si="40"/>
        <v>0</v>
      </c>
      <c r="FA22" s="7"/>
      <c r="FB22" s="7"/>
      <c r="FC22" s="7"/>
      <c r="FD22" s="39">
        <f t="shared" si="41"/>
        <v>0</v>
      </c>
      <c r="FE22" s="7"/>
      <c r="FF22" s="7"/>
      <c r="FG22" s="7"/>
      <c r="FH22" s="39">
        <f t="shared" si="42"/>
        <v>0</v>
      </c>
      <c r="FI22" s="7"/>
      <c r="FJ22" s="7"/>
      <c r="FK22" s="7"/>
      <c r="FL22" s="39">
        <f t="shared" si="43"/>
        <v>0</v>
      </c>
      <c r="FM22" s="7"/>
      <c r="FN22" s="7"/>
      <c r="FO22" s="7"/>
      <c r="FP22" s="39">
        <f t="shared" si="44"/>
        <v>0</v>
      </c>
      <c r="FQ22" s="7"/>
      <c r="FR22" s="7"/>
      <c r="FS22" s="7"/>
      <c r="FT22" s="39">
        <f t="shared" si="45"/>
        <v>0</v>
      </c>
      <c r="FU22" s="7"/>
      <c r="FV22" s="7"/>
      <c r="FW22" s="7"/>
      <c r="FX22" s="39">
        <f t="shared" si="46"/>
        <v>0</v>
      </c>
      <c r="FY22" s="7"/>
      <c r="FZ22" s="7"/>
      <c r="GA22" s="7"/>
      <c r="GB22" s="39">
        <f t="shared" si="47"/>
        <v>0</v>
      </c>
      <c r="GC22" s="7"/>
      <c r="GD22" s="7"/>
      <c r="GE22" s="7"/>
      <c r="GF22" s="39">
        <f t="shared" si="48"/>
        <v>0</v>
      </c>
      <c r="GG22" s="7"/>
      <c r="GH22" s="7"/>
      <c r="GI22" s="7"/>
      <c r="GJ22" s="39">
        <f t="shared" si="49"/>
        <v>0</v>
      </c>
      <c r="GK22" s="7"/>
      <c r="GL22" s="7"/>
      <c r="GM22" s="7"/>
      <c r="GN22" s="39">
        <f t="shared" si="50"/>
        <v>0</v>
      </c>
      <c r="GO22" s="7"/>
      <c r="GP22" s="7"/>
      <c r="GQ22" s="7"/>
      <c r="GR22" s="39">
        <f t="shared" si="51"/>
        <v>0</v>
      </c>
      <c r="GS22" s="7"/>
      <c r="GT22" s="7"/>
      <c r="GU22" s="7"/>
      <c r="GV22" s="39">
        <f t="shared" si="52"/>
        <v>0</v>
      </c>
      <c r="GW22" s="7"/>
      <c r="GX22" s="7"/>
      <c r="GY22" s="7"/>
      <c r="GZ22" s="39">
        <f t="shared" si="53"/>
        <v>0</v>
      </c>
      <c r="HA22" s="7"/>
      <c r="HB22" s="7"/>
      <c r="HC22" s="7"/>
      <c r="HD22" s="39">
        <f t="shared" si="54"/>
        <v>0</v>
      </c>
      <c r="HE22" s="7"/>
      <c r="HF22" s="7"/>
      <c r="HG22" s="7"/>
      <c r="HH22" s="39">
        <f t="shared" si="65"/>
        <v>0</v>
      </c>
    </row>
    <row r="23">
      <c r="A23" s="4" t="s">
        <v>111</v>
      </c>
      <c r="B23" s="7" t="s">
        <v>112</v>
      </c>
      <c r="C23" s="1">
        <f t="shared" si="1"/>
        <v>21</v>
      </c>
      <c r="D23" s="15">
        <f>VLOOKUP(A23,TDP!A:C,3,FALSE)</f>
        <v>0.18</v>
      </c>
      <c r="E23" s="37">
        <f t="shared" si="2"/>
        <v>53.1</v>
      </c>
      <c r="F23" s="1">
        <f>VLOOKUP($A23,Valoracion!$A:$J,9,FALSE)</f>
        <v>4</v>
      </c>
      <c r="G23" s="7"/>
      <c r="H23" s="39">
        <f t="shared" si="58"/>
        <v>0</v>
      </c>
      <c r="I23" s="7"/>
      <c r="J23" s="7"/>
      <c r="K23" s="7"/>
      <c r="L23" s="39">
        <f t="shared" si="59"/>
        <v>0</v>
      </c>
      <c r="M23" s="7"/>
      <c r="N23" s="7"/>
      <c r="O23" s="7"/>
      <c r="P23" s="39">
        <f t="shared" si="60"/>
        <v>0</v>
      </c>
      <c r="Q23" s="7"/>
      <c r="R23" s="7"/>
      <c r="S23" s="7"/>
      <c r="T23" s="39">
        <f t="shared" si="6"/>
        <v>0</v>
      </c>
      <c r="U23" s="7"/>
      <c r="V23" s="7"/>
      <c r="W23" s="7"/>
      <c r="X23" s="39">
        <f t="shared" si="7"/>
        <v>0</v>
      </c>
      <c r="Y23" s="41"/>
      <c r="Z23" s="41"/>
      <c r="AA23" s="41"/>
      <c r="AB23" s="42">
        <f t="shared" si="8"/>
        <v>0</v>
      </c>
      <c r="AC23" s="7"/>
      <c r="AD23" s="7"/>
      <c r="AE23" s="7">
        <v>1.0</v>
      </c>
      <c r="AF23" s="39">
        <f t="shared" si="63"/>
        <v>7</v>
      </c>
      <c r="AG23" s="7"/>
      <c r="AH23" s="7"/>
      <c r="AI23" s="7">
        <v>1.0</v>
      </c>
      <c r="AJ23" s="39">
        <f t="shared" si="10"/>
        <v>7</v>
      </c>
      <c r="AK23" s="7"/>
      <c r="AL23" s="7"/>
      <c r="AM23" s="7"/>
      <c r="AN23" s="39">
        <f t="shared" si="11"/>
        <v>0</v>
      </c>
      <c r="AO23" s="7"/>
      <c r="AP23" s="7"/>
      <c r="AQ23" s="7"/>
      <c r="AR23" s="39">
        <f t="shared" si="12"/>
        <v>0</v>
      </c>
      <c r="AS23" s="7"/>
      <c r="AT23" s="7"/>
      <c r="AU23" s="7"/>
      <c r="AV23" s="39">
        <f t="shared" si="57"/>
        <v>0</v>
      </c>
      <c r="AW23" s="7"/>
      <c r="AX23" s="7"/>
      <c r="AY23" s="7"/>
      <c r="AZ23" s="39">
        <f t="shared" si="66"/>
        <v>0</v>
      </c>
      <c r="BA23" s="7"/>
      <c r="BB23" s="7"/>
      <c r="BC23" s="7"/>
      <c r="BD23" s="39">
        <f t="shared" si="15"/>
        <v>0</v>
      </c>
      <c r="BE23" s="7"/>
      <c r="BF23" s="7"/>
      <c r="BG23" s="7"/>
      <c r="BH23" s="39">
        <f t="shared" si="16"/>
        <v>0</v>
      </c>
      <c r="BI23" s="7"/>
      <c r="BJ23" s="7"/>
      <c r="BK23" s="7"/>
      <c r="BL23" s="39">
        <f t="shared" si="64"/>
        <v>0</v>
      </c>
      <c r="BM23" s="7"/>
      <c r="BN23" s="7"/>
      <c r="BO23" s="7"/>
      <c r="BP23" s="39">
        <f t="shared" si="18"/>
        <v>0</v>
      </c>
      <c r="BQ23" s="7"/>
      <c r="BR23" s="7"/>
      <c r="BS23" s="7"/>
      <c r="BT23" s="39">
        <f t="shared" si="62"/>
        <v>0</v>
      </c>
      <c r="BU23" s="7"/>
      <c r="BV23" s="7"/>
      <c r="BW23" s="7"/>
      <c r="BX23" s="39">
        <f t="shared" si="20"/>
        <v>0</v>
      </c>
      <c r="BY23" s="7"/>
      <c r="BZ23" s="7"/>
      <c r="CA23" s="7"/>
      <c r="CB23" s="39">
        <f t="shared" si="67"/>
        <v>0</v>
      </c>
      <c r="CC23" s="7"/>
      <c r="CD23" s="7"/>
      <c r="CE23" s="7"/>
      <c r="CF23" s="39">
        <f t="shared" si="22"/>
        <v>0</v>
      </c>
      <c r="CG23" s="7"/>
      <c r="CH23" s="7"/>
      <c r="CI23" s="7"/>
      <c r="CJ23" s="39">
        <f t="shared" si="23"/>
        <v>0</v>
      </c>
      <c r="CK23" s="7">
        <v>1.0</v>
      </c>
      <c r="CL23" s="7">
        <v>1.0</v>
      </c>
      <c r="CM23" s="7">
        <v>1.0</v>
      </c>
      <c r="CN23" s="39">
        <f t="shared" si="24"/>
        <v>5</v>
      </c>
      <c r="CO23" s="7">
        <v>1.0</v>
      </c>
      <c r="CP23" s="7">
        <v>1.0</v>
      </c>
      <c r="CQ23" s="7"/>
      <c r="CR23" s="39">
        <f t="shared" si="25"/>
        <v>3</v>
      </c>
      <c r="CS23" s="7">
        <v>1.0</v>
      </c>
      <c r="CT23" s="7">
        <v>1.0</v>
      </c>
      <c r="CU23" s="7">
        <v>1.0</v>
      </c>
      <c r="CV23" s="39">
        <f t="shared" si="26"/>
        <v>5</v>
      </c>
      <c r="CW23" s="7"/>
      <c r="CX23" s="7"/>
      <c r="CY23" s="7"/>
      <c r="CZ23" s="39">
        <f t="shared" si="27"/>
        <v>0</v>
      </c>
      <c r="DA23" s="7"/>
      <c r="DB23" s="7"/>
      <c r="DC23" s="7"/>
      <c r="DD23" s="39">
        <f t="shared" si="28"/>
        <v>0</v>
      </c>
      <c r="DE23" s="7"/>
      <c r="DF23" s="7"/>
      <c r="DG23" s="7"/>
      <c r="DH23" s="39">
        <f t="shared" si="29"/>
        <v>0</v>
      </c>
      <c r="DI23" s="7">
        <v>1.0</v>
      </c>
      <c r="DJ23" s="7">
        <v>1.0</v>
      </c>
      <c r="DK23" s="7"/>
      <c r="DL23" s="39">
        <f t="shared" si="30"/>
        <v>3</v>
      </c>
      <c r="DM23" s="7"/>
      <c r="DN23" s="7"/>
      <c r="DO23" s="7"/>
      <c r="DP23" s="39">
        <f t="shared" si="31"/>
        <v>0</v>
      </c>
      <c r="DQ23" s="7"/>
      <c r="DR23" s="7"/>
      <c r="DS23" s="7"/>
      <c r="DT23" s="39">
        <f t="shared" si="32"/>
        <v>0</v>
      </c>
      <c r="DU23" s="7">
        <v>1.0</v>
      </c>
      <c r="DV23" s="7">
        <v>1.0</v>
      </c>
      <c r="DW23" s="7"/>
      <c r="DX23" s="39">
        <f t="shared" si="33"/>
        <v>3</v>
      </c>
      <c r="DY23" s="7">
        <v>1.0</v>
      </c>
      <c r="DZ23" s="7">
        <v>1.0</v>
      </c>
      <c r="EA23" s="7"/>
      <c r="EB23" s="39">
        <f t="shared" si="34"/>
        <v>3</v>
      </c>
      <c r="EC23" s="7">
        <v>1.0</v>
      </c>
      <c r="ED23" s="7">
        <v>1.0</v>
      </c>
      <c r="EE23" s="7"/>
      <c r="EF23" s="39">
        <f t="shared" si="35"/>
        <v>3</v>
      </c>
      <c r="EG23" s="7">
        <v>1.0</v>
      </c>
      <c r="EH23" s="7">
        <v>1.0</v>
      </c>
      <c r="EI23" s="7"/>
      <c r="EJ23" s="39">
        <f t="shared" si="36"/>
        <v>3</v>
      </c>
      <c r="EK23" s="7"/>
      <c r="EL23" s="7"/>
      <c r="EM23" s="7"/>
      <c r="EN23" s="39">
        <f t="shared" si="37"/>
        <v>0</v>
      </c>
      <c r="EO23" s="7"/>
      <c r="EP23" s="7"/>
      <c r="EQ23" s="7"/>
      <c r="ER23" s="39">
        <f t="shared" si="38"/>
        <v>0</v>
      </c>
      <c r="ES23" s="7"/>
      <c r="ET23" s="7"/>
      <c r="EU23" s="7"/>
      <c r="EV23" s="39">
        <f t="shared" si="39"/>
        <v>0</v>
      </c>
      <c r="EW23" s="7"/>
      <c r="EX23" s="7"/>
      <c r="EY23" s="7"/>
      <c r="EZ23" s="39">
        <f t="shared" si="40"/>
        <v>0</v>
      </c>
      <c r="FA23" s="7"/>
      <c r="FB23" s="7"/>
      <c r="FC23" s="7"/>
      <c r="FD23" s="39">
        <f t="shared" si="41"/>
        <v>0</v>
      </c>
      <c r="FE23" s="7"/>
      <c r="FF23" s="7"/>
      <c r="FG23" s="7"/>
      <c r="FH23" s="39">
        <f t="shared" si="42"/>
        <v>0</v>
      </c>
      <c r="FI23" s="7"/>
      <c r="FJ23" s="7"/>
      <c r="FK23" s="7"/>
      <c r="FL23" s="39">
        <f t="shared" si="43"/>
        <v>0</v>
      </c>
      <c r="FM23" s="7"/>
      <c r="FN23" s="7"/>
      <c r="FO23" s="7"/>
      <c r="FP23" s="39">
        <f t="shared" si="44"/>
        <v>0</v>
      </c>
      <c r="FQ23" s="7"/>
      <c r="FR23" s="7"/>
      <c r="FS23" s="7"/>
      <c r="FT23" s="39">
        <f t="shared" si="45"/>
        <v>0</v>
      </c>
      <c r="FU23" s="7"/>
      <c r="FV23" s="7"/>
      <c r="FW23" s="7"/>
      <c r="FX23" s="39">
        <f t="shared" si="46"/>
        <v>0</v>
      </c>
      <c r="FY23" s="7"/>
      <c r="FZ23" s="7"/>
      <c r="GA23" s="7"/>
      <c r="GB23" s="39">
        <f t="shared" si="47"/>
        <v>0</v>
      </c>
      <c r="GC23" s="7"/>
      <c r="GD23" s="7"/>
      <c r="GE23" s="7"/>
      <c r="GF23" s="39">
        <f t="shared" si="48"/>
        <v>0</v>
      </c>
      <c r="GG23" s="7"/>
      <c r="GH23" s="7"/>
      <c r="GI23" s="7"/>
      <c r="GJ23" s="39">
        <f t="shared" si="49"/>
        <v>0</v>
      </c>
      <c r="GK23" s="7">
        <v>1.0</v>
      </c>
      <c r="GL23" s="7">
        <v>1.0</v>
      </c>
      <c r="GM23" s="7"/>
      <c r="GN23" s="39">
        <f t="shared" si="50"/>
        <v>3</v>
      </c>
      <c r="GO23" s="7"/>
      <c r="GP23" s="7"/>
      <c r="GQ23" s="7"/>
      <c r="GR23" s="39">
        <f t="shared" si="51"/>
        <v>0</v>
      </c>
      <c r="GS23" s="7"/>
      <c r="GT23" s="7"/>
      <c r="GU23" s="7"/>
      <c r="GV23" s="39">
        <f t="shared" si="52"/>
        <v>0</v>
      </c>
      <c r="GW23" s="7"/>
      <c r="GX23" s="7"/>
      <c r="GY23" s="7"/>
      <c r="GZ23" s="39">
        <f t="shared" si="53"/>
        <v>0</v>
      </c>
      <c r="HA23" s="7"/>
      <c r="HB23" s="7"/>
      <c r="HC23" s="7"/>
      <c r="HD23" s="39">
        <f t="shared" si="54"/>
        <v>0</v>
      </c>
      <c r="HE23" s="7"/>
      <c r="HF23" s="7"/>
      <c r="HG23" s="7"/>
      <c r="HH23" s="39">
        <f t="shared" si="65"/>
        <v>0</v>
      </c>
    </row>
    <row r="24">
      <c r="A24" s="20" t="s">
        <v>113</v>
      </c>
      <c r="B24" s="21" t="s">
        <v>114</v>
      </c>
      <c r="C24" s="1">
        <f t="shared" si="1"/>
        <v>22</v>
      </c>
      <c r="D24" s="15">
        <f>VLOOKUP(A24,TDP!A:C,3,FALSE)</f>
        <v>0.18</v>
      </c>
      <c r="E24" s="37">
        <f t="shared" si="2"/>
        <v>43.66</v>
      </c>
      <c r="F24" s="1">
        <f>VLOOKUP($A24,Valoracion!$A:$J,9,FALSE)</f>
        <v>3</v>
      </c>
      <c r="G24" s="7"/>
      <c r="H24" s="39">
        <f t="shared" si="58"/>
        <v>0</v>
      </c>
      <c r="I24" s="7"/>
      <c r="J24" s="7"/>
      <c r="K24" s="7"/>
      <c r="L24" s="39">
        <f t="shared" si="59"/>
        <v>0</v>
      </c>
      <c r="M24" s="7"/>
      <c r="N24" s="7"/>
      <c r="O24" s="7"/>
      <c r="P24" s="39">
        <f t="shared" si="60"/>
        <v>0</v>
      </c>
      <c r="Q24" s="7"/>
      <c r="R24" s="7"/>
      <c r="S24" s="7"/>
      <c r="T24" s="39">
        <f t="shared" si="6"/>
        <v>0</v>
      </c>
      <c r="U24" s="7"/>
      <c r="V24" s="7"/>
      <c r="W24" s="7"/>
      <c r="X24" s="39">
        <f t="shared" si="7"/>
        <v>0</v>
      </c>
      <c r="Y24" s="41"/>
      <c r="Z24" s="41"/>
      <c r="AA24" s="41"/>
      <c r="AB24" s="42">
        <f t="shared" si="8"/>
        <v>0</v>
      </c>
      <c r="AC24" s="7"/>
      <c r="AD24" s="7"/>
      <c r="AE24" s="7"/>
      <c r="AF24" s="39">
        <f t="shared" si="63"/>
        <v>0</v>
      </c>
      <c r="AG24" s="7"/>
      <c r="AH24" s="7"/>
      <c r="AI24" s="7"/>
      <c r="AJ24" s="39">
        <f t="shared" si="10"/>
        <v>0</v>
      </c>
      <c r="AK24" s="7"/>
      <c r="AL24" s="7"/>
      <c r="AM24" s="7"/>
      <c r="AN24" s="39">
        <f t="shared" si="11"/>
        <v>0</v>
      </c>
      <c r="AO24" s="7"/>
      <c r="AP24" s="7"/>
      <c r="AQ24" s="7"/>
      <c r="AR24" s="39">
        <f t="shared" si="12"/>
        <v>0</v>
      </c>
      <c r="AS24" s="7"/>
      <c r="AT24" s="7"/>
      <c r="AU24" s="7"/>
      <c r="AV24" s="39">
        <f t="shared" si="57"/>
        <v>0</v>
      </c>
      <c r="AW24" s="7"/>
      <c r="AX24" s="7"/>
      <c r="AY24" s="7"/>
      <c r="AZ24" s="39">
        <f t="shared" si="66"/>
        <v>0</v>
      </c>
      <c r="BA24" s="7"/>
      <c r="BB24" s="7"/>
      <c r="BC24" s="7"/>
      <c r="BD24" s="39">
        <f t="shared" si="15"/>
        <v>0</v>
      </c>
      <c r="BE24" s="7"/>
      <c r="BF24" s="7"/>
      <c r="BG24" s="7"/>
      <c r="BH24" s="39">
        <f t="shared" si="16"/>
        <v>0</v>
      </c>
      <c r="BI24" s="7"/>
      <c r="BJ24" s="7"/>
      <c r="BK24" s="7"/>
      <c r="BL24" s="39">
        <f t="shared" si="64"/>
        <v>0</v>
      </c>
      <c r="BM24" s="7"/>
      <c r="BN24" s="7"/>
      <c r="BO24" s="7"/>
      <c r="BP24" s="39">
        <f t="shared" si="18"/>
        <v>0</v>
      </c>
      <c r="BQ24" s="7"/>
      <c r="BR24" s="7"/>
      <c r="BS24" s="7"/>
      <c r="BT24" s="39">
        <f t="shared" si="62"/>
        <v>0</v>
      </c>
      <c r="BU24" s="7"/>
      <c r="BV24" s="7"/>
      <c r="BW24" s="7"/>
      <c r="BX24" s="39">
        <f t="shared" si="20"/>
        <v>0</v>
      </c>
      <c r="BY24" s="7"/>
      <c r="BZ24" s="7"/>
      <c r="CA24" s="7"/>
      <c r="CB24" s="39">
        <f t="shared" si="67"/>
        <v>0</v>
      </c>
      <c r="CC24" s="7"/>
      <c r="CD24" s="7"/>
      <c r="CE24" s="7"/>
      <c r="CF24" s="39">
        <f t="shared" si="22"/>
        <v>0</v>
      </c>
      <c r="CG24" s="7"/>
      <c r="CH24" s="7"/>
      <c r="CI24" s="7"/>
      <c r="CJ24" s="39">
        <f t="shared" si="23"/>
        <v>0</v>
      </c>
      <c r="CK24" s="7"/>
      <c r="CL24" s="7"/>
      <c r="CM24" s="7"/>
      <c r="CN24" s="39">
        <f t="shared" si="24"/>
        <v>0</v>
      </c>
      <c r="CO24" s="7"/>
      <c r="CP24" s="7"/>
      <c r="CQ24" s="7"/>
      <c r="CR24" s="39">
        <f t="shared" si="25"/>
        <v>0</v>
      </c>
      <c r="CS24" s="7">
        <v>1.0</v>
      </c>
      <c r="CT24" s="7">
        <v>1.0</v>
      </c>
      <c r="CU24" s="7"/>
      <c r="CV24" s="39">
        <f t="shared" si="26"/>
        <v>3</v>
      </c>
      <c r="CW24" s="7"/>
      <c r="CX24" s="7"/>
      <c r="CY24" s="7"/>
      <c r="CZ24" s="39">
        <f t="shared" si="27"/>
        <v>0</v>
      </c>
      <c r="DA24" s="7">
        <v>1.0</v>
      </c>
      <c r="DB24" s="7">
        <v>1.0</v>
      </c>
      <c r="DC24" s="7">
        <v>1.0</v>
      </c>
      <c r="DD24" s="39">
        <f t="shared" si="28"/>
        <v>5</v>
      </c>
      <c r="DE24" s="7">
        <v>1.0</v>
      </c>
      <c r="DF24" s="7">
        <v>1.0</v>
      </c>
      <c r="DG24" s="7"/>
      <c r="DH24" s="39">
        <f t="shared" si="29"/>
        <v>3</v>
      </c>
      <c r="DI24" s="7"/>
      <c r="DJ24" s="7"/>
      <c r="DK24" s="7"/>
      <c r="DL24" s="39">
        <f t="shared" si="30"/>
        <v>0</v>
      </c>
      <c r="DM24" s="7">
        <v>1.0</v>
      </c>
      <c r="DN24" s="7">
        <v>1.0</v>
      </c>
      <c r="DO24" s="7">
        <v>1.0</v>
      </c>
      <c r="DP24" s="39">
        <f t="shared" si="31"/>
        <v>5</v>
      </c>
      <c r="DQ24" s="7"/>
      <c r="DR24" s="7"/>
      <c r="DS24" s="7"/>
      <c r="DT24" s="39">
        <f t="shared" si="32"/>
        <v>0</v>
      </c>
      <c r="DU24" s="7"/>
      <c r="DV24" s="7"/>
      <c r="DW24" s="7"/>
      <c r="DX24" s="39">
        <f t="shared" si="33"/>
        <v>0</v>
      </c>
      <c r="DY24" s="7"/>
      <c r="DZ24" s="7"/>
      <c r="EA24" s="7"/>
      <c r="EB24" s="39">
        <f t="shared" si="34"/>
        <v>0</v>
      </c>
      <c r="EC24" s="7"/>
      <c r="ED24" s="7"/>
      <c r="EE24" s="7"/>
      <c r="EF24" s="39">
        <f t="shared" si="35"/>
        <v>0</v>
      </c>
      <c r="EG24" s="7"/>
      <c r="EH24" s="7"/>
      <c r="EI24" s="7"/>
      <c r="EJ24" s="39">
        <f t="shared" si="36"/>
        <v>0</v>
      </c>
      <c r="EK24" s="7">
        <v>1.0</v>
      </c>
      <c r="EL24" s="7">
        <v>1.0</v>
      </c>
      <c r="EM24" s="7">
        <v>1.0</v>
      </c>
      <c r="EN24" s="39">
        <f t="shared" si="37"/>
        <v>5</v>
      </c>
      <c r="EO24" s="7">
        <v>1.0</v>
      </c>
      <c r="EP24" s="7">
        <v>1.0</v>
      </c>
      <c r="EQ24" s="7">
        <v>1.0</v>
      </c>
      <c r="ER24" s="39">
        <f t="shared" si="38"/>
        <v>5</v>
      </c>
      <c r="ES24" s="7">
        <v>1.0</v>
      </c>
      <c r="ET24" s="7">
        <v>1.0</v>
      </c>
      <c r="EU24" s="7">
        <v>1.0</v>
      </c>
      <c r="EV24" s="39">
        <f t="shared" si="39"/>
        <v>5</v>
      </c>
      <c r="EW24" s="7">
        <v>1.0</v>
      </c>
      <c r="EX24" s="7">
        <v>1.0</v>
      </c>
      <c r="EY24" s="7"/>
      <c r="EZ24" s="39">
        <f t="shared" si="40"/>
        <v>3</v>
      </c>
      <c r="FA24" s="7"/>
      <c r="FB24" s="7"/>
      <c r="FC24" s="7"/>
      <c r="FD24" s="39">
        <f t="shared" si="41"/>
        <v>0</v>
      </c>
      <c r="FE24" s="7"/>
      <c r="FF24" s="7"/>
      <c r="FG24" s="7"/>
      <c r="FH24" s="39">
        <f t="shared" si="42"/>
        <v>0</v>
      </c>
      <c r="FI24" s="7"/>
      <c r="FJ24" s="7"/>
      <c r="FK24" s="7"/>
      <c r="FL24" s="39">
        <f t="shared" si="43"/>
        <v>0</v>
      </c>
      <c r="FM24" s="7"/>
      <c r="FN24" s="7"/>
      <c r="FO24" s="7"/>
      <c r="FP24" s="39">
        <f t="shared" si="44"/>
        <v>0</v>
      </c>
      <c r="FQ24" s="7"/>
      <c r="FR24" s="7"/>
      <c r="FS24" s="7"/>
      <c r="FT24" s="39">
        <f t="shared" si="45"/>
        <v>0</v>
      </c>
      <c r="FU24" s="7"/>
      <c r="FV24" s="7"/>
      <c r="FW24" s="7"/>
      <c r="FX24" s="39">
        <f t="shared" si="46"/>
        <v>0</v>
      </c>
      <c r="FY24" s="7"/>
      <c r="FZ24" s="7"/>
      <c r="GA24" s="7"/>
      <c r="GB24" s="39">
        <f t="shared" si="47"/>
        <v>0</v>
      </c>
      <c r="GC24" s="7"/>
      <c r="GD24" s="7"/>
      <c r="GE24" s="7"/>
      <c r="GF24" s="39">
        <f t="shared" si="48"/>
        <v>0</v>
      </c>
      <c r="GG24" s="7"/>
      <c r="GH24" s="7"/>
      <c r="GI24" s="7"/>
      <c r="GJ24" s="39">
        <f t="shared" si="49"/>
        <v>0</v>
      </c>
      <c r="GK24" s="7"/>
      <c r="GL24" s="7"/>
      <c r="GM24" s="7"/>
      <c r="GN24" s="39">
        <f t="shared" si="50"/>
        <v>0</v>
      </c>
      <c r="GO24" s="7"/>
      <c r="GP24" s="7"/>
      <c r="GQ24" s="7"/>
      <c r="GR24" s="39">
        <f t="shared" si="51"/>
        <v>0</v>
      </c>
      <c r="GS24" s="7"/>
      <c r="GT24" s="7"/>
      <c r="GU24" s="7"/>
      <c r="GV24" s="39">
        <f t="shared" si="52"/>
        <v>0</v>
      </c>
      <c r="GW24" s="7"/>
      <c r="GX24" s="7"/>
      <c r="GY24" s="7"/>
      <c r="GZ24" s="39">
        <f t="shared" si="53"/>
        <v>0</v>
      </c>
      <c r="HA24" s="7">
        <v>1.0</v>
      </c>
      <c r="HB24" s="7">
        <v>1.0</v>
      </c>
      <c r="HC24" s="7"/>
      <c r="HD24" s="39">
        <f t="shared" si="54"/>
        <v>3</v>
      </c>
      <c r="HE24" s="7"/>
      <c r="HF24" s="7"/>
      <c r="HG24" s="7"/>
      <c r="HH24" s="39">
        <f t="shared" si="65"/>
        <v>0</v>
      </c>
    </row>
    <row r="25">
      <c r="A25" s="20" t="s">
        <v>171</v>
      </c>
      <c r="B25" s="21"/>
      <c r="C25" s="1">
        <f t="shared" si="1"/>
        <v>23</v>
      </c>
      <c r="D25" s="15">
        <f>VLOOKUP(A25,TDP!A:C,3,FALSE)</f>
        <v>0.09</v>
      </c>
      <c r="E25" s="37">
        <f t="shared" si="2"/>
        <v>27.25</v>
      </c>
      <c r="F25" s="1" t="str">
        <f>VLOOKUP($A25,Valoracion!$A:$J,9,FALSE)</f>
        <v>#N/A</v>
      </c>
      <c r="G25" s="7"/>
      <c r="H25" s="39">
        <f t="shared" si="58"/>
        <v>0</v>
      </c>
      <c r="I25" s="7"/>
      <c r="J25" s="7"/>
      <c r="K25" s="7"/>
      <c r="L25" s="39">
        <f t="shared" si="59"/>
        <v>0</v>
      </c>
      <c r="M25" s="7"/>
      <c r="N25" s="7"/>
      <c r="O25" s="7"/>
      <c r="P25" s="39">
        <f t="shared" si="60"/>
        <v>0</v>
      </c>
      <c r="Q25" s="7"/>
      <c r="R25" s="7"/>
      <c r="S25" s="7"/>
      <c r="T25" s="39">
        <f t="shared" si="6"/>
        <v>0</v>
      </c>
      <c r="U25" s="7"/>
      <c r="V25" s="7"/>
      <c r="W25" s="7"/>
      <c r="X25" s="39">
        <f t="shared" si="7"/>
        <v>0</v>
      </c>
      <c r="Y25" s="41"/>
      <c r="Z25" s="41"/>
      <c r="AA25" s="41"/>
      <c r="AB25" s="42">
        <f t="shared" si="8"/>
        <v>0</v>
      </c>
      <c r="AC25" s="7"/>
      <c r="AD25" s="7"/>
      <c r="AE25" s="7"/>
      <c r="AF25" s="39">
        <f t="shared" si="63"/>
        <v>0</v>
      </c>
      <c r="AG25" s="7"/>
      <c r="AH25" s="7"/>
      <c r="AI25" s="7"/>
      <c r="AJ25" s="39">
        <f t="shared" si="10"/>
        <v>0</v>
      </c>
      <c r="AK25" s="7"/>
      <c r="AL25" s="7"/>
      <c r="AM25" s="7"/>
      <c r="AN25" s="39">
        <f t="shared" si="11"/>
        <v>0</v>
      </c>
      <c r="AO25" s="7"/>
      <c r="AP25" s="7"/>
      <c r="AQ25" s="7"/>
      <c r="AR25" s="39">
        <f t="shared" si="12"/>
        <v>0</v>
      </c>
      <c r="AS25" s="7"/>
      <c r="AT25" s="7"/>
      <c r="AU25" s="7"/>
      <c r="AV25" s="39">
        <f t="shared" si="57"/>
        <v>0</v>
      </c>
      <c r="AW25" s="7"/>
      <c r="AX25" s="7"/>
      <c r="AY25" s="7"/>
      <c r="AZ25" s="39">
        <f t="shared" si="66"/>
        <v>0</v>
      </c>
      <c r="BA25" s="7"/>
      <c r="BB25" s="7"/>
      <c r="BC25" s="7"/>
      <c r="BD25" s="39">
        <f t="shared" si="15"/>
        <v>0</v>
      </c>
      <c r="BE25" s="7"/>
      <c r="BF25" s="7"/>
      <c r="BG25" s="7"/>
      <c r="BH25" s="39">
        <f t="shared" si="16"/>
        <v>0</v>
      </c>
      <c r="BI25" s="7"/>
      <c r="BJ25" s="7"/>
      <c r="BK25" s="7"/>
      <c r="BL25" s="39">
        <f t="shared" si="64"/>
        <v>0</v>
      </c>
      <c r="BM25" s="7"/>
      <c r="BN25" s="7"/>
      <c r="BO25" s="7"/>
      <c r="BP25" s="39">
        <f t="shared" si="18"/>
        <v>0</v>
      </c>
      <c r="BQ25" s="7"/>
      <c r="BR25" s="7"/>
      <c r="BS25" s="7"/>
      <c r="BT25" s="39">
        <f t="shared" si="62"/>
        <v>0</v>
      </c>
      <c r="BU25" s="7"/>
      <c r="BV25" s="7"/>
      <c r="BW25" s="7"/>
      <c r="BX25" s="39">
        <f t="shared" si="20"/>
        <v>0</v>
      </c>
      <c r="BY25" s="7"/>
      <c r="BZ25" s="7"/>
      <c r="CA25" s="7"/>
      <c r="CB25" s="39">
        <f t="shared" si="67"/>
        <v>0</v>
      </c>
      <c r="CC25" s="7"/>
      <c r="CD25" s="7"/>
      <c r="CE25" s="7"/>
      <c r="CF25" s="39">
        <f t="shared" si="22"/>
        <v>0</v>
      </c>
      <c r="CG25" s="7"/>
      <c r="CH25" s="7"/>
      <c r="CI25" s="7"/>
      <c r="CJ25" s="39">
        <f t="shared" si="23"/>
        <v>0</v>
      </c>
      <c r="CK25" s="7"/>
      <c r="CL25" s="7"/>
      <c r="CM25" s="7"/>
      <c r="CN25" s="39">
        <f t="shared" si="24"/>
        <v>0</v>
      </c>
      <c r="CO25" s="7"/>
      <c r="CP25" s="7"/>
      <c r="CQ25" s="7"/>
      <c r="CR25" s="39">
        <f t="shared" si="25"/>
        <v>0</v>
      </c>
      <c r="CS25" s="7"/>
      <c r="CT25" s="7"/>
      <c r="CU25" s="7"/>
      <c r="CV25" s="39">
        <f t="shared" si="26"/>
        <v>0</v>
      </c>
      <c r="CW25" s="7"/>
      <c r="CX25" s="7"/>
      <c r="CY25" s="7"/>
      <c r="CZ25" s="39">
        <f t="shared" si="27"/>
        <v>0</v>
      </c>
      <c r="DA25" s="7"/>
      <c r="DB25" s="7"/>
      <c r="DC25" s="7"/>
      <c r="DD25" s="39">
        <f t="shared" si="28"/>
        <v>0</v>
      </c>
      <c r="DE25" s="7"/>
      <c r="DF25" s="7"/>
      <c r="DG25" s="7"/>
      <c r="DH25" s="39">
        <f t="shared" si="29"/>
        <v>0</v>
      </c>
      <c r="DI25" s="7"/>
      <c r="DJ25" s="7"/>
      <c r="DK25" s="7"/>
      <c r="DL25" s="39">
        <f t="shared" si="30"/>
        <v>0</v>
      </c>
      <c r="DM25" s="7"/>
      <c r="DN25" s="7"/>
      <c r="DO25" s="7"/>
      <c r="DP25" s="39">
        <f t="shared" si="31"/>
        <v>0</v>
      </c>
      <c r="DQ25" s="7"/>
      <c r="DR25" s="7"/>
      <c r="DS25" s="7"/>
      <c r="DT25" s="39">
        <f t="shared" si="32"/>
        <v>0</v>
      </c>
      <c r="DU25" s="7"/>
      <c r="DV25" s="7"/>
      <c r="DW25" s="7"/>
      <c r="DX25" s="39">
        <f t="shared" si="33"/>
        <v>0</v>
      </c>
      <c r="DY25" s="7"/>
      <c r="DZ25" s="7"/>
      <c r="EA25" s="7"/>
      <c r="EB25" s="39">
        <f t="shared" si="34"/>
        <v>0</v>
      </c>
      <c r="EC25" s="7"/>
      <c r="ED25" s="7"/>
      <c r="EE25" s="7"/>
      <c r="EF25" s="39">
        <f t="shared" si="35"/>
        <v>0</v>
      </c>
      <c r="EG25" s="7"/>
      <c r="EH25" s="7"/>
      <c r="EI25" s="7"/>
      <c r="EJ25" s="39">
        <f t="shared" si="36"/>
        <v>0</v>
      </c>
      <c r="EK25" s="7"/>
      <c r="EL25" s="7"/>
      <c r="EM25" s="7"/>
      <c r="EN25" s="39">
        <f t="shared" si="37"/>
        <v>0</v>
      </c>
      <c r="EO25" s="7"/>
      <c r="EP25" s="7"/>
      <c r="EQ25" s="7"/>
      <c r="ER25" s="39">
        <f t="shared" si="38"/>
        <v>0</v>
      </c>
      <c r="ES25" s="7"/>
      <c r="ET25" s="7"/>
      <c r="EU25" s="7"/>
      <c r="EV25" s="39">
        <f t="shared" si="39"/>
        <v>0</v>
      </c>
      <c r="EW25" s="7"/>
      <c r="EX25" s="7"/>
      <c r="EY25" s="7"/>
      <c r="EZ25" s="39">
        <f t="shared" si="40"/>
        <v>0</v>
      </c>
      <c r="FA25" s="7"/>
      <c r="FB25" s="7"/>
      <c r="FC25" s="7"/>
      <c r="FD25" s="39">
        <f t="shared" si="41"/>
        <v>0</v>
      </c>
      <c r="FE25" s="7"/>
      <c r="FF25" s="7"/>
      <c r="FG25" s="7"/>
      <c r="FH25" s="39">
        <f t="shared" si="42"/>
        <v>0</v>
      </c>
      <c r="FI25" s="7"/>
      <c r="FJ25" s="7"/>
      <c r="FK25" s="7"/>
      <c r="FL25" s="39">
        <f t="shared" si="43"/>
        <v>0</v>
      </c>
      <c r="FM25" s="7"/>
      <c r="FN25" s="7"/>
      <c r="FO25" s="7"/>
      <c r="FP25" s="39">
        <f t="shared" si="44"/>
        <v>0</v>
      </c>
      <c r="FQ25" s="7">
        <v>1.0</v>
      </c>
      <c r="FR25" s="7">
        <v>1.0</v>
      </c>
      <c r="FS25" s="7">
        <v>1.0</v>
      </c>
      <c r="FT25" s="39">
        <f t="shared" si="45"/>
        <v>5</v>
      </c>
      <c r="FU25" s="7">
        <v>1.0</v>
      </c>
      <c r="FV25" s="7">
        <v>1.0</v>
      </c>
      <c r="FW25" s="7">
        <v>1.0</v>
      </c>
      <c r="FX25" s="39">
        <f t="shared" si="46"/>
        <v>5</v>
      </c>
      <c r="FY25" s="7">
        <v>1.0</v>
      </c>
      <c r="FZ25" s="7">
        <v>1.0</v>
      </c>
      <c r="GA25" s="7">
        <v>1.0</v>
      </c>
      <c r="GB25" s="39">
        <f t="shared" si="47"/>
        <v>5</v>
      </c>
      <c r="GC25" s="7">
        <v>1.0</v>
      </c>
      <c r="GD25" s="7">
        <v>1.0</v>
      </c>
      <c r="GE25" s="7">
        <v>1.0</v>
      </c>
      <c r="GF25" s="39">
        <f t="shared" si="48"/>
        <v>5</v>
      </c>
      <c r="GG25" s="7">
        <v>1.0</v>
      </c>
      <c r="GH25" s="7">
        <v>1.0</v>
      </c>
      <c r="GI25" s="7">
        <v>1.0</v>
      </c>
      <c r="GJ25" s="39">
        <f t="shared" si="49"/>
        <v>5</v>
      </c>
      <c r="GK25" s="7"/>
      <c r="GL25" s="7"/>
      <c r="GM25" s="7"/>
      <c r="GN25" s="39">
        <f t="shared" si="50"/>
        <v>0</v>
      </c>
      <c r="GO25" s="7"/>
      <c r="GP25" s="7"/>
      <c r="GQ25" s="7"/>
      <c r="GR25" s="39">
        <f t="shared" si="51"/>
        <v>0</v>
      </c>
      <c r="GS25" s="7"/>
      <c r="GT25" s="7"/>
      <c r="GU25" s="7"/>
      <c r="GV25" s="39">
        <f t="shared" si="52"/>
        <v>0</v>
      </c>
      <c r="GW25" s="7"/>
      <c r="GX25" s="7"/>
      <c r="GY25" s="7"/>
      <c r="GZ25" s="39">
        <f t="shared" si="53"/>
        <v>0</v>
      </c>
      <c r="HA25" s="7"/>
      <c r="HB25" s="7"/>
      <c r="HC25" s="7"/>
      <c r="HD25" s="39">
        <f t="shared" si="54"/>
        <v>0</v>
      </c>
      <c r="HE25" s="7"/>
      <c r="HF25" s="7"/>
      <c r="HG25" s="7"/>
      <c r="HH25" s="39">
        <f t="shared" si="65"/>
        <v>0</v>
      </c>
    </row>
    <row r="26">
      <c r="A26" s="20" t="s">
        <v>91</v>
      </c>
      <c r="B26" s="21" t="s">
        <v>92</v>
      </c>
      <c r="C26" s="1">
        <f t="shared" si="1"/>
        <v>24</v>
      </c>
      <c r="D26" s="15">
        <f>VLOOKUP(A26,TDP!A:C,3,FALSE)</f>
        <v>0.25</v>
      </c>
      <c r="E26" s="37">
        <f t="shared" si="2"/>
        <v>25</v>
      </c>
      <c r="F26" s="1">
        <f>VLOOKUP($A26,Valoracion!$A:$J,9,FALSE)</f>
        <v>3</v>
      </c>
      <c r="G26" s="7"/>
      <c r="H26" s="39">
        <f t="shared" si="58"/>
        <v>0</v>
      </c>
      <c r="I26" s="7"/>
      <c r="J26" s="7"/>
      <c r="K26" s="7"/>
      <c r="L26" s="39">
        <f t="shared" si="59"/>
        <v>0</v>
      </c>
      <c r="M26" s="7">
        <v>1.0</v>
      </c>
      <c r="N26" s="7">
        <v>1.0</v>
      </c>
      <c r="O26" s="7"/>
      <c r="P26" s="39">
        <f t="shared" si="60"/>
        <v>3</v>
      </c>
      <c r="Q26" s="7"/>
      <c r="R26" s="7"/>
      <c r="S26" s="7"/>
      <c r="T26" s="39">
        <f t="shared" si="6"/>
        <v>0</v>
      </c>
      <c r="U26" s="7"/>
      <c r="V26" s="7"/>
      <c r="W26" s="7"/>
      <c r="X26" s="39">
        <f t="shared" si="7"/>
        <v>0</v>
      </c>
      <c r="Y26" s="41"/>
      <c r="Z26" s="41"/>
      <c r="AA26" s="41"/>
      <c r="AB26" s="42">
        <f t="shared" si="8"/>
        <v>0</v>
      </c>
      <c r="AC26" s="7"/>
      <c r="AD26" s="7"/>
      <c r="AE26" s="7"/>
      <c r="AF26" s="39">
        <f t="shared" si="63"/>
        <v>0</v>
      </c>
      <c r="AG26" s="7"/>
      <c r="AH26" s="7"/>
      <c r="AI26" s="7"/>
      <c r="AJ26" s="39">
        <f t="shared" si="10"/>
        <v>0</v>
      </c>
      <c r="AK26" s="7"/>
      <c r="AL26" s="7"/>
      <c r="AM26" s="7"/>
      <c r="AN26" s="39">
        <f t="shared" si="11"/>
        <v>0</v>
      </c>
      <c r="AO26" s="7"/>
      <c r="AP26" s="7"/>
      <c r="AQ26" s="7"/>
      <c r="AR26" s="39">
        <f t="shared" si="12"/>
        <v>0</v>
      </c>
      <c r="AS26" s="7"/>
      <c r="AT26" s="7"/>
      <c r="AU26" s="7"/>
      <c r="AV26" s="39">
        <f t="shared" si="57"/>
        <v>0</v>
      </c>
      <c r="AW26" s="7"/>
      <c r="AX26" s="7"/>
      <c r="AY26" s="7"/>
      <c r="AZ26" s="39">
        <f t="shared" si="66"/>
        <v>0</v>
      </c>
      <c r="BA26" s="7"/>
      <c r="BB26" s="7"/>
      <c r="BC26" s="7"/>
      <c r="BD26" s="39">
        <f t="shared" si="15"/>
        <v>0</v>
      </c>
      <c r="BE26" s="7"/>
      <c r="BF26" s="7"/>
      <c r="BG26" s="7"/>
      <c r="BH26" s="39">
        <f t="shared" si="16"/>
        <v>0</v>
      </c>
      <c r="BI26" s="7"/>
      <c r="BJ26" s="7"/>
      <c r="BK26" s="7"/>
      <c r="BL26" s="39">
        <f t="shared" si="64"/>
        <v>0</v>
      </c>
      <c r="BM26" s="7"/>
      <c r="BN26" s="7"/>
      <c r="BO26" s="7"/>
      <c r="BP26" s="39">
        <f t="shared" si="18"/>
        <v>0</v>
      </c>
      <c r="BQ26" s="7"/>
      <c r="BR26" s="7"/>
      <c r="BS26" s="7"/>
      <c r="BT26" s="39">
        <f t="shared" si="62"/>
        <v>0</v>
      </c>
      <c r="BU26" s="7"/>
      <c r="BV26" s="7"/>
      <c r="BW26" s="7"/>
      <c r="BX26" s="39">
        <f t="shared" si="20"/>
        <v>0</v>
      </c>
      <c r="BY26" s="7"/>
      <c r="BZ26" s="7"/>
      <c r="CA26" s="7"/>
      <c r="CB26" s="39">
        <f t="shared" si="67"/>
        <v>0</v>
      </c>
      <c r="CC26" s="7"/>
      <c r="CD26" s="7"/>
      <c r="CE26" s="7"/>
      <c r="CF26" s="39">
        <f t="shared" si="22"/>
        <v>0</v>
      </c>
      <c r="CG26" s="7"/>
      <c r="CH26" s="7"/>
      <c r="CI26" s="7"/>
      <c r="CJ26" s="39">
        <f t="shared" si="23"/>
        <v>0</v>
      </c>
      <c r="CK26" s="7">
        <v>1.0</v>
      </c>
      <c r="CL26" s="7">
        <v>1.0</v>
      </c>
      <c r="CM26" s="7"/>
      <c r="CN26" s="39">
        <f t="shared" si="24"/>
        <v>3</v>
      </c>
      <c r="CO26" s="7"/>
      <c r="CP26" s="7"/>
      <c r="CQ26" s="7"/>
      <c r="CR26" s="39">
        <f t="shared" si="25"/>
        <v>0</v>
      </c>
      <c r="CS26" s="7">
        <v>1.0</v>
      </c>
      <c r="CT26" s="7">
        <v>1.0</v>
      </c>
      <c r="CU26" s="7"/>
      <c r="CV26" s="39">
        <f t="shared" si="26"/>
        <v>3</v>
      </c>
      <c r="CW26" s="7"/>
      <c r="CX26" s="7"/>
      <c r="CY26" s="7"/>
      <c r="CZ26" s="39">
        <f t="shared" si="27"/>
        <v>0</v>
      </c>
      <c r="DA26" s="7"/>
      <c r="DB26" s="7"/>
      <c r="DC26" s="7"/>
      <c r="DD26" s="39">
        <f t="shared" si="28"/>
        <v>0</v>
      </c>
      <c r="DE26" s="7"/>
      <c r="DF26" s="7"/>
      <c r="DG26" s="7"/>
      <c r="DH26" s="39">
        <f t="shared" si="29"/>
        <v>0</v>
      </c>
      <c r="DI26" s="7">
        <v>1.0</v>
      </c>
      <c r="DJ26" s="7">
        <v>1.0</v>
      </c>
      <c r="DK26" s="7">
        <v>1.0</v>
      </c>
      <c r="DL26" s="39">
        <f t="shared" si="30"/>
        <v>5</v>
      </c>
      <c r="DM26" s="7"/>
      <c r="DN26" s="7"/>
      <c r="DO26" s="7"/>
      <c r="DP26" s="39">
        <f t="shared" si="31"/>
        <v>0</v>
      </c>
      <c r="DQ26" s="7"/>
      <c r="DR26" s="7"/>
      <c r="DS26" s="7"/>
      <c r="DT26" s="39">
        <f t="shared" si="32"/>
        <v>0</v>
      </c>
      <c r="DU26" s="7"/>
      <c r="DV26" s="7"/>
      <c r="DW26" s="7"/>
      <c r="DX26" s="39">
        <f t="shared" si="33"/>
        <v>0</v>
      </c>
      <c r="DY26" s="7"/>
      <c r="DZ26" s="7"/>
      <c r="EA26" s="7"/>
      <c r="EB26" s="39">
        <f t="shared" si="34"/>
        <v>0</v>
      </c>
      <c r="EC26" s="7"/>
      <c r="ED26" s="7"/>
      <c r="EE26" s="7"/>
      <c r="EF26" s="39">
        <f t="shared" si="35"/>
        <v>0</v>
      </c>
      <c r="EG26" s="7"/>
      <c r="EH26" s="7"/>
      <c r="EI26" s="7"/>
      <c r="EJ26" s="39">
        <f t="shared" si="36"/>
        <v>0</v>
      </c>
      <c r="EK26" s="7"/>
      <c r="EL26" s="7"/>
      <c r="EM26" s="7"/>
      <c r="EN26" s="39">
        <f t="shared" si="37"/>
        <v>0</v>
      </c>
      <c r="EO26" s="7"/>
      <c r="EP26" s="7"/>
      <c r="EQ26" s="7"/>
      <c r="ER26" s="39">
        <f t="shared" si="38"/>
        <v>0</v>
      </c>
      <c r="ES26" s="7"/>
      <c r="ET26" s="7"/>
      <c r="EU26" s="7"/>
      <c r="EV26" s="39">
        <f t="shared" si="39"/>
        <v>0</v>
      </c>
      <c r="EW26" s="7"/>
      <c r="EX26" s="7"/>
      <c r="EY26" s="7"/>
      <c r="EZ26" s="39">
        <f t="shared" si="40"/>
        <v>0</v>
      </c>
      <c r="FA26" s="7"/>
      <c r="FB26" s="7"/>
      <c r="FC26" s="7"/>
      <c r="FD26" s="39">
        <f t="shared" si="41"/>
        <v>0</v>
      </c>
      <c r="FE26" s="7"/>
      <c r="FF26" s="7"/>
      <c r="FG26" s="7"/>
      <c r="FH26" s="39">
        <f t="shared" si="42"/>
        <v>0</v>
      </c>
      <c r="FI26" s="7"/>
      <c r="FJ26" s="7"/>
      <c r="FK26" s="7"/>
      <c r="FL26" s="39">
        <f t="shared" si="43"/>
        <v>0</v>
      </c>
      <c r="FM26" s="7"/>
      <c r="FN26" s="7"/>
      <c r="FO26" s="7"/>
      <c r="FP26" s="39">
        <f t="shared" si="44"/>
        <v>0</v>
      </c>
      <c r="FQ26" s="7"/>
      <c r="FR26" s="7"/>
      <c r="FS26" s="7"/>
      <c r="FT26" s="39">
        <f t="shared" si="45"/>
        <v>0</v>
      </c>
      <c r="FU26" s="7"/>
      <c r="FV26" s="7"/>
      <c r="FW26" s="7"/>
      <c r="FX26" s="39">
        <f t="shared" si="46"/>
        <v>0</v>
      </c>
      <c r="FY26" s="7"/>
      <c r="FZ26" s="7"/>
      <c r="GA26" s="7"/>
      <c r="GB26" s="39">
        <f t="shared" si="47"/>
        <v>0</v>
      </c>
      <c r="GC26" s="7"/>
      <c r="GD26" s="7"/>
      <c r="GE26" s="7"/>
      <c r="GF26" s="39">
        <f t="shared" si="48"/>
        <v>0</v>
      </c>
      <c r="GG26" s="7">
        <v>1.0</v>
      </c>
      <c r="GH26" s="7">
        <v>1.0</v>
      </c>
      <c r="GI26" s="7"/>
      <c r="GJ26" s="39">
        <f t="shared" si="49"/>
        <v>3</v>
      </c>
      <c r="GK26" s="7"/>
      <c r="GL26" s="7"/>
      <c r="GM26" s="7"/>
      <c r="GN26" s="39">
        <f t="shared" si="50"/>
        <v>0</v>
      </c>
      <c r="GO26" s="7"/>
      <c r="GP26" s="7"/>
      <c r="GQ26" s="7"/>
      <c r="GR26" s="39">
        <f t="shared" si="51"/>
        <v>0</v>
      </c>
      <c r="GS26" s="7"/>
      <c r="GT26" s="7"/>
      <c r="GU26" s="7"/>
      <c r="GV26" s="39">
        <f t="shared" si="52"/>
        <v>0</v>
      </c>
      <c r="GW26" s="7"/>
      <c r="GX26" s="7"/>
      <c r="GY26" s="7"/>
      <c r="GZ26" s="39">
        <f t="shared" si="53"/>
        <v>0</v>
      </c>
      <c r="HA26" s="7">
        <v>1.0</v>
      </c>
      <c r="HB26" s="7">
        <v>1.0</v>
      </c>
      <c r="HC26" s="7"/>
      <c r="HD26" s="39">
        <f t="shared" si="54"/>
        <v>3</v>
      </c>
      <c r="HE26" s="7"/>
      <c r="HF26" s="7"/>
      <c r="HG26" s="7"/>
      <c r="HH26" s="39">
        <f t="shared" si="65"/>
        <v>0</v>
      </c>
    </row>
    <row r="27">
      <c r="A27" s="20" t="s">
        <v>56</v>
      </c>
      <c r="B27" s="21" t="s">
        <v>57</v>
      </c>
      <c r="C27" s="1">
        <f t="shared" si="1"/>
        <v>25</v>
      </c>
      <c r="D27" s="15">
        <f>VLOOKUP(A27,TDP!A:C,3,FALSE)</f>
        <v>0.3</v>
      </c>
      <c r="E27" s="37">
        <f t="shared" si="2"/>
        <v>23.4</v>
      </c>
      <c r="F27" s="1">
        <f>VLOOKUP($A27,Valoracion!$A:$J,9,FALSE)</f>
        <v>2</v>
      </c>
      <c r="G27" s="7"/>
      <c r="H27" s="39">
        <f t="shared" si="58"/>
        <v>0</v>
      </c>
      <c r="I27" s="7">
        <v>1.0</v>
      </c>
      <c r="J27" s="7">
        <v>1.0</v>
      </c>
      <c r="K27" s="7">
        <v>1.0</v>
      </c>
      <c r="L27" s="39">
        <f t="shared" si="59"/>
        <v>5</v>
      </c>
      <c r="M27" s="7">
        <v>1.0</v>
      </c>
      <c r="N27" s="7">
        <v>1.0</v>
      </c>
      <c r="O27" s="7">
        <v>1.0</v>
      </c>
      <c r="P27" s="39">
        <f t="shared" si="60"/>
        <v>5</v>
      </c>
      <c r="Q27" s="7"/>
      <c r="R27" s="7"/>
      <c r="S27" s="7"/>
      <c r="T27" s="39">
        <f t="shared" si="6"/>
        <v>0</v>
      </c>
      <c r="U27" s="7"/>
      <c r="V27" s="7"/>
      <c r="W27" s="7"/>
      <c r="X27" s="39">
        <f t="shared" si="7"/>
        <v>0</v>
      </c>
      <c r="Y27" s="41"/>
      <c r="Z27" s="41"/>
      <c r="AA27" s="41"/>
      <c r="AB27" s="42">
        <f t="shared" si="8"/>
        <v>0</v>
      </c>
      <c r="AC27" s="7">
        <v>1.0</v>
      </c>
      <c r="AD27" s="7">
        <v>1.0</v>
      </c>
      <c r="AE27" s="7"/>
      <c r="AF27" s="39">
        <f t="shared" si="63"/>
        <v>3</v>
      </c>
      <c r="AG27" s="7"/>
      <c r="AH27" s="7"/>
      <c r="AI27" s="7"/>
      <c r="AJ27" s="39">
        <f t="shared" si="10"/>
        <v>0</v>
      </c>
      <c r="AK27" s="7"/>
      <c r="AL27" s="7"/>
      <c r="AM27" s="7"/>
      <c r="AN27" s="39">
        <f t="shared" si="11"/>
        <v>0</v>
      </c>
      <c r="AO27" s="7"/>
      <c r="AP27" s="7"/>
      <c r="AQ27" s="7"/>
      <c r="AR27" s="39">
        <f t="shared" si="12"/>
        <v>0</v>
      </c>
      <c r="AS27" s="7"/>
      <c r="AT27" s="7"/>
      <c r="AU27" s="7"/>
      <c r="AV27" s="39">
        <f t="shared" si="57"/>
        <v>0</v>
      </c>
      <c r="AW27" s="7"/>
      <c r="AX27" s="7"/>
      <c r="AY27" s="7"/>
      <c r="AZ27" s="39">
        <f t="shared" si="66"/>
        <v>0</v>
      </c>
      <c r="BA27" s="7"/>
      <c r="BB27" s="7"/>
      <c r="BC27" s="7"/>
      <c r="BD27" s="39">
        <f t="shared" si="15"/>
        <v>0</v>
      </c>
      <c r="BE27" s="7"/>
      <c r="BF27" s="7"/>
      <c r="BG27" s="7"/>
      <c r="BH27" s="39">
        <f t="shared" si="16"/>
        <v>0</v>
      </c>
      <c r="BI27" s="7"/>
      <c r="BJ27" s="7"/>
      <c r="BK27" s="7"/>
      <c r="BL27" s="39">
        <f t="shared" si="64"/>
        <v>0</v>
      </c>
      <c r="BM27" s="7">
        <v>1.0</v>
      </c>
      <c r="BN27" s="7">
        <v>1.0</v>
      </c>
      <c r="BO27" s="7">
        <v>1.0</v>
      </c>
      <c r="BP27" s="39">
        <f t="shared" si="18"/>
        <v>5</v>
      </c>
      <c r="BQ27" s="7"/>
      <c r="BR27" s="7"/>
      <c r="BS27" s="7"/>
      <c r="BT27" s="39">
        <f t="shared" si="62"/>
        <v>0</v>
      </c>
      <c r="BU27" s="7"/>
      <c r="BV27" s="7"/>
      <c r="BW27" s="7"/>
      <c r="BX27" s="39">
        <f t="shared" si="20"/>
        <v>0</v>
      </c>
      <c r="BY27" s="7"/>
      <c r="BZ27" s="7"/>
      <c r="CA27" s="7"/>
      <c r="CB27" s="39">
        <f t="shared" si="67"/>
        <v>0</v>
      </c>
      <c r="CC27" s="7"/>
      <c r="CD27" s="7"/>
      <c r="CE27" s="7"/>
      <c r="CF27" s="39">
        <f t="shared" si="22"/>
        <v>0</v>
      </c>
      <c r="CG27" s="7"/>
      <c r="CH27" s="7"/>
      <c r="CI27" s="7"/>
      <c r="CJ27" s="39">
        <f t="shared" si="23"/>
        <v>0</v>
      </c>
      <c r="CK27" s="7"/>
      <c r="CL27" s="7"/>
      <c r="CM27" s="7"/>
      <c r="CN27" s="39">
        <f t="shared" si="24"/>
        <v>0</v>
      </c>
      <c r="CO27" s="7"/>
      <c r="CP27" s="7"/>
      <c r="CQ27" s="7"/>
      <c r="CR27" s="39">
        <f t="shared" si="25"/>
        <v>0</v>
      </c>
      <c r="CS27" s="7"/>
      <c r="CT27" s="7"/>
      <c r="CU27" s="7"/>
      <c r="CV27" s="39">
        <f t="shared" si="26"/>
        <v>0</v>
      </c>
      <c r="CW27" s="7"/>
      <c r="CX27" s="7"/>
      <c r="CY27" s="7"/>
      <c r="CZ27" s="39">
        <f t="shared" si="27"/>
        <v>0</v>
      </c>
      <c r="DA27" s="7"/>
      <c r="DB27" s="7"/>
      <c r="DC27" s="7"/>
      <c r="DD27" s="39">
        <f t="shared" si="28"/>
        <v>0</v>
      </c>
      <c r="DE27" s="7"/>
      <c r="DF27" s="7"/>
      <c r="DG27" s="7"/>
      <c r="DH27" s="39">
        <f t="shared" si="29"/>
        <v>0</v>
      </c>
      <c r="DI27" s="7"/>
      <c r="DJ27" s="7"/>
      <c r="DK27" s="7"/>
      <c r="DL27" s="39">
        <f t="shared" si="30"/>
        <v>0</v>
      </c>
      <c r="DM27" s="7"/>
      <c r="DN27" s="7"/>
      <c r="DO27" s="7"/>
      <c r="DP27" s="39">
        <f t="shared" si="31"/>
        <v>0</v>
      </c>
      <c r="DQ27" s="7"/>
      <c r="DR27" s="7"/>
      <c r="DS27" s="7"/>
      <c r="DT27" s="39">
        <f t="shared" si="32"/>
        <v>0</v>
      </c>
      <c r="DU27" s="7"/>
      <c r="DV27" s="7"/>
      <c r="DW27" s="7"/>
      <c r="DX27" s="39">
        <f t="shared" si="33"/>
        <v>0</v>
      </c>
      <c r="DY27" s="7"/>
      <c r="DZ27" s="7"/>
      <c r="EA27" s="7"/>
      <c r="EB27" s="39">
        <f t="shared" si="34"/>
        <v>0</v>
      </c>
      <c r="EC27" s="7"/>
      <c r="ED27" s="7"/>
      <c r="EE27" s="7"/>
      <c r="EF27" s="39">
        <f t="shared" si="35"/>
        <v>0</v>
      </c>
      <c r="EG27" s="7"/>
      <c r="EH27" s="7"/>
      <c r="EI27" s="7"/>
      <c r="EJ27" s="39">
        <f t="shared" si="36"/>
        <v>0</v>
      </c>
      <c r="EK27" s="7"/>
      <c r="EL27" s="7"/>
      <c r="EM27" s="7"/>
      <c r="EN27" s="39">
        <f t="shared" si="37"/>
        <v>0</v>
      </c>
      <c r="EO27" s="7"/>
      <c r="EP27" s="7"/>
      <c r="EQ27" s="7"/>
      <c r="ER27" s="39">
        <f t="shared" si="38"/>
        <v>0</v>
      </c>
      <c r="ES27" s="7"/>
      <c r="ET27" s="7"/>
      <c r="EU27" s="7"/>
      <c r="EV27" s="39">
        <f t="shared" si="39"/>
        <v>0</v>
      </c>
      <c r="EW27" s="7"/>
      <c r="EX27" s="7"/>
      <c r="EY27" s="7"/>
      <c r="EZ27" s="39">
        <f t="shared" si="40"/>
        <v>0</v>
      </c>
      <c r="FA27" s="7"/>
      <c r="FB27" s="7"/>
      <c r="FC27" s="7"/>
      <c r="FD27" s="39">
        <f t="shared" si="41"/>
        <v>0</v>
      </c>
      <c r="FE27" s="7"/>
      <c r="FF27" s="7"/>
      <c r="FG27" s="7"/>
      <c r="FH27" s="39">
        <f t="shared" si="42"/>
        <v>0</v>
      </c>
      <c r="FI27" s="7"/>
      <c r="FJ27" s="7"/>
      <c r="FK27" s="7"/>
      <c r="FL27" s="39">
        <f t="shared" si="43"/>
        <v>0</v>
      </c>
      <c r="FM27" s="7"/>
      <c r="FN27" s="7"/>
      <c r="FO27" s="7"/>
      <c r="FP27" s="39">
        <f t="shared" si="44"/>
        <v>0</v>
      </c>
      <c r="FQ27" s="7"/>
      <c r="FR27" s="7"/>
      <c r="FS27" s="7"/>
      <c r="FT27" s="39">
        <f t="shared" si="45"/>
        <v>0</v>
      </c>
      <c r="FU27" s="7"/>
      <c r="FV27" s="7"/>
      <c r="FW27" s="7"/>
      <c r="FX27" s="39">
        <f t="shared" si="46"/>
        <v>0</v>
      </c>
      <c r="FY27" s="7"/>
      <c r="FZ27" s="7"/>
      <c r="GA27" s="7"/>
      <c r="GB27" s="39">
        <f t="shared" si="47"/>
        <v>0</v>
      </c>
      <c r="GC27" s="7"/>
      <c r="GD27" s="7"/>
      <c r="GE27" s="7"/>
      <c r="GF27" s="39">
        <f t="shared" si="48"/>
        <v>0</v>
      </c>
      <c r="GG27" s="7"/>
      <c r="GH27" s="7"/>
      <c r="GI27" s="7"/>
      <c r="GJ27" s="39">
        <f t="shared" si="49"/>
        <v>0</v>
      </c>
      <c r="GK27" s="7"/>
      <c r="GL27" s="7"/>
      <c r="GM27" s="7"/>
      <c r="GN27" s="39">
        <f t="shared" si="50"/>
        <v>0</v>
      </c>
      <c r="GO27" s="7"/>
      <c r="GP27" s="7"/>
      <c r="GQ27" s="7"/>
      <c r="GR27" s="39">
        <f t="shared" si="51"/>
        <v>0</v>
      </c>
      <c r="GS27" s="7"/>
      <c r="GT27" s="7"/>
      <c r="GU27" s="7"/>
      <c r="GV27" s="39">
        <f t="shared" si="52"/>
        <v>0</v>
      </c>
      <c r="GW27" s="7"/>
      <c r="GX27" s="7"/>
      <c r="GY27" s="7"/>
      <c r="GZ27" s="39">
        <f t="shared" si="53"/>
        <v>0</v>
      </c>
      <c r="HA27" s="7"/>
      <c r="HB27" s="7"/>
      <c r="HC27" s="7"/>
      <c r="HD27" s="39">
        <f t="shared" si="54"/>
        <v>0</v>
      </c>
      <c r="HE27" s="7"/>
      <c r="HF27" s="7"/>
      <c r="HG27" s="7"/>
      <c r="HH27" s="39">
        <f t="shared" si="65"/>
        <v>0</v>
      </c>
    </row>
    <row r="28">
      <c r="A28" s="20" t="s">
        <v>52</v>
      </c>
      <c r="B28" s="21" t="s">
        <v>53</v>
      </c>
      <c r="C28" s="1">
        <f t="shared" si="1"/>
        <v>26</v>
      </c>
      <c r="D28" s="15">
        <f>VLOOKUP(A28,TDP!A:C,3,FALSE)</f>
        <v>0.35</v>
      </c>
      <c r="E28" s="37">
        <f t="shared" si="2"/>
        <v>20.25</v>
      </c>
      <c r="F28" s="1">
        <f>VLOOKUP($A28,Valoracion!$A:$J,9,FALSE)</f>
        <v>3</v>
      </c>
      <c r="G28" s="7"/>
      <c r="H28" s="39">
        <f t="shared" si="58"/>
        <v>0</v>
      </c>
      <c r="I28" s="7"/>
      <c r="J28" s="7"/>
      <c r="K28" s="7"/>
      <c r="L28" s="39">
        <f t="shared" si="59"/>
        <v>0</v>
      </c>
      <c r="M28" s="7"/>
      <c r="N28" s="7"/>
      <c r="O28" s="7"/>
      <c r="P28" s="39">
        <f t="shared" si="60"/>
        <v>0</v>
      </c>
      <c r="Q28" s="7"/>
      <c r="R28" s="7"/>
      <c r="S28" s="7"/>
      <c r="T28" s="39">
        <f t="shared" si="6"/>
        <v>0</v>
      </c>
      <c r="U28" s="7"/>
      <c r="V28" s="7"/>
      <c r="W28" s="7"/>
      <c r="X28" s="39">
        <f t="shared" si="7"/>
        <v>0</v>
      </c>
      <c r="Y28" s="41"/>
      <c r="Z28" s="41"/>
      <c r="AA28" s="41"/>
      <c r="AB28" s="42">
        <f t="shared" si="8"/>
        <v>0</v>
      </c>
      <c r="AC28" s="7"/>
      <c r="AD28" s="7"/>
      <c r="AE28" s="7"/>
      <c r="AF28" s="39">
        <f t="shared" si="63"/>
        <v>0</v>
      </c>
      <c r="AG28" s="7"/>
      <c r="AH28" s="7"/>
      <c r="AI28" s="7"/>
      <c r="AJ28" s="39">
        <f t="shared" si="10"/>
        <v>0</v>
      </c>
      <c r="AK28" s="7">
        <v>1.0</v>
      </c>
      <c r="AL28" s="7">
        <v>1.0</v>
      </c>
      <c r="AM28" s="7">
        <v>1.0</v>
      </c>
      <c r="AN28" s="162">
        <f t="shared" si="11"/>
        <v>5</v>
      </c>
      <c r="AO28" s="7"/>
      <c r="AP28" s="7"/>
      <c r="AQ28" s="7"/>
      <c r="AR28" s="39">
        <f t="shared" si="12"/>
        <v>0</v>
      </c>
      <c r="AS28" s="7"/>
      <c r="AT28" s="7"/>
      <c r="AU28" s="7"/>
      <c r="AV28" s="39">
        <f t="shared" si="57"/>
        <v>0</v>
      </c>
      <c r="AW28" s="7"/>
      <c r="AX28" s="7"/>
      <c r="AY28" s="7"/>
      <c r="AZ28" s="39">
        <f t="shared" si="66"/>
        <v>0</v>
      </c>
      <c r="BA28" s="7"/>
      <c r="BB28" s="7"/>
      <c r="BC28" s="7"/>
      <c r="BD28" s="39">
        <f t="shared" si="15"/>
        <v>0</v>
      </c>
      <c r="BE28" s="7"/>
      <c r="BF28" s="7"/>
      <c r="BG28" s="7"/>
      <c r="BH28" s="39">
        <f t="shared" si="16"/>
        <v>0</v>
      </c>
      <c r="BI28" s="7"/>
      <c r="BJ28" s="7"/>
      <c r="BK28" s="7"/>
      <c r="BL28" s="39">
        <f t="shared" si="64"/>
        <v>0</v>
      </c>
      <c r="BM28" s="7"/>
      <c r="BN28" s="7"/>
      <c r="BO28" s="7"/>
      <c r="BP28" s="39">
        <f t="shared" si="18"/>
        <v>0</v>
      </c>
      <c r="BQ28" s="7"/>
      <c r="BR28" s="7"/>
      <c r="BS28" s="7"/>
      <c r="BT28" s="39">
        <f t="shared" si="62"/>
        <v>0</v>
      </c>
      <c r="BU28" s="7"/>
      <c r="BV28" s="7"/>
      <c r="BW28" s="7"/>
      <c r="BX28" s="39">
        <f t="shared" si="20"/>
        <v>0</v>
      </c>
      <c r="BY28" s="7"/>
      <c r="BZ28" s="7"/>
      <c r="CA28" s="7"/>
      <c r="CB28" s="39">
        <f t="shared" si="67"/>
        <v>0</v>
      </c>
      <c r="CC28" s="7"/>
      <c r="CD28" s="7"/>
      <c r="CE28" s="7"/>
      <c r="CF28" s="39">
        <f t="shared" si="22"/>
        <v>0</v>
      </c>
      <c r="CG28" s="7"/>
      <c r="CH28" s="7"/>
      <c r="CI28" s="7"/>
      <c r="CJ28" s="39">
        <f t="shared" si="23"/>
        <v>0</v>
      </c>
      <c r="CK28" s="7"/>
      <c r="CL28" s="7"/>
      <c r="CM28" s="7"/>
      <c r="CN28" s="39">
        <f t="shared" si="24"/>
        <v>0</v>
      </c>
      <c r="CO28" s="7"/>
      <c r="CP28" s="7"/>
      <c r="CQ28" s="7"/>
      <c r="CR28" s="39">
        <f t="shared" si="25"/>
        <v>0</v>
      </c>
      <c r="CS28" s="7"/>
      <c r="CT28" s="7"/>
      <c r="CU28" s="7"/>
      <c r="CV28" s="39">
        <f t="shared" si="26"/>
        <v>0</v>
      </c>
      <c r="CW28" s="7">
        <v>1.0</v>
      </c>
      <c r="CX28" s="7">
        <v>1.0</v>
      </c>
      <c r="CY28" s="7">
        <v>1.0</v>
      </c>
      <c r="CZ28" s="39">
        <f t="shared" si="27"/>
        <v>5</v>
      </c>
      <c r="DA28" s="7"/>
      <c r="DB28" s="7"/>
      <c r="DC28" s="7"/>
      <c r="DD28" s="39">
        <f t="shared" si="28"/>
        <v>0</v>
      </c>
      <c r="DE28" s="7"/>
      <c r="DF28" s="7"/>
      <c r="DG28" s="7"/>
      <c r="DH28" s="39">
        <f t="shared" si="29"/>
        <v>0</v>
      </c>
      <c r="DI28" s="7"/>
      <c r="DJ28" s="7"/>
      <c r="DK28" s="7"/>
      <c r="DL28" s="39">
        <f t="shared" si="30"/>
        <v>0</v>
      </c>
      <c r="DM28" s="7"/>
      <c r="DN28" s="7"/>
      <c r="DO28" s="7"/>
      <c r="DP28" s="39">
        <f t="shared" si="31"/>
        <v>0</v>
      </c>
      <c r="DQ28" s="7"/>
      <c r="DR28" s="7"/>
      <c r="DS28" s="7"/>
      <c r="DT28" s="39">
        <f t="shared" si="32"/>
        <v>0</v>
      </c>
      <c r="DU28" s="7"/>
      <c r="DV28" s="7"/>
      <c r="DW28" s="7"/>
      <c r="DX28" s="39">
        <f t="shared" si="33"/>
        <v>0</v>
      </c>
      <c r="DY28" s="7"/>
      <c r="DZ28" s="7"/>
      <c r="EA28" s="7"/>
      <c r="EB28" s="39">
        <f t="shared" si="34"/>
        <v>0</v>
      </c>
      <c r="EC28" s="7"/>
      <c r="ED28" s="7"/>
      <c r="EE28" s="7"/>
      <c r="EF28" s="39">
        <f t="shared" si="35"/>
        <v>0</v>
      </c>
      <c r="EG28" s="7"/>
      <c r="EH28" s="7"/>
      <c r="EI28" s="7"/>
      <c r="EJ28" s="39">
        <f t="shared" si="36"/>
        <v>0</v>
      </c>
      <c r="EK28" s="7"/>
      <c r="EL28" s="7"/>
      <c r="EM28" s="7"/>
      <c r="EN28" s="39">
        <f t="shared" si="37"/>
        <v>0</v>
      </c>
      <c r="EO28" s="7"/>
      <c r="EP28" s="7"/>
      <c r="EQ28" s="7"/>
      <c r="ER28" s="39">
        <f t="shared" si="38"/>
        <v>0</v>
      </c>
      <c r="ES28" s="7"/>
      <c r="ET28" s="7"/>
      <c r="EU28" s="7"/>
      <c r="EV28" s="39">
        <f t="shared" si="39"/>
        <v>0</v>
      </c>
      <c r="EW28" s="7"/>
      <c r="EX28" s="7"/>
      <c r="EY28" s="7"/>
      <c r="EZ28" s="39">
        <f t="shared" si="40"/>
        <v>0</v>
      </c>
      <c r="FA28" s="7"/>
      <c r="FB28" s="7"/>
      <c r="FC28" s="7"/>
      <c r="FD28" s="39">
        <f t="shared" si="41"/>
        <v>0</v>
      </c>
      <c r="FE28" s="7"/>
      <c r="FF28" s="7"/>
      <c r="FG28" s="7"/>
      <c r="FH28" s="39">
        <f t="shared" si="42"/>
        <v>0</v>
      </c>
      <c r="FI28" s="7"/>
      <c r="FJ28" s="7"/>
      <c r="FK28" s="7"/>
      <c r="FL28" s="39">
        <f t="shared" si="43"/>
        <v>0</v>
      </c>
      <c r="FM28" s="7"/>
      <c r="FN28" s="7"/>
      <c r="FO28" s="7"/>
      <c r="FP28" s="39">
        <f t="shared" si="44"/>
        <v>0</v>
      </c>
      <c r="FQ28" s="7"/>
      <c r="FR28" s="7"/>
      <c r="FS28" s="7"/>
      <c r="FT28" s="39">
        <f t="shared" si="45"/>
        <v>0</v>
      </c>
      <c r="FU28" s="7"/>
      <c r="FV28" s="7"/>
      <c r="FW28" s="7"/>
      <c r="FX28" s="39">
        <f t="shared" si="46"/>
        <v>0</v>
      </c>
      <c r="FY28" s="7"/>
      <c r="FZ28" s="7"/>
      <c r="GA28" s="7"/>
      <c r="GB28" s="39">
        <f t="shared" si="47"/>
        <v>0</v>
      </c>
      <c r="GC28" s="7"/>
      <c r="GD28" s="7"/>
      <c r="GE28" s="7"/>
      <c r="GF28" s="39">
        <f t="shared" si="48"/>
        <v>0</v>
      </c>
      <c r="GG28" s="7"/>
      <c r="GH28" s="7"/>
      <c r="GI28" s="7"/>
      <c r="GJ28" s="39">
        <f t="shared" si="49"/>
        <v>0</v>
      </c>
      <c r="GK28" s="7"/>
      <c r="GL28" s="7"/>
      <c r="GM28" s="7"/>
      <c r="GN28" s="39">
        <f t="shared" si="50"/>
        <v>0</v>
      </c>
      <c r="GO28" s="7"/>
      <c r="GP28" s="7"/>
      <c r="GQ28" s="7"/>
      <c r="GR28" s="39">
        <f t="shared" si="51"/>
        <v>0</v>
      </c>
      <c r="GS28" s="7"/>
      <c r="GT28" s="7"/>
      <c r="GU28" s="7"/>
      <c r="GV28" s="39">
        <f t="shared" si="52"/>
        <v>0</v>
      </c>
      <c r="GW28" s="7"/>
      <c r="GX28" s="7"/>
      <c r="GY28" s="7"/>
      <c r="GZ28" s="39">
        <f t="shared" si="53"/>
        <v>0</v>
      </c>
      <c r="HA28" s="7"/>
      <c r="HB28" s="7"/>
      <c r="HC28" s="7"/>
      <c r="HD28" s="39">
        <f t="shared" si="54"/>
        <v>0</v>
      </c>
      <c r="HE28" s="7">
        <v>1.0</v>
      </c>
      <c r="HF28" s="7">
        <v>1.0</v>
      </c>
      <c r="HG28" s="7">
        <v>1.0</v>
      </c>
      <c r="HH28" s="163">
        <f t="shared" si="65"/>
        <v>5</v>
      </c>
    </row>
    <row r="29">
      <c r="A29" s="20" t="s">
        <v>88</v>
      </c>
      <c r="B29" s="21"/>
      <c r="C29" s="1">
        <f t="shared" si="1"/>
        <v>27</v>
      </c>
      <c r="D29" s="15">
        <f>VLOOKUP(A29,TDP!A:C,3,FALSE)</f>
        <v>0.05</v>
      </c>
      <c r="E29" s="37">
        <f t="shared" si="2"/>
        <v>15.75</v>
      </c>
      <c r="F29" s="1">
        <f>VLOOKUP($A29,Valoracion!$A:$J,9,FALSE)</f>
        <v>3</v>
      </c>
      <c r="G29" s="7"/>
      <c r="H29" s="39">
        <f t="shared" si="58"/>
        <v>0</v>
      </c>
      <c r="I29" s="7"/>
      <c r="J29" s="7"/>
      <c r="K29" s="7"/>
      <c r="L29" s="39">
        <f t="shared" si="59"/>
        <v>0</v>
      </c>
      <c r="M29" s="7"/>
      <c r="N29" s="7"/>
      <c r="O29" s="7"/>
      <c r="P29" s="39">
        <f t="shared" si="60"/>
        <v>0</v>
      </c>
      <c r="Q29" s="7"/>
      <c r="R29" s="7"/>
      <c r="S29" s="7"/>
      <c r="T29" s="39">
        <f t="shared" si="6"/>
        <v>0</v>
      </c>
      <c r="U29" s="7"/>
      <c r="V29" s="7"/>
      <c r="W29" s="7"/>
      <c r="X29" s="39">
        <f t="shared" si="7"/>
        <v>0</v>
      </c>
      <c r="Y29" s="41"/>
      <c r="Z29" s="41"/>
      <c r="AA29" s="41"/>
      <c r="AB29" s="42">
        <f t="shared" si="8"/>
        <v>0</v>
      </c>
      <c r="AC29" s="7"/>
      <c r="AD29" s="7"/>
      <c r="AE29" s="7"/>
      <c r="AF29" s="39">
        <f t="shared" si="63"/>
        <v>0</v>
      </c>
      <c r="AG29" s="7"/>
      <c r="AH29" s="7"/>
      <c r="AI29" s="7"/>
      <c r="AJ29" s="39">
        <f t="shared" si="10"/>
        <v>0</v>
      </c>
      <c r="AK29" s="7"/>
      <c r="AL29" s="7"/>
      <c r="AM29" s="7"/>
      <c r="AN29" s="39">
        <f t="shared" si="11"/>
        <v>0</v>
      </c>
      <c r="AO29" s="7"/>
      <c r="AP29" s="7"/>
      <c r="AQ29" s="7"/>
      <c r="AR29" s="39">
        <f t="shared" si="12"/>
        <v>0</v>
      </c>
      <c r="AS29" s="7"/>
      <c r="AT29" s="7"/>
      <c r="AU29" s="7"/>
      <c r="AV29" s="39">
        <f t="shared" si="57"/>
        <v>0</v>
      </c>
      <c r="AW29" s="7"/>
      <c r="AX29" s="7"/>
      <c r="AY29" s="7"/>
      <c r="AZ29" s="39">
        <f t="shared" si="66"/>
        <v>0</v>
      </c>
      <c r="BA29" s="7"/>
      <c r="BB29" s="7"/>
      <c r="BC29" s="7"/>
      <c r="BD29" s="39">
        <f t="shared" si="15"/>
        <v>0</v>
      </c>
      <c r="BE29" s="7"/>
      <c r="BF29" s="7"/>
      <c r="BG29" s="7"/>
      <c r="BH29" s="39">
        <f t="shared" si="16"/>
        <v>0</v>
      </c>
      <c r="BI29" s="7"/>
      <c r="BJ29" s="7"/>
      <c r="BK29" s="7"/>
      <c r="BL29" s="39">
        <f t="shared" si="64"/>
        <v>0</v>
      </c>
      <c r="BM29" s="7"/>
      <c r="BN29" s="7"/>
      <c r="BO29" s="7"/>
      <c r="BP29" s="39">
        <f t="shared" si="18"/>
        <v>0</v>
      </c>
      <c r="BQ29" s="7"/>
      <c r="BR29" s="7"/>
      <c r="BS29" s="7"/>
      <c r="BT29" s="39">
        <f t="shared" si="62"/>
        <v>0</v>
      </c>
      <c r="BU29" s="7"/>
      <c r="BV29" s="7"/>
      <c r="BW29" s="7"/>
      <c r="BX29" s="39">
        <f t="shared" si="20"/>
        <v>0</v>
      </c>
      <c r="BY29" s="7"/>
      <c r="BZ29" s="7"/>
      <c r="CA29" s="7"/>
      <c r="CB29" s="39">
        <f t="shared" si="67"/>
        <v>0</v>
      </c>
      <c r="CC29" s="7"/>
      <c r="CD29" s="7"/>
      <c r="CE29" s="7"/>
      <c r="CF29" s="39">
        <f t="shared" si="22"/>
        <v>0</v>
      </c>
      <c r="CG29" s="7"/>
      <c r="CH29" s="7"/>
      <c r="CI29" s="7"/>
      <c r="CJ29" s="39">
        <f t="shared" si="23"/>
        <v>0</v>
      </c>
      <c r="CK29" s="7"/>
      <c r="CL29" s="7"/>
      <c r="CM29" s="7"/>
      <c r="CN29" s="39">
        <f t="shared" si="24"/>
        <v>0</v>
      </c>
      <c r="CO29" s="7"/>
      <c r="CP29" s="7"/>
      <c r="CQ29" s="7"/>
      <c r="CR29" s="39">
        <f t="shared" si="25"/>
        <v>0</v>
      </c>
      <c r="CS29" s="7"/>
      <c r="CT29" s="7"/>
      <c r="CU29" s="7"/>
      <c r="CV29" s="39">
        <f t="shared" si="26"/>
        <v>0</v>
      </c>
      <c r="CW29" s="7"/>
      <c r="CX29" s="7"/>
      <c r="CY29" s="7"/>
      <c r="CZ29" s="39">
        <f t="shared" si="27"/>
        <v>0</v>
      </c>
      <c r="DA29" s="7">
        <v>1.0</v>
      </c>
      <c r="DB29" s="7">
        <v>1.0</v>
      </c>
      <c r="DC29" s="7">
        <v>1.0</v>
      </c>
      <c r="DD29" s="39">
        <f t="shared" si="28"/>
        <v>5</v>
      </c>
      <c r="DE29" s="7">
        <v>1.0</v>
      </c>
      <c r="DF29" s="7">
        <v>1.0</v>
      </c>
      <c r="DG29" s="7">
        <v>1.0</v>
      </c>
      <c r="DH29" s="39">
        <f t="shared" si="29"/>
        <v>5</v>
      </c>
      <c r="DI29" s="7"/>
      <c r="DJ29" s="7"/>
      <c r="DK29" s="7"/>
      <c r="DL29" s="39">
        <f t="shared" si="30"/>
        <v>0</v>
      </c>
      <c r="DM29" s="7">
        <v>1.0</v>
      </c>
      <c r="DN29" s="7">
        <v>1.0</v>
      </c>
      <c r="DO29" s="7">
        <v>1.0</v>
      </c>
      <c r="DP29" s="39">
        <f t="shared" si="31"/>
        <v>5</v>
      </c>
      <c r="DQ29" s="7"/>
      <c r="DR29" s="7"/>
      <c r="DS29" s="7"/>
      <c r="DT29" s="39">
        <f t="shared" si="32"/>
        <v>0</v>
      </c>
      <c r="DU29" s="7"/>
      <c r="DV29" s="7"/>
      <c r="DW29" s="7"/>
      <c r="DX29" s="39">
        <f t="shared" si="33"/>
        <v>0</v>
      </c>
      <c r="DY29" s="7"/>
      <c r="DZ29" s="7"/>
      <c r="EA29" s="7"/>
      <c r="EB29" s="39">
        <f t="shared" si="34"/>
        <v>0</v>
      </c>
      <c r="EC29" s="7"/>
      <c r="ED29" s="7"/>
      <c r="EE29" s="7"/>
      <c r="EF29" s="39">
        <f t="shared" si="35"/>
        <v>0</v>
      </c>
      <c r="EG29" s="7"/>
      <c r="EH29" s="7"/>
      <c r="EI29" s="7"/>
      <c r="EJ29" s="39">
        <f t="shared" si="36"/>
        <v>0</v>
      </c>
      <c r="EK29" s="7"/>
      <c r="EL29" s="7"/>
      <c r="EM29" s="7"/>
      <c r="EN29" s="39">
        <f t="shared" si="37"/>
        <v>0</v>
      </c>
      <c r="EO29" s="7"/>
      <c r="EP29" s="7"/>
      <c r="EQ29" s="7"/>
      <c r="ER29" s="39">
        <f t="shared" si="38"/>
        <v>0</v>
      </c>
      <c r="ES29" s="7"/>
      <c r="ET29" s="7"/>
      <c r="EU29" s="7"/>
      <c r="EV29" s="39">
        <f t="shared" si="39"/>
        <v>0</v>
      </c>
      <c r="EW29" s="7"/>
      <c r="EX29" s="7"/>
      <c r="EY29" s="7"/>
      <c r="EZ29" s="39">
        <f t="shared" si="40"/>
        <v>0</v>
      </c>
      <c r="FA29" s="7"/>
      <c r="FB29" s="7"/>
      <c r="FC29" s="7"/>
      <c r="FD29" s="39">
        <f t="shared" si="41"/>
        <v>0</v>
      </c>
      <c r="FE29" s="7"/>
      <c r="FF29" s="7"/>
      <c r="FG29" s="7"/>
      <c r="FH29" s="39">
        <f t="shared" si="42"/>
        <v>0</v>
      </c>
      <c r="FI29" s="7"/>
      <c r="FJ29" s="7"/>
      <c r="FK29" s="7"/>
      <c r="FL29" s="39">
        <f t="shared" si="43"/>
        <v>0</v>
      </c>
      <c r="FM29" s="7"/>
      <c r="FN29" s="7"/>
      <c r="FO29" s="7"/>
      <c r="FP29" s="39">
        <f t="shared" si="44"/>
        <v>0</v>
      </c>
      <c r="FQ29" s="7"/>
      <c r="FR29" s="7"/>
      <c r="FS29" s="7"/>
      <c r="FT29" s="39">
        <f t="shared" si="45"/>
        <v>0</v>
      </c>
      <c r="FU29" s="7"/>
      <c r="FV29" s="7"/>
      <c r="FW29" s="7"/>
      <c r="FX29" s="39">
        <f t="shared" si="46"/>
        <v>0</v>
      </c>
      <c r="FY29" s="7"/>
      <c r="FZ29" s="7"/>
      <c r="GA29" s="7"/>
      <c r="GB29" s="39">
        <f t="shared" si="47"/>
        <v>0</v>
      </c>
      <c r="GC29" s="7"/>
      <c r="GD29" s="7"/>
      <c r="GE29" s="7"/>
      <c r="GF29" s="39">
        <f t="shared" si="48"/>
        <v>0</v>
      </c>
      <c r="GG29" s="7"/>
      <c r="GH29" s="7"/>
      <c r="GI29" s="7"/>
      <c r="GJ29" s="39">
        <f t="shared" si="49"/>
        <v>0</v>
      </c>
      <c r="GK29" s="7"/>
      <c r="GL29" s="7"/>
      <c r="GM29" s="7"/>
      <c r="GN29" s="39">
        <f t="shared" si="50"/>
        <v>0</v>
      </c>
      <c r="GO29" s="7"/>
      <c r="GP29" s="7"/>
      <c r="GQ29" s="7"/>
      <c r="GR29" s="39">
        <f t="shared" si="51"/>
        <v>0</v>
      </c>
      <c r="GS29" s="7"/>
      <c r="GT29" s="7"/>
      <c r="GU29" s="7"/>
      <c r="GV29" s="39">
        <f t="shared" si="52"/>
        <v>0</v>
      </c>
      <c r="GW29" s="7"/>
      <c r="GX29" s="7"/>
      <c r="GY29" s="7"/>
      <c r="GZ29" s="39">
        <f t="shared" si="53"/>
        <v>0</v>
      </c>
      <c r="HA29" s="7"/>
      <c r="HB29" s="7"/>
      <c r="HC29" s="7"/>
      <c r="HD29" s="39">
        <f t="shared" si="54"/>
        <v>0</v>
      </c>
      <c r="HE29" s="7"/>
      <c r="HF29" s="7"/>
      <c r="HG29" s="7"/>
      <c r="HH29" s="39">
        <f t="shared" si="65"/>
        <v>0</v>
      </c>
    </row>
    <row r="30">
      <c r="A30" s="20" t="s">
        <v>172</v>
      </c>
      <c r="B30" s="21"/>
      <c r="C30" s="1">
        <f t="shared" si="1"/>
        <v>28</v>
      </c>
      <c r="D30" s="15">
        <f>VLOOKUP(A30,TDP!A:C,3,FALSE)</f>
        <v>0.06</v>
      </c>
      <c r="E30" s="37">
        <f t="shared" si="2"/>
        <v>13.78</v>
      </c>
      <c r="F30" s="1" t="str">
        <f>VLOOKUP($A30,Valoracion!$A:$J,9,FALSE)</f>
        <v>#N/A</v>
      </c>
      <c r="G30" s="7"/>
      <c r="H30" s="39">
        <f t="shared" si="58"/>
        <v>0</v>
      </c>
      <c r="I30" s="7"/>
      <c r="J30" s="7"/>
      <c r="K30" s="7"/>
      <c r="L30" s="39">
        <f t="shared" si="59"/>
        <v>0</v>
      </c>
      <c r="M30" s="7"/>
      <c r="N30" s="7"/>
      <c r="O30" s="7"/>
      <c r="P30" s="39">
        <f t="shared" si="60"/>
        <v>0</v>
      </c>
      <c r="Q30" s="7"/>
      <c r="R30" s="7"/>
      <c r="S30" s="7"/>
      <c r="T30" s="39">
        <f t="shared" si="6"/>
        <v>0</v>
      </c>
      <c r="U30" s="7"/>
      <c r="V30" s="7"/>
      <c r="W30" s="7"/>
      <c r="X30" s="39">
        <f t="shared" si="7"/>
        <v>0</v>
      </c>
      <c r="Y30" s="41"/>
      <c r="Z30" s="41"/>
      <c r="AA30" s="41"/>
      <c r="AB30" s="42">
        <f t="shared" si="8"/>
        <v>0</v>
      </c>
      <c r="AC30" s="7"/>
      <c r="AD30" s="7"/>
      <c r="AE30" s="7"/>
      <c r="AF30" s="39">
        <f t="shared" si="63"/>
        <v>0</v>
      </c>
      <c r="AG30" s="7"/>
      <c r="AH30" s="7"/>
      <c r="AI30" s="7"/>
      <c r="AJ30" s="39">
        <f t="shared" si="10"/>
        <v>0</v>
      </c>
      <c r="AK30" s="7"/>
      <c r="AL30" s="7"/>
      <c r="AM30" s="7"/>
      <c r="AN30" s="39">
        <f t="shared" si="11"/>
        <v>0</v>
      </c>
      <c r="AO30" s="7"/>
      <c r="AP30" s="7"/>
      <c r="AQ30" s="7"/>
      <c r="AR30" s="39">
        <f t="shared" si="12"/>
        <v>0</v>
      </c>
      <c r="AS30" s="7"/>
      <c r="AT30" s="7"/>
      <c r="AU30" s="7"/>
      <c r="AV30" s="39">
        <f t="shared" si="57"/>
        <v>0</v>
      </c>
      <c r="AW30" s="7"/>
      <c r="AX30" s="7"/>
      <c r="AY30" s="7"/>
      <c r="AZ30" s="39">
        <f t="shared" si="66"/>
        <v>0</v>
      </c>
      <c r="BA30" s="7"/>
      <c r="BB30" s="7"/>
      <c r="BC30" s="7"/>
      <c r="BD30" s="39">
        <f t="shared" si="15"/>
        <v>0</v>
      </c>
      <c r="BE30" s="7"/>
      <c r="BF30" s="7"/>
      <c r="BG30" s="7"/>
      <c r="BH30" s="39">
        <f t="shared" si="16"/>
        <v>0</v>
      </c>
      <c r="BI30" s="7"/>
      <c r="BJ30" s="7"/>
      <c r="BK30" s="7"/>
      <c r="BL30" s="39">
        <f t="shared" si="64"/>
        <v>0</v>
      </c>
      <c r="BM30" s="7"/>
      <c r="BN30" s="7"/>
      <c r="BO30" s="7"/>
      <c r="BP30" s="39">
        <f t="shared" si="18"/>
        <v>0</v>
      </c>
      <c r="BQ30" s="7"/>
      <c r="BR30" s="7"/>
      <c r="BS30" s="7"/>
      <c r="BT30" s="39">
        <f t="shared" si="62"/>
        <v>0</v>
      </c>
      <c r="BU30" s="7"/>
      <c r="BV30" s="7"/>
      <c r="BW30" s="7"/>
      <c r="BX30" s="39">
        <f t="shared" si="20"/>
        <v>0</v>
      </c>
      <c r="BY30" s="7"/>
      <c r="BZ30" s="7"/>
      <c r="CA30" s="7"/>
      <c r="CB30" s="39">
        <f t="shared" si="67"/>
        <v>0</v>
      </c>
      <c r="CC30" s="7"/>
      <c r="CD30" s="7"/>
      <c r="CE30" s="7"/>
      <c r="CF30" s="39">
        <f t="shared" si="22"/>
        <v>0</v>
      </c>
      <c r="CG30" s="7"/>
      <c r="CH30" s="7"/>
      <c r="CI30" s="7"/>
      <c r="CJ30" s="39">
        <f t="shared" si="23"/>
        <v>0</v>
      </c>
      <c r="CK30" s="7">
        <v>1.0</v>
      </c>
      <c r="CL30" s="7">
        <v>1.0</v>
      </c>
      <c r="CM30" s="7">
        <v>1.0</v>
      </c>
      <c r="CN30" s="39">
        <f t="shared" si="24"/>
        <v>5</v>
      </c>
      <c r="CO30" s="7">
        <v>1.0</v>
      </c>
      <c r="CP30" s="7">
        <v>1.0</v>
      </c>
      <c r="CQ30" s="7"/>
      <c r="CR30" s="39">
        <f t="shared" si="25"/>
        <v>3</v>
      </c>
      <c r="CS30" s="7">
        <v>1.0</v>
      </c>
      <c r="CT30" s="7">
        <v>1.0</v>
      </c>
      <c r="CU30" s="7">
        <v>1.0</v>
      </c>
      <c r="CV30" s="39">
        <f t="shared" si="26"/>
        <v>5</v>
      </c>
      <c r="CW30" s="7"/>
      <c r="CX30" s="7"/>
      <c r="CY30" s="7"/>
      <c r="CZ30" s="39">
        <f t="shared" si="27"/>
        <v>0</v>
      </c>
      <c r="DA30" s="7"/>
      <c r="DB30" s="7"/>
      <c r="DC30" s="7"/>
      <c r="DD30" s="39">
        <f t="shared" si="28"/>
        <v>0</v>
      </c>
      <c r="DE30" s="7"/>
      <c r="DF30" s="7"/>
      <c r="DG30" s="7"/>
      <c r="DH30" s="39">
        <f t="shared" si="29"/>
        <v>0</v>
      </c>
      <c r="DI30" s="7"/>
      <c r="DJ30" s="7"/>
      <c r="DK30" s="7"/>
      <c r="DL30" s="39">
        <f t="shared" si="30"/>
        <v>0</v>
      </c>
      <c r="DM30" s="7"/>
      <c r="DN30" s="7"/>
      <c r="DO30" s="7"/>
      <c r="DP30" s="39">
        <f t="shared" si="31"/>
        <v>0</v>
      </c>
      <c r="DQ30" s="7"/>
      <c r="DR30" s="7"/>
      <c r="DS30" s="7"/>
      <c r="DT30" s="39">
        <f t="shared" si="32"/>
        <v>0</v>
      </c>
      <c r="DU30" s="7"/>
      <c r="DV30" s="7"/>
      <c r="DW30" s="7"/>
      <c r="DX30" s="39">
        <f t="shared" si="33"/>
        <v>0</v>
      </c>
      <c r="DY30" s="7"/>
      <c r="DZ30" s="7"/>
      <c r="EA30" s="7"/>
      <c r="EB30" s="39">
        <f t="shared" si="34"/>
        <v>0</v>
      </c>
      <c r="EC30" s="7"/>
      <c r="ED30" s="7"/>
      <c r="EE30" s="7"/>
      <c r="EF30" s="39">
        <f t="shared" si="35"/>
        <v>0</v>
      </c>
      <c r="EG30" s="7"/>
      <c r="EH30" s="7"/>
      <c r="EI30" s="7"/>
      <c r="EJ30" s="39">
        <f t="shared" si="36"/>
        <v>0</v>
      </c>
      <c r="EK30" s="7"/>
      <c r="EL30" s="7"/>
      <c r="EM30" s="7"/>
      <c r="EN30" s="39">
        <f t="shared" si="37"/>
        <v>0</v>
      </c>
      <c r="EO30" s="7"/>
      <c r="EP30" s="7"/>
      <c r="EQ30" s="7"/>
      <c r="ER30" s="39">
        <f t="shared" si="38"/>
        <v>0</v>
      </c>
      <c r="ES30" s="7"/>
      <c r="ET30" s="7"/>
      <c r="EU30" s="7"/>
      <c r="EV30" s="39">
        <f t="shared" si="39"/>
        <v>0</v>
      </c>
      <c r="EW30" s="7"/>
      <c r="EX30" s="7"/>
      <c r="EY30" s="7"/>
      <c r="EZ30" s="39">
        <f t="shared" si="40"/>
        <v>0</v>
      </c>
      <c r="FA30" s="7"/>
      <c r="FB30" s="7"/>
      <c r="FC30" s="7"/>
      <c r="FD30" s="39">
        <f t="shared" si="41"/>
        <v>0</v>
      </c>
      <c r="FE30" s="7"/>
      <c r="FF30" s="7"/>
      <c r="FG30" s="7"/>
      <c r="FH30" s="39">
        <f t="shared" si="42"/>
        <v>0</v>
      </c>
      <c r="FI30" s="7"/>
      <c r="FJ30" s="7"/>
      <c r="FK30" s="7"/>
      <c r="FL30" s="39">
        <f t="shared" si="43"/>
        <v>0</v>
      </c>
      <c r="FM30" s="7"/>
      <c r="FN30" s="7"/>
      <c r="FO30" s="7"/>
      <c r="FP30" s="39">
        <f t="shared" si="44"/>
        <v>0</v>
      </c>
      <c r="FQ30" s="7"/>
      <c r="FR30" s="7"/>
      <c r="FS30" s="7"/>
      <c r="FT30" s="39">
        <f t="shared" si="45"/>
        <v>0</v>
      </c>
      <c r="FU30" s="7"/>
      <c r="FV30" s="7"/>
      <c r="FW30" s="7"/>
      <c r="FX30" s="39">
        <f t="shared" si="46"/>
        <v>0</v>
      </c>
      <c r="FY30" s="7"/>
      <c r="FZ30" s="7"/>
      <c r="GA30" s="7"/>
      <c r="GB30" s="39">
        <f t="shared" si="47"/>
        <v>0</v>
      </c>
      <c r="GC30" s="7"/>
      <c r="GD30" s="7"/>
      <c r="GE30" s="7"/>
      <c r="GF30" s="39">
        <f t="shared" si="48"/>
        <v>0</v>
      </c>
      <c r="GG30" s="7"/>
      <c r="GH30" s="7"/>
      <c r="GI30" s="7"/>
      <c r="GJ30" s="39">
        <f t="shared" si="49"/>
        <v>0</v>
      </c>
      <c r="GK30" s="7"/>
      <c r="GL30" s="7"/>
      <c r="GM30" s="7"/>
      <c r="GN30" s="39">
        <f t="shared" si="50"/>
        <v>0</v>
      </c>
      <c r="GO30" s="7"/>
      <c r="GP30" s="7"/>
      <c r="GQ30" s="7"/>
      <c r="GR30" s="39">
        <f t="shared" si="51"/>
        <v>0</v>
      </c>
      <c r="GS30" s="7"/>
      <c r="GT30" s="7"/>
      <c r="GU30" s="7"/>
      <c r="GV30" s="39">
        <f t="shared" si="52"/>
        <v>0</v>
      </c>
      <c r="GW30" s="7"/>
      <c r="GX30" s="7"/>
      <c r="GY30" s="7"/>
      <c r="GZ30" s="39">
        <f t="shared" si="53"/>
        <v>0</v>
      </c>
      <c r="HA30" s="7"/>
      <c r="HB30" s="7"/>
      <c r="HC30" s="7"/>
      <c r="HD30" s="39">
        <f t="shared" si="54"/>
        <v>0</v>
      </c>
      <c r="HE30" s="7"/>
      <c r="HF30" s="7"/>
      <c r="HG30" s="7"/>
      <c r="HH30" s="39">
        <f t="shared" si="65"/>
        <v>0</v>
      </c>
    </row>
    <row r="31">
      <c r="A31" s="20" t="s">
        <v>80</v>
      </c>
      <c r="B31" s="21" t="s">
        <v>81</v>
      </c>
      <c r="C31" s="1">
        <f t="shared" si="1"/>
        <v>29</v>
      </c>
      <c r="D31" s="15">
        <f>VLOOKUP(A31,TDP!A:C,3,FALSE)</f>
        <v>0.22</v>
      </c>
      <c r="E31" s="37">
        <f t="shared" si="2"/>
        <v>3.66</v>
      </c>
      <c r="F31" s="1">
        <f>VLOOKUP($A31,Valoracion!$A:$J,9,FALSE)</f>
        <v>3</v>
      </c>
      <c r="G31" s="7"/>
      <c r="H31" s="39">
        <f t="shared" si="58"/>
        <v>0</v>
      </c>
      <c r="I31" s="7"/>
      <c r="J31" s="7"/>
      <c r="K31" s="7"/>
      <c r="L31" s="39">
        <f t="shared" si="59"/>
        <v>0</v>
      </c>
      <c r="M31" s="7"/>
      <c r="N31" s="7"/>
      <c r="O31" s="7"/>
      <c r="P31" s="39">
        <f t="shared" si="60"/>
        <v>0</v>
      </c>
      <c r="Q31" s="7"/>
      <c r="R31" s="7"/>
      <c r="S31" s="7"/>
      <c r="T31" s="39">
        <f t="shared" si="6"/>
        <v>0</v>
      </c>
      <c r="U31" s="7"/>
      <c r="V31" s="7"/>
      <c r="W31" s="7"/>
      <c r="X31" s="39">
        <f t="shared" si="7"/>
        <v>0</v>
      </c>
      <c r="Y31" s="41"/>
      <c r="Z31" s="41"/>
      <c r="AA31" s="41"/>
      <c r="AB31" s="42">
        <f t="shared" si="8"/>
        <v>0</v>
      </c>
      <c r="AC31" s="7"/>
      <c r="AD31" s="7"/>
      <c r="AE31" s="7"/>
      <c r="AF31" s="39">
        <f t="shared" si="63"/>
        <v>0</v>
      </c>
      <c r="AG31" s="7"/>
      <c r="AH31" s="7"/>
      <c r="AI31" s="7"/>
      <c r="AJ31" s="39">
        <f t="shared" si="10"/>
        <v>0</v>
      </c>
      <c r="AK31" s="7"/>
      <c r="AL31" s="7"/>
      <c r="AM31" s="7"/>
      <c r="AN31" s="39">
        <f t="shared" si="11"/>
        <v>0</v>
      </c>
      <c r="AO31" s="7"/>
      <c r="AP31" s="7"/>
      <c r="AQ31" s="7"/>
      <c r="AR31" s="39">
        <f t="shared" si="12"/>
        <v>0</v>
      </c>
      <c r="AS31" s="7"/>
      <c r="AT31" s="7"/>
      <c r="AU31" s="7"/>
      <c r="AV31" s="39">
        <f t="shared" si="57"/>
        <v>0</v>
      </c>
      <c r="AW31" s="7"/>
      <c r="AX31" s="7"/>
      <c r="AY31" s="7"/>
      <c r="AZ31" s="39">
        <f t="shared" si="66"/>
        <v>0</v>
      </c>
      <c r="BA31" s="7"/>
      <c r="BB31" s="7"/>
      <c r="BC31" s="7"/>
      <c r="BD31" s="39">
        <f t="shared" si="15"/>
        <v>0</v>
      </c>
      <c r="BE31" s="7"/>
      <c r="BF31" s="7"/>
      <c r="BG31" s="7"/>
      <c r="BH31" s="39">
        <f t="shared" si="16"/>
        <v>0</v>
      </c>
      <c r="BI31" s="7"/>
      <c r="BJ31" s="7"/>
      <c r="BK31" s="7"/>
      <c r="BL31" s="39">
        <f t="shared" si="64"/>
        <v>0</v>
      </c>
      <c r="BM31" s="7"/>
      <c r="BN31" s="7"/>
      <c r="BO31" s="7"/>
      <c r="BP31" s="39">
        <f t="shared" si="18"/>
        <v>0</v>
      </c>
      <c r="BQ31" s="7"/>
      <c r="BR31" s="7"/>
      <c r="BS31" s="7"/>
      <c r="BT31" s="39">
        <f t="shared" si="62"/>
        <v>0</v>
      </c>
      <c r="BU31" s="7"/>
      <c r="BV31" s="7"/>
      <c r="BW31" s="7"/>
      <c r="BX31" s="39">
        <f t="shared" si="20"/>
        <v>0</v>
      </c>
      <c r="BY31" s="7"/>
      <c r="BZ31" s="7"/>
      <c r="CA31" s="7"/>
      <c r="CB31" s="39">
        <f t="shared" si="67"/>
        <v>0</v>
      </c>
      <c r="CC31" s="7"/>
      <c r="CD31" s="7"/>
      <c r="CE31" s="7"/>
      <c r="CF31" s="39">
        <f t="shared" si="22"/>
        <v>0</v>
      </c>
      <c r="CG31" s="7"/>
      <c r="CH31" s="7"/>
      <c r="CI31" s="7"/>
      <c r="CJ31" s="39">
        <f t="shared" si="23"/>
        <v>0</v>
      </c>
      <c r="CK31" s="7"/>
      <c r="CL31" s="7"/>
      <c r="CM31" s="7"/>
      <c r="CN31" s="39">
        <f t="shared" si="24"/>
        <v>0</v>
      </c>
      <c r="CO31" s="7"/>
      <c r="CP31" s="7"/>
      <c r="CQ31" s="7"/>
      <c r="CR31" s="39">
        <f t="shared" si="25"/>
        <v>0</v>
      </c>
      <c r="CS31" s="7"/>
      <c r="CT31" s="7"/>
      <c r="CU31" s="7"/>
      <c r="CV31" s="39">
        <f t="shared" si="26"/>
        <v>0</v>
      </c>
      <c r="CW31" s="7"/>
      <c r="CX31" s="7"/>
      <c r="CY31" s="7"/>
      <c r="CZ31" s="39">
        <f t="shared" si="27"/>
        <v>0</v>
      </c>
      <c r="DA31" s="7"/>
      <c r="DB31" s="7"/>
      <c r="DC31" s="7"/>
      <c r="DD31" s="39">
        <f t="shared" si="28"/>
        <v>0</v>
      </c>
      <c r="DE31" s="7"/>
      <c r="DF31" s="7"/>
      <c r="DG31" s="7"/>
      <c r="DH31" s="39">
        <f t="shared" si="29"/>
        <v>0</v>
      </c>
      <c r="DI31" s="7"/>
      <c r="DJ31" s="7"/>
      <c r="DK31" s="7"/>
      <c r="DL31" s="39">
        <f t="shared" si="30"/>
        <v>0</v>
      </c>
      <c r="DM31" s="7"/>
      <c r="DN31" s="7"/>
      <c r="DO31" s="7"/>
      <c r="DP31" s="39">
        <f t="shared" si="31"/>
        <v>0</v>
      </c>
      <c r="DQ31" s="7"/>
      <c r="DR31" s="7"/>
      <c r="DS31" s="7"/>
      <c r="DT31" s="39">
        <f t="shared" si="32"/>
        <v>0</v>
      </c>
      <c r="DU31" s="7"/>
      <c r="DV31" s="7"/>
      <c r="DW31" s="7"/>
      <c r="DX31" s="39">
        <f t="shared" si="33"/>
        <v>0</v>
      </c>
      <c r="DY31" s="7"/>
      <c r="DZ31" s="7"/>
      <c r="EA31" s="7"/>
      <c r="EB31" s="39">
        <f t="shared" si="34"/>
        <v>0</v>
      </c>
      <c r="EC31" s="7"/>
      <c r="ED31" s="7"/>
      <c r="EE31" s="7"/>
      <c r="EF31" s="39">
        <f t="shared" si="35"/>
        <v>0</v>
      </c>
      <c r="EG31" s="7"/>
      <c r="EH31" s="7"/>
      <c r="EI31" s="7"/>
      <c r="EJ31" s="39">
        <f t="shared" si="36"/>
        <v>0</v>
      </c>
      <c r="EK31" s="7"/>
      <c r="EL31" s="7"/>
      <c r="EM31" s="7"/>
      <c r="EN31" s="39">
        <f t="shared" si="37"/>
        <v>0</v>
      </c>
      <c r="EO31" s="7"/>
      <c r="EP31" s="7"/>
      <c r="EQ31" s="7"/>
      <c r="ER31" s="39">
        <f t="shared" si="38"/>
        <v>0</v>
      </c>
      <c r="ES31" s="7"/>
      <c r="ET31" s="7"/>
      <c r="EU31" s="7"/>
      <c r="EV31" s="39">
        <f t="shared" si="39"/>
        <v>0</v>
      </c>
      <c r="EW31" s="7"/>
      <c r="EX31" s="7"/>
      <c r="EY31" s="7"/>
      <c r="EZ31" s="39">
        <f t="shared" si="40"/>
        <v>0</v>
      </c>
      <c r="FA31" s="7"/>
      <c r="FB31" s="7"/>
      <c r="FC31" s="7"/>
      <c r="FD31" s="39">
        <f t="shared" si="41"/>
        <v>0</v>
      </c>
      <c r="FE31" s="7"/>
      <c r="FF31" s="7"/>
      <c r="FG31" s="7"/>
      <c r="FH31" s="39">
        <f t="shared" si="42"/>
        <v>0</v>
      </c>
      <c r="FI31" s="7"/>
      <c r="FJ31" s="7"/>
      <c r="FK31" s="7"/>
      <c r="FL31" s="39">
        <f t="shared" si="43"/>
        <v>0</v>
      </c>
      <c r="FM31" s="7"/>
      <c r="FN31" s="7"/>
      <c r="FO31" s="7"/>
      <c r="FP31" s="39">
        <f t="shared" si="44"/>
        <v>0</v>
      </c>
      <c r="FQ31" s="7"/>
      <c r="FR31" s="7"/>
      <c r="FS31" s="7"/>
      <c r="FT31" s="39">
        <f t="shared" si="45"/>
        <v>0</v>
      </c>
      <c r="FU31" s="7"/>
      <c r="FV31" s="7"/>
      <c r="FW31" s="7"/>
      <c r="FX31" s="39">
        <f t="shared" si="46"/>
        <v>0</v>
      </c>
      <c r="FY31" s="7"/>
      <c r="FZ31" s="7"/>
      <c r="GA31" s="7"/>
      <c r="GB31" s="39">
        <f t="shared" si="47"/>
        <v>0</v>
      </c>
      <c r="GC31" s="7"/>
      <c r="GD31" s="7"/>
      <c r="GE31" s="7"/>
      <c r="GF31" s="39">
        <f t="shared" si="48"/>
        <v>0</v>
      </c>
      <c r="GG31" s="7"/>
      <c r="GH31" s="7"/>
      <c r="GI31" s="7"/>
      <c r="GJ31" s="39">
        <f t="shared" si="49"/>
        <v>0</v>
      </c>
      <c r="GK31" s="7"/>
      <c r="GL31" s="7"/>
      <c r="GM31" s="7"/>
      <c r="GN31" s="39">
        <f t="shared" si="50"/>
        <v>0</v>
      </c>
      <c r="GO31" s="7"/>
      <c r="GP31" s="7"/>
      <c r="GQ31" s="7"/>
      <c r="GR31" s="39">
        <f t="shared" si="51"/>
        <v>0</v>
      </c>
      <c r="GS31" s="7"/>
      <c r="GT31" s="7"/>
      <c r="GU31" s="7"/>
      <c r="GV31" s="39">
        <f t="shared" si="52"/>
        <v>0</v>
      </c>
      <c r="GW31" s="7"/>
      <c r="GX31" s="7"/>
      <c r="GY31" s="7"/>
      <c r="GZ31" s="39">
        <f t="shared" si="53"/>
        <v>0</v>
      </c>
      <c r="HA31" s="7">
        <v>1.0</v>
      </c>
      <c r="HB31" s="7">
        <v>1.0</v>
      </c>
      <c r="HC31" s="7"/>
      <c r="HD31" s="39">
        <f t="shared" si="54"/>
        <v>3</v>
      </c>
      <c r="HE31" s="7"/>
      <c r="HF31" s="7"/>
      <c r="HG31" s="7"/>
      <c r="HH31" s="39">
        <f t="shared" si="65"/>
        <v>0</v>
      </c>
    </row>
    <row r="32">
      <c r="A32" s="20" t="s">
        <v>82</v>
      </c>
      <c r="B32" s="21" t="s">
        <v>83</v>
      </c>
      <c r="C32" s="1">
        <f t="shared" si="1"/>
        <v>30</v>
      </c>
      <c r="D32" s="15">
        <f>VLOOKUP(A32,TDP!A:C,3,FALSE)</f>
        <v>0.25</v>
      </c>
      <c r="E32" s="37">
        <f t="shared" si="2"/>
        <v>3.75</v>
      </c>
      <c r="F32" s="1">
        <f>VLOOKUP($A32,Valoracion!$A:$J,9,FALSE)</f>
        <v>3</v>
      </c>
      <c r="G32" s="7"/>
      <c r="H32" s="39">
        <f t="shared" si="58"/>
        <v>0</v>
      </c>
      <c r="I32" s="7"/>
      <c r="J32" s="7"/>
      <c r="K32" s="7"/>
      <c r="L32" s="39">
        <f t="shared" si="59"/>
        <v>0</v>
      </c>
      <c r="M32" s="7"/>
      <c r="N32" s="7"/>
      <c r="O32" s="7"/>
      <c r="P32" s="39">
        <f t="shared" si="60"/>
        <v>0</v>
      </c>
      <c r="Q32" s="7"/>
      <c r="R32" s="7"/>
      <c r="S32" s="7"/>
      <c r="T32" s="39">
        <f t="shared" si="6"/>
        <v>0</v>
      </c>
      <c r="U32" s="7"/>
      <c r="V32" s="7"/>
      <c r="W32" s="7"/>
      <c r="X32" s="39">
        <f t="shared" si="7"/>
        <v>0</v>
      </c>
      <c r="Y32" s="41"/>
      <c r="Z32" s="41"/>
      <c r="AA32" s="41"/>
      <c r="AB32" s="42">
        <f t="shared" si="8"/>
        <v>0</v>
      </c>
      <c r="AC32" s="7"/>
      <c r="AD32" s="7"/>
      <c r="AE32" s="7"/>
      <c r="AF32" s="39">
        <f t="shared" si="63"/>
        <v>0</v>
      </c>
      <c r="AG32" s="7"/>
      <c r="AH32" s="7"/>
      <c r="AI32" s="7"/>
      <c r="AJ32" s="39">
        <f t="shared" si="10"/>
        <v>0</v>
      </c>
      <c r="AK32" s="7"/>
      <c r="AL32" s="7"/>
      <c r="AM32" s="7"/>
      <c r="AN32" s="39">
        <f t="shared" si="11"/>
        <v>0</v>
      </c>
      <c r="AO32" s="7"/>
      <c r="AP32" s="7"/>
      <c r="AQ32" s="7"/>
      <c r="AR32" s="39">
        <f t="shared" si="12"/>
        <v>0</v>
      </c>
      <c r="AS32" s="7"/>
      <c r="AT32" s="7"/>
      <c r="AU32" s="7"/>
      <c r="AV32" s="39">
        <f t="shared" si="57"/>
        <v>0</v>
      </c>
      <c r="AW32" s="7"/>
      <c r="AX32" s="7"/>
      <c r="AY32" s="7"/>
      <c r="AZ32" s="39">
        <f t="shared" si="66"/>
        <v>0</v>
      </c>
      <c r="BA32" s="7"/>
      <c r="BB32" s="7"/>
      <c r="BC32" s="7"/>
      <c r="BD32" s="39">
        <f t="shared" si="15"/>
        <v>0</v>
      </c>
      <c r="BE32" s="7"/>
      <c r="BF32" s="7"/>
      <c r="BG32" s="7"/>
      <c r="BH32" s="39">
        <f t="shared" si="16"/>
        <v>0</v>
      </c>
      <c r="BI32" s="7"/>
      <c r="BJ32" s="7"/>
      <c r="BK32" s="7"/>
      <c r="BL32" s="39">
        <f t="shared" si="64"/>
        <v>0</v>
      </c>
      <c r="BM32" s="7"/>
      <c r="BN32" s="7"/>
      <c r="BO32" s="7"/>
      <c r="BP32" s="39">
        <f t="shared" si="18"/>
        <v>0</v>
      </c>
      <c r="BQ32" s="7"/>
      <c r="BR32" s="7"/>
      <c r="BS32" s="7"/>
      <c r="BT32" s="39">
        <f t="shared" si="62"/>
        <v>0</v>
      </c>
      <c r="BU32" s="7"/>
      <c r="BV32" s="7"/>
      <c r="BW32" s="7"/>
      <c r="BX32" s="39">
        <f t="shared" si="20"/>
        <v>0</v>
      </c>
      <c r="BY32" s="7"/>
      <c r="BZ32" s="7"/>
      <c r="CA32" s="7"/>
      <c r="CB32" s="39">
        <f t="shared" si="67"/>
        <v>0</v>
      </c>
      <c r="CC32" s="7"/>
      <c r="CD32" s="7"/>
      <c r="CE32" s="7"/>
      <c r="CF32" s="39">
        <f t="shared" si="22"/>
        <v>0</v>
      </c>
      <c r="CG32" s="7"/>
      <c r="CH32" s="7"/>
      <c r="CI32" s="7"/>
      <c r="CJ32" s="39">
        <f t="shared" si="23"/>
        <v>0</v>
      </c>
      <c r="CK32" s="7"/>
      <c r="CL32" s="7"/>
      <c r="CM32" s="7"/>
      <c r="CN32" s="39">
        <f t="shared" si="24"/>
        <v>0</v>
      </c>
      <c r="CO32" s="7"/>
      <c r="CP32" s="7"/>
      <c r="CQ32" s="7"/>
      <c r="CR32" s="39">
        <f t="shared" si="25"/>
        <v>0</v>
      </c>
      <c r="CS32" s="7"/>
      <c r="CT32" s="7"/>
      <c r="CU32" s="7"/>
      <c r="CV32" s="39">
        <f t="shared" si="26"/>
        <v>0</v>
      </c>
      <c r="CW32" s="7"/>
      <c r="CX32" s="7"/>
      <c r="CY32" s="7"/>
      <c r="CZ32" s="39">
        <f t="shared" si="27"/>
        <v>0</v>
      </c>
      <c r="DA32" s="7"/>
      <c r="DB32" s="7"/>
      <c r="DC32" s="7"/>
      <c r="DD32" s="39">
        <f t="shared" si="28"/>
        <v>0</v>
      </c>
      <c r="DE32" s="7"/>
      <c r="DF32" s="7"/>
      <c r="DG32" s="7"/>
      <c r="DH32" s="39">
        <f t="shared" si="29"/>
        <v>0</v>
      </c>
      <c r="DI32" s="7"/>
      <c r="DJ32" s="7"/>
      <c r="DK32" s="7"/>
      <c r="DL32" s="39">
        <f t="shared" si="30"/>
        <v>0</v>
      </c>
      <c r="DM32" s="7"/>
      <c r="DN32" s="7"/>
      <c r="DO32" s="7"/>
      <c r="DP32" s="39">
        <f t="shared" si="31"/>
        <v>0</v>
      </c>
      <c r="DQ32" s="7"/>
      <c r="DR32" s="7"/>
      <c r="DS32" s="7"/>
      <c r="DT32" s="39">
        <f t="shared" si="32"/>
        <v>0</v>
      </c>
      <c r="DU32" s="7"/>
      <c r="DV32" s="7"/>
      <c r="DW32" s="7"/>
      <c r="DX32" s="39">
        <f t="shared" si="33"/>
        <v>0</v>
      </c>
      <c r="DY32" s="7"/>
      <c r="DZ32" s="7"/>
      <c r="EA32" s="7"/>
      <c r="EB32" s="39">
        <f t="shared" si="34"/>
        <v>0</v>
      </c>
      <c r="EC32" s="7"/>
      <c r="ED32" s="7"/>
      <c r="EE32" s="7"/>
      <c r="EF32" s="39">
        <f t="shared" si="35"/>
        <v>0</v>
      </c>
      <c r="EG32" s="7"/>
      <c r="EH32" s="7"/>
      <c r="EI32" s="7"/>
      <c r="EJ32" s="39">
        <f t="shared" si="36"/>
        <v>0</v>
      </c>
      <c r="EK32" s="7"/>
      <c r="EL32" s="7"/>
      <c r="EM32" s="7"/>
      <c r="EN32" s="39">
        <f t="shared" si="37"/>
        <v>0</v>
      </c>
      <c r="EO32" s="7"/>
      <c r="EP32" s="7"/>
      <c r="EQ32" s="7"/>
      <c r="ER32" s="39">
        <f t="shared" si="38"/>
        <v>0</v>
      </c>
      <c r="ES32" s="7"/>
      <c r="ET32" s="7"/>
      <c r="EU32" s="7"/>
      <c r="EV32" s="39">
        <f t="shared" si="39"/>
        <v>0</v>
      </c>
      <c r="EW32" s="7"/>
      <c r="EX32" s="7"/>
      <c r="EY32" s="7"/>
      <c r="EZ32" s="39">
        <f t="shared" si="40"/>
        <v>0</v>
      </c>
      <c r="FA32" s="7"/>
      <c r="FB32" s="7"/>
      <c r="FC32" s="7"/>
      <c r="FD32" s="39">
        <f t="shared" si="41"/>
        <v>0</v>
      </c>
      <c r="FE32" s="7"/>
      <c r="FF32" s="7"/>
      <c r="FG32" s="7"/>
      <c r="FH32" s="39">
        <f t="shared" si="42"/>
        <v>0</v>
      </c>
      <c r="FI32" s="7"/>
      <c r="FJ32" s="7"/>
      <c r="FK32" s="7"/>
      <c r="FL32" s="39">
        <f t="shared" si="43"/>
        <v>0</v>
      </c>
      <c r="FM32" s="7"/>
      <c r="FN32" s="7"/>
      <c r="FO32" s="7"/>
      <c r="FP32" s="39">
        <f t="shared" si="44"/>
        <v>0</v>
      </c>
      <c r="FQ32" s="7"/>
      <c r="FR32" s="7"/>
      <c r="FS32" s="7"/>
      <c r="FT32" s="39">
        <f t="shared" si="45"/>
        <v>0</v>
      </c>
      <c r="FU32" s="7"/>
      <c r="FV32" s="7"/>
      <c r="FW32" s="7"/>
      <c r="FX32" s="39">
        <f t="shared" si="46"/>
        <v>0</v>
      </c>
      <c r="FY32" s="7"/>
      <c r="FZ32" s="7"/>
      <c r="GA32" s="7"/>
      <c r="GB32" s="39">
        <f t="shared" si="47"/>
        <v>0</v>
      </c>
      <c r="GC32" s="7"/>
      <c r="GD32" s="7"/>
      <c r="GE32" s="7"/>
      <c r="GF32" s="39">
        <f t="shared" si="48"/>
        <v>0</v>
      </c>
      <c r="GG32" s="7"/>
      <c r="GH32" s="7"/>
      <c r="GI32" s="7"/>
      <c r="GJ32" s="39">
        <f t="shared" si="49"/>
        <v>0</v>
      </c>
      <c r="GK32" s="7"/>
      <c r="GL32" s="7"/>
      <c r="GM32" s="7"/>
      <c r="GN32" s="39">
        <f t="shared" si="50"/>
        <v>0</v>
      </c>
      <c r="GO32" s="7"/>
      <c r="GP32" s="7"/>
      <c r="GQ32" s="7"/>
      <c r="GR32" s="39">
        <f t="shared" si="51"/>
        <v>0</v>
      </c>
      <c r="GS32" s="7"/>
      <c r="GT32" s="7"/>
      <c r="GU32" s="7"/>
      <c r="GV32" s="39">
        <f t="shared" si="52"/>
        <v>0</v>
      </c>
      <c r="GW32" s="7"/>
      <c r="GX32" s="7"/>
      <c r="GY32" s="7"/>
      <c r="GZ32" s="39">
        <f t="shared" si="53"/>
        <v>0</v>
      </c>
      <c r="HA32" s="7">
        <v>1.0</v>
      </c>
      <c r="HB32" s="7">
        <v>1.0</v>
      </c>
      <c r="HC32" s="7"/>
      <c r="HD32" s="39">
        <f t="shared" si="54"/>
        <v>3</v>
      </c>
      <c r="HE32" s="7"/>
      <c r="HF32" s="7"/>
      <c r="HG32" s="7"/>
      <c r="HH32" s="39">
        <f t="shared" si="65"/>
        <v>0</v>
      </c>
    </row>
    <row r="33">
      <c r="A33" s="20" t="s">
        <v>103</v>
      </c>
      <c r="B33" s="21" t="s">
        <v>104</v>
      </c>
      <c r="C33" s="1">
        <f t="shared" si="1"/>
        <v>31</v>
      </c>
      <c r="D33" s="15">
        <f>VLOOKUP(A33,TDP!A:C,3,FALSE)</f>
        <v>0.17</v>
      </c>
      <c r="E33" s="37">
        <f t="shared" si="2"/>
        <v>3.51</v>
      </c>
      <c r="F33" s="1">
        <f>VLOOKUP($A33,Valoracion!$A:$J,9,FALSE)</f>
        <v>3</v>
      </c>
      <c r="G33" s="7"/>
      <c r="H33" s="39">
        <f t="shared" si="58"/>
        <v>0</v>
      </c>
      <c r="I33" s="7"/>
      <c r="J33" s="7"/>
      <c r="K33" s="7"/>
      <c r="L33" s="39">
        <f t="shared" si="59"/>
        <v>0</v>
      </c>
      <c r="M33" s="7"/>
      <c r="N33" s="7"/>
      <c r="O33" s="7"/>
      <c r="P33" s="39">
        <f t="shared" si="60"/>
        <v>0</v>
      </c>
      <c r="Q33" s="7"/>
      <c r="R33" s="7"/>
      <c r="S33" s="7"/>
      <c r="T33" s="39">
        <f t="shared" si="6"/>
        <v>0</v>
      </c>
      <c r="U33" s="7"/>
      <c r="V33" s="7"/>
      <c r="W33" s="7"/>
      <c r="X33" s="39">
        <f t="shared" si="7"/>
        <v>0</v>
      </c>
      <c r="Y33" s="41"/>
      <c r="Z33" s="41"/>
      <c r="AA33" s="41"/>
      <c r="AB33" s="42">
        <f t="shared" si="8"/>
        <v>0</v>
      </c>
      <c r="AC33" s="7"/>
      <c r="AD33" s="7"/>
      <c r="AE33" s="7"/>
      <c r="AF33" s="39">
        <f t="shared" si="63"/>
        <v>0</v>
      </c>
      <c r="AG33" s="7"/>
      <c r="AH33" s="7"/>
      <c r="AI33" s="7"/>
      <c r="AJ33" s="39">
        <f t="shared" si="10"/>
        <v>0</v>
      </c>
      <c r="AK33" s="7"/>
      <c r="AL33" s="7"/>
      <c r="AM33" s="7"/>
      <c r="AN33" s="39">
        <f t="shared" si="11"/>
        <v>0</v>
      </c>
      <c r="AO33" s="7"/>
      <c r="AP33" s="7"/>
      <c r="AQ33" s="7"/>
      <c r="AR33" s="39">
        <f t="shared" si="12"/>
        <v>0</v>
      </c>
      <c r="AS33" s="7"/>
      <c r="AT33" s="7"/>
      <c r="AU33" s="7"/>
      <c r="AV33" s="39">
        <f t="shared" si="57"/>
        <v>0</v>
      </c>
      <c r="AW33" s="7"/>
      <c r="AX33" s="7"/>
      <c r="AY33" s="7"/>
      <c r="AZ33" s="39">
        <f t="shared" si="66"/>
        <v>0</v>
      </c>
      <c r="BA33" s="7"/>
      <c r="BB33" s="7"/>
      <c r="BC33" s="7"/>
      <c r="BD33" s="39">
        <f t="shared" si="15"/>
        <v>0</v>
      </c>
      <c r="BE33" s="7"/>
      <c r="BF33" s="7"/>
      <c r="BG33" s="7"/>
      <c r="BH33" s="39">
        <f t="shared" si="16"/>
        <v>0</v>
      </c>
      <c r="BI33" s="7"/>
      <c r="BJ33" s="7"/>
      <c r="BK33" s="7"/>
      <c r="BL33" s="39">
        <f t="shared" si="64"/>
        <v>0</v>
      </c>
      <c r="BM33" s="7"/>
      <c r="BN33" s="7"/>
      <c r="BO33" s="7"/>
      <c r="BP33" s="39">
        <f t="shared" si="18"/>
        <v>0</v>
      </c>
      <c r="BQ33" s="7"/>
      <c r="BR33" s="7"/>
      <c r="BS33" s="7"/>
      <c r="BT33" s="39">
        <f t="shared" si="62"/>
        <v>0</v>
      </c>
      <c r="BU33" s="7"/>
      <c r="BV33" s="7"/>
      <c r="BW33" s="7"/>
      <c r="BX33" s="39">
        <f t="shared" si="20"/>
        <v>0</v>
      </c>
      <c r="BY33" s="7"/>
      <c r="BZ33" s="7"/>
      <c r="CA33" s="7"/>
      <c r="CB33" s="39">
        <f t="shared" si="67"/>
        <v>0</v>
      </c>
      <c r="CC33" s="7"/>
      <c r="CD33" s="7"/>
      <c r="CE33" s="7"/>
      <c r="CF33" s="39">
        <f t="shared" si="22"/>
        <v>0</v>
      </c>
      <c r="CG33" s="7"/>
      <c r="CH33" s="7"/>
      <c r="CI33" s="7"/>
      <c r="CJ33" s="39">
        <f t="shared" si="23"/>
        <v>0</v>
      </c>
      <c r="CK33" s="7"/>
      <c r="CL33" s="7"/>
      <c r="CM33" s="7"/>
      <c r="CN33" s="39">
        <f t="shared" si="24"/>
        <v>0</v>
      </c>
      <c r="CO33" s="7"/>
      <c r="CP33" s="7"/>
      <c r="CQ33" s="7"/>
      <c r="CR33" s="39">
        <f t="shared" si="25"/>
        <v>0</v>
      </c>
      <c r="CS33" s="7"/>
      <c r="CT33" s="7"/>
      <c r="CU33" s="7"/>
      <c r="CV33" s="39">
        <f t="shared" si="26"/>
        <v>0</v>
      </c>
      <c r="CW33" s="7"/>
      <c r="CX33" s="7"/>
      <c r="CY33" s="7"/>
      <c r="CZ33" s="39">
        <f t="shared" si="27"/>
        <v>0</v>
      </c>
      <c r="DA33" s="7"/>
      <c r="DB33" s="7"/>
      <c r="DC33" s="7"/>
      <c r="DD33" s="39">
        <f t="shared" si="28"/>
        <v>0</v>
      </c>
      <c r="DE33" s="7"/>
      <c r="DF33" s="7"/>
      <c r="DG33" s="7"/>
      <c r="DH33" s="39">
        <f t="shared" si="29"/>
        <v>0</v>
      </c>
      <c r="DI33" s="7"/>
      <c r="DJ33" s="7"/>
      <c r="DK33" s="7"/>
      <c r="DL33" s="39">
        <f t="shared" si="30"/>
        <v>0</v>
      </c>
      <c r="DM33" s="7"/>
      <c r="DN33" s="7"/>
      <c r="DO33" s="7"/>
      <c r="DP33" s="39">
        <f t="shared" si="31"/>
        <v>0</v>
      </c>
      <c r="DQ33" s="7"/>
      <c r="DR33" s="7"/>
      <c r="DS33" s="7"/>
      <c r="DT33" s="39">
        <f t="shared" si="32"/>
        <v>0</v>
      </c>
      <c r="DU33" s="7"/>
      <c r="DV33" s="7"/>
      <c r="DW33" s="7"/>
      <c r="DX33" s="39">
        <f t="shared" si="33"/>
        <v>0</v>
      </c>
      <c r="DY33" s="7"/>
      <c r="DZ33" s="7"/>
      <c r="EA33" s="7"/>
      <c r="EB33" s="39">
        <f t="shared" si="34"/>
        <v>0</v>
      </c>
      <c r="EC33" s="7"/>
      <c r="ED33" s="7"/>
      <c r="EE33" s="7"/>
      <c r="EF33" s="39">
        <f t="shared" si="35"/>
        <v>0</v>
      </c>
      <c r="EG33" s="7"/>
      <c r="EH33" s="7"/>
      <c r="EI33" s="7"/>
      <c r="EJ33" s="39">
        <f t="shared" si="36"/>
        <v>0</v>
      </c>
      <c r="EK33" s="7"/>
      <c r="EL33" s="7"/>
      <c r="EM33" s="7"/>
      <c r="EN33" s="39">
        <f t="shared" si="37"/>
        <v>0</v>
      </c>
      <c r="EO33" s="7"/>
      <c r="EP33" s="7"/>
      <c r="EQ33" s="7"/>
      <c r="ER33" s="39">
        <f t="shared" si="38"/>
        <v>0</v>
      </c>
      <c r="ES33" s="7"/>
      <c r="ET33" s="7"/>
      <c r="EU33" s="7"/>
      <c r="EV33" s="39">
        <f t="shared" si="39"/>
        <v>0</v>
      </c>
      <c r="EW33" s="7"/>
      <c r="EX33" s="7"/>
      <c r="EY33" s="7"/>
      <c r="EZ33" s="39">
        <f t="shared" si="40"/>
        <v>0</v>
      </c>
      <c r="FA33" s="7"/>
      <c r="FB33" s="7"/>
      <c r="FC33" s="7"/>
      <c r="FD33" s="39">
        <f t="shared" si="41"/>
        <v>0</v>
      </c>
      <c r="FE33" s="7"/>
      <c r="FF33" s="7"/>
      <c r="FG33" s="7"/>
      <c r="FH33" s="39">
        <f t="shared" si="42"/>
        <v>0</v>
      </c>
      <c r="FI33" s="7"/>
      <c r="FJ33" s="7"/>
      <c r="FK33" s="7"/>
      <c r="FL33" s="39">
        <f t="shared" si="43"/>
        <v>0</v>
      </c>
      <c r="FM33" s="7"/>
      <c r="FN33" s="7"/>
      <c r="FO33" s="7"/>
      <c r="FP33" s="39">
        <f t="shared" si="44"/>
        <v>0</v>
      </c>
      <c r="FQ33" s="7"/>
      <c r="FR33" s="7"/>
      <c r="FS33" s="7"/>
      <c r="FT33" s="39">
        <f t="shared" si="45"/>
        <v>0</v>
      </c>
      <c r="FU33" s="7"/>
      <c r="FV33" s="7"/>
      <c r="FW33" s="7"/>
      <c r="FX33" s="39">
        <f t="shared" si="46"/>
        <v>0</v>
      </c>
      <c r="FY33" s="7"/>
      <c r="FZ33" s="7"/>
      <c r="GA33" s="7"/>
      <c r="GB33" s="39">
        <f t="shared" si="47"/>
        <v>0</v>
      </c>
      <c r="GC33" s="7"/>
      <c r="GD33" s="7"/>
      <c r="GE33" s="7"/>
      <c r="GF33" s="39">
        <f t="shared" si="48"/>
        <v>0</v>
      </c>
      <c r="GG33" s="7"/>
      <c r="GH33" s="7"/>
      <c r="GI33" s="7"/>
      <c r="GJ33" s="39">
        <f t="shared" si="49"/>
        <v>0</v>
      </c>
      <c r="GK33" s="7"/>
      <c r="GL33" s="7"/>
      <c r="GM33" s="7"/>
      <c r="GN33" s="39">
        <f t="shared" si="50"/>
        <v>0</v>
      </c>
      <c r="GO33" s="7"/>
      <c r="GP33" s="7"/>
      <c r="GQ33" s="7"/>
      <c r="GR33" s="39">
        <f t="shared" si="51"/>
        <v>0</v>
      </c>
      <c r="GS33" s="7"/>
      <c r="GT33" s="7"/>
      <c r="GU33" s="7"/>
      <c r="GV33" s="39">
        <f t="shared" si="52"/>
        <v>0</v>
      </c>
      <c r="GW33" s="7"/>
      <c r="GX33" s="7"/>
      <c r="GY33" s="7"/>
      <c r="GZ33" s="39">
        <f t="shared" si="53"/>
        <v>0</v>
      </c>
      <c r="HA33" s="7">
        <v>1.0</v>
      </c>
      <c r="HB33" s="7">
        <v>1.0</v>
      </c>
      <c r="HC33" s="7"/>
      <c r="HD33" s="39">
        <f t="shared" si="54"/>
        <v>3</v>
      </c>
      <c r="HE33" s="7"/>
      <c r="HF33" s="7"/>
      <c r="HG33" s="7"/>
      <c r="HH33" s="39">
        <f t="shared" si="65"/>
        <v>0</v>
      </c>
    </row>
    <row r="34">
      <c r="A34" s="20" t="s">
        <v>129</v>
      </c>
      <c r="B34" s="21"/>
      <c r="C34" s="1">
        <f t="shared" si="1"/>
        <v>32</v>
      </c>
      <c r="D34" s="15">
        <f>VLOOKUP(A34,TDP!A:C,3,FALSE)</f>
        <v>0.1</v>
      </c>
      <c r="E34" s="37">
        <f t="shared" si="2"/>
        <v>3.3</v>
      </c>
      <c r="F34" s="1">
        <f>VLOOKUP($A34,Valoracion!$A:$J,9,FALSE)</f>
        <v>3</v>
      </c>
      <c r="G34" s="7"/>
      <c r="H34" s="39">
        <f t="shared" si="58"/>
        <v>0</v>
      </c>
      <c r="I34" s="7"/>
      <c r="J34" s="7"/>
      <c r="K34" s="7"/>
      <c r="L34" s="39">
        <f t="shared" si="59"/>
        <v>0</v>
      </c>
      <c r="M34" s="7"/>
      <c r="N34" s="7"/>
      <c r="O34" s="7"/>
      <c r="P34" s="39">
        <f t="shared" si="60"/>
        <v>0</v>
      </c>
      <c r="Q34" s="7"/>
      <c r="R34" s="7"/>
      <c r="S34" s="7"/>
      <c r="T34" s="39">
        <f t="shared" si="6"/>
        <v>0</v>
      </c>
      <c r="U34" s="7"/>
      <c r="V34" s="7"/>
      <c r="W34" s="7"/>
      <c r="X34" s="39">
        <f t="shared" si="7"/>
        <v>0</v>
      </c>
      <c r="Y34" s="41"/>
      <c r="Z34" s="41"/>
      <c r="AA34" s="41"/>
      <c r="AB34" s="42">
        <f t="shared" si="8"/>
        <v>0</v>
      </c>
      <c r="AC34" s="7"/>
      <c r="AD34" s="7"/>
      <c r="AE34" s="7"/>
      <c r="AF34" s="39">
        <f t="shared" si="63"/>
        <v>0</v>
      </c>
      <c r="AG34" s="7"/>
      <c r="AH34" s="7"/>
      <c r="AI34" s="7"/>
      <c r="AJ34" s="39">
        <f t="shared" si="10"/>
        <v>0</v>
      </c>
      <c r="AK34" s="7"/>
      <c r="AL34" s="7"/>
      <c r="AM34" s="7"/>
      <c r="AN34" s="39">
        <f t="shared" si="11"/>
        <v>0</v>
      </c>
      <c r="AO34" s="7"/>
      <c r="AP34" s="7"/>
      <c r="AQ34" s="7"/>
      <c r="AR34" s="39">
        <f t="shared" si="12"/>
        <v>0</v>
      </c>
      <c r="AS34" s="7"/>
      <c r="AT34" s="7"/>
      <c r="AU34" s="7"/>
      <c r="AV34" s="39">
        <f t="shared" si="57"/>
        <v>0</v>
      </c>
      <c r="AW34" s="7"/>
      <c r="AX34" s="7"/>
      <c r="AY34" s="7"/>
      <c r="AZ34" s="39">
        <f t="shared" si="66"/>
        <v>0</v>
      </c>
      <c r="BA34" s="7"/>
      <c r="BB34" s="7"/>
      <c r="BC34" s="7"/>
      <c r="BD34" s="39">
        <f t="shared" si="15"/>
        <v>0</v>
      </c>
      <c r="BE34" s="7"/>
      <c r="BF34" s="7"/>
      <c r="BG34" s="7"/>
      <c r="BH34" s="39">
        <f t="shared" si="16"/>
        <v>0</v>
      </c>
      <c r="BI34" s="7"/>
      <c r="BJ34" s="7"/>
      <c r="BK34" s="7"/>
      <c r="BL34" s="39">
        <f t="shared" si="64"/>
        <v>0</v>
      </c>
      <c r="BM34" s="7"/>
      <c r="BN34" s="7"/>
      <c r="BO34" s="7"/>
      <c r="BP34" s="39">
        <f t="shared" si="18"/>
        <v>0</v>
      </c>
      <c r="BQ34" s="7"/>
      <c r="BR34" s="7"/>
      <c r="BS34" s="7"/>
      <c r="BT34" s="39">
        <f t="shared" si="62"/>
        <v>0</v>
      </c>
      <c r="BU34" s="7"/>
      <c r="BV34" s="7"/>
      <c r="BW34" s="7"/>
      <c r="BX34" s="39">
        <f t="shared" si="20"/>
        <v>0</v>
      </c>
      <c r="BY34" s="7"/>
      <c r="BZ34" s="7"/>
      <c r="CA34" s="7"/>
      <c r="CB34" s="39">
        <f t="shared" si="67"/>
        <v>0</v>
      </c>
      <c r="CC34" s="7"/>
      <c r="CD34" s="7"/>
      <c r="CE34" s="7"/>
      <c r="CF34" s="39">
        <f t="shared" si="22"/>
        <v>0</v>
      </c>
      <c r="CG34" s="7"/>
      <c r="CH34" s="7"/>
      <c r="CI34" s="7"/>
      <c r="CJ34" s="39">
        <f t="shared" si="23"/>
        <v>0</v>
      </c>
      <c r="CK34" s="7"/>
      <c r="CL34" s="7"/>
      <c r="CM34" s="7"/>
      <c r="CN34" s="39">
        <f t="shared" si="24"/>
        <v>0</v>
      </c>
      <c r="CO34" s="7"/>
      <c r="CP34" s="7"/>
      <c r="CQ34" s="7"/>
      <c r="CR34" s="39">
        <f t="shared" si="25"/>
        <v>0</v>
      </c>
      <c r="CS34" s="7"/>
      <c r="CT34" s="7"/>
      <c r="CU34" s="7"/>
      <c r="CV34" s="39">
        <f t="shared" si="26"/>
        <v>0</v>
      </c>
      <c r="CW34" s="7"/>
      <c r="CX34" s="7"/>
      <c r="CY34" s="7"/>
      <c r="CZ34" s="39">
        <f t="shared" si="27"/>
        <v>0</v>
      </c>
      <c r="DA34" s="7"/>
      <c r="DB34" s="7"/>
      <c r="DC34" s="7"/>
      <c r="DD34" s="39">
        <f t="shared" si="28"/>
        <v>0</v>
      </c>
      <c r="DE34" s="7"/>
      <c r="DF34" s="7"/>
      <c r="DG34" s="7"/>
      <c r="DH34" s="39">
        <f t="shared" si="29"/>
        <v>0</v>
      </c>
      <c r="DI34" s="7"/>
      <c r="DJ34" s="7"/>
      <c r="DK34" s="7"/>
      <c r="DL34" s="39">
        <f t="shared" si="30"/>
        <v>0</v>
      </c>
      <c r="DM34" s="7"/>
      <c r="DN34" s="7"/>
      <c r="DO34" s="7"/>
      <c r="DP34" s="39">
        <f t="shared" si="31"/>
        <v>0</v>
      </c>
      <c r="DQ34" s="7"/>
      <c r="DR34" s="7"/>
      <c r="DS34" s="7"/>
      <c r="DT34" s="39">
        <f t="shared" si="32"/>
        <v>0</v>
      </c>
      <c r="DU34" s="7"/>
      <c r="DV34" s="7"/>
      <c r="DW34" s="7"/>
      <c r="DX34" s="39">
        <f t="shared" si="33"/>
        <v>0</v>
      </c>
      <c r="DY34" s="7"/>
      <c r="DZ34" s="7"/>
      <c r="EA34" s="7"/>
      <c r="EB34" s="39">
        <f t="shared" si="34"/>
        <v>0</v>
      </c>
      <c r="EC34" s="7"/>
      <c r="ED34" s="7"/>
      <c r="EE34" s="7"/>
      <c r="EF34" s="39">
        <f t="shared" si="35"/>
        <v>0</v>
      </c>
      <c r="EG34" s="7"/>
      <c r="EH34" s="7"/>
      <c r="EI34" s="7"/>
      <c r="EJ34" s="39">
        <f t="shared" si="36"/>
        <v>0</v>
      </c>
      <c r="EK34" s="7"/>
      <c r="EL34" s="7"/>
      <c r="EM34" s="7"/>
      <c r="EN34" s="39">
        <f t="shared" si="37"/>
        <v>0</v>
      </c>
      <c r="EO34" s="7"/>
      <c r="EP34" s="7"/>
      <c r="EQ34" s="7"/>
      <c r="ER34" s="39">
        <f t="shared" si="38"/>
        <v>0</v>
      </c>
      <c r="ES34" s="7"/>
      <c r="ET34" s="7"/>
      <c r="EU34" s="7"/>
      <c r="EV34" s="39">
        <f t="shared" si="39"/>
        <v>0</v>
      </c>
      <c r="EW34" s="7"/>
      <c r="EX34" s="7"/>
      <c r="EY34" s="7"/>
      <c r="EZ34" s="39">
        <f t="shared" si="40"/>
        <v>0</v>
      </c>
      <c r="FA34" s="7"/>
      <c r="FB34" s="7"/>
      <c r="FC34" s="7"/>
      <c r="FD34" s="39">
        <f t="shared" si="41"/>
        <v>0</v>
      </c>
      <c r="FE34" s="7"/>
      <c r="FF34" s="7"/>
      <c r="FG34" s="7"/>
      <c r="FH34" s="39">
        <f t="shared" si="42"/>
        <v>0</v>
      </c>
      <c r="FI34" s="7"/>
      <c r="FJ34" s="7"/>
      <c r="FK34" s="7"/>
      <c r="FL34" s="39">
        <f t="shared" si="43"/>
        <v>0</v>
      </c>
      <c r="FM34" s="7"/>
      <c r="FN34" s="7"/>
      <c r="FO34" s="7"/>
      <c r="FP34" s="39">
        <f t="shared" si="44"/>
        <v>0</v>
      </c>
      <c r="FQ34" s="7"/>
      <c r="FR34" s="7"/>
      <c r="FS34" s="7"/>
      <c r="FT34" s="39">
        <f t="shared" si="45"/>
        <v>0</v>
      </c>
      <c r="FU34" s="7"/>
      <c r="FV34" s="7"/>
      <c r="FW34" s="7"/>
      <c r="FX34" s="39">
        <f t="shared" si="46"/>
        <v>0</v>
      </c>
      <c r="FY34" s="7"/>
      <c r="FZ34" s="7"/>
      <c r="GA34" s="7"/>
      <c r="GB34" s="39">
        <f t="shared" si="47"/>
        <v>0</v>
      </c>
      <c r="GC34" s="7"/>
      <c r="GD34" s="7"/>
      <c r="GE34" s="7"/>
      <c r="GF34" s="39">
        <f t="shared" si="48"/>
        <v>0</v>
      </c>
      <c r="GG34" s="7"/>
      <c r="GH34" s="7"/>
      <c r="GI34" s="7"/>
      <c r="GJ34" s="39">
        <f t="shared" si="49"/>
        <v>0</v>
      </c>
      <c r="GK34" s="7"/>
      <c r="GL34" s="7"/>
      <c r="GM34" s="7"/>
      <c r="GN34" s="39">
        <f t="shared" si="50"/>
        <v>0</v>
      </c>
      <c r="GO34" s="7"/>
      <c r="GP34" s="7"/>
      <c r="GQ34" s="7"/>
      <c r="GR34" s="39">
        <f t="shared" si="51"/>
        <v>0</v>
      </c>
      <c r="GS34" s="7"/>
      <c r="GT34" s="7"/>
      <c r="GU34" s="7"/>
      <c r="GV34" s="39">
        <f t="shared" si="52"/>
        <v>0</v>
      </c>
      <c r="GW34" s="7"/>
      <c r="GX34" s="7"/>
      <c r="GY34" s="7"/>
      <c r="GZ34" s="39">
        <f t="shared" si="53"/>
        <v>0</v>
      </c>
      <c r="HA34" s="7">
        <v>1.0</v>
      </c>
      <c r="HB34" s="7">
        <v>1.0</v>
      </c>
      <c r="HC34" s="7"/>
      <c r="HD34" s="39">
        <f t="shared" si="54"/>
        <v>3</v>
      </c>
      <c r="HE34" s="7"/>
      <c r="HF34" s="7"/>
      <c r="HG34" s="7"/>
      <c r="HH34" s="39">
        <f t="shared" si="65"/>
        <v>0</v>
      </c>
    </row>
    <row r="35">
      <c r="A35" s="4" t="s">
        <v>59</v>
      </c>
      <c r="B35" s="7" t="s">
        <v>60</v>
      </c>
      <c r="C35" s="30">
        <f t="shared" si="1"/>
        <v>33</v>
      </c>
      <c r="D35" s="15">
        <f>VLOOKUP(A35,TDP!A:C,3,FALSE)</f>
        <v>0.27</v>
      </c>
      <c r="E35" s="37">
        <f t="shared" si="2"/>
        <v>0</v>
      </c>
      <c r="F35" s="1">
        <f>VLOOKUP($A35,Valoracion!$A:$J,9,FALSE)</f>
        <v>3</v>
      </c>
      <c r="G35" s="7"/>
      <c r="H35" s="39">
        <f t="shared" si="58"/>
        <v>0</v>
      </c>
      <c r="I35" s="7"/>
      <c r="J35" s="7"/>
      <c r="K35" s="7"/>
      <c r="L35" s="39">
        <f t="shared" si="59"/>
        <v>0</v>
      </c>
      <c r="M35" s="7"/>
      <c r="N35" s="7"/>
      <c r="O35" s="7"/>
      <c r="P35" s="39">
        <f t="shared" si="60"/>
        <v>0</v>
      </c>
      <c r="Q35" s="7"/>
      <c r="R35" s="7"/>
      <c r="S35" s="7"/>
      <c r="T35" s="39">
        <f t="shared" si="6"/>
        <v>0</v>
      </c>
      <c r="U35" s="7"/>
      <c r="V35" s="7"/>
      <c r="W35" s="7"/>
      <c r="X35" s="39">
        <f t="shared" si="7"/>
        <v>0</v>
      </c>
      <c r="Y35" s="41"/>
      <c r="Z35" s="41"/>
      <c r="AA35" s="41"/>
      <c r="AB35" s="42">
        <f t="shared" si="8"/>
        <v>0</v>
      </c>
      <c r="AC35" s="7"/>
      <c r="AD35" s="7"/>
      <c r="AE35" s="7"/>
      <c r="AF35" s="39">
        <f t="shared" si="63"/>
        <v>0</v>
      </c>
      <c r="AG35" s="7"/>
      <c r="AH35" s="7"/>
      <c r="AI35" s="7"/>
      <c r="AJ35" s="39">
        <f t="shared" si="10"/>
        <v>0</v>
      </c>
      <c r="AK35" s="7"/>
      <c r="AL35" s="7"/>
      <c r="AM35" s="7"/>
      <c r="AN35" s="39">
        <f t="shared" si="11"/>
        <v>0</v>
      </c>
      <c r="AO35" s="7"/>
      <c r="AP35" s="7"/>
      <c r="AQ35" s="7"/>
      <c r="AR35" s="39">
        <f t="shared" si="12"/>
        <v>0</v>
      </c>
      <c r="AS35" s="7"/>
      <c r="AT35" s="7"/>
      <c r="AU35" s="7"/>
      <c r="AV35" s="39">
        <f t="shared" si="57"/>
        <v>0</v>
      </c>
      <c r="AW35" s="7"/>
      <c r="AX35" s="7"/>
      <c r="AY35" s="7"/>
      <c r="AZ35" s="39">
        <f t="shared" si="66"/>
        <v>0</v>
      </c>
      <c r="BA35" s="7"/>
      <c r="BB35" s="7"/>
      <c r="BC35" s="7"/>
      <c r="BD35" s="39">
        <f t="shared" si="15"/>
        <v>0</v>
      </c>
      <c r="BE35" s="7"/>
      <c r="BF35" s="7"/>
      <c r="BG35" s="7"/>
      <c r="BH35" s="39">
        <f t="shared" si="16"/>
        <v>0</v>
      </c>
      <c r="BI35" s="7"/>
      <c r="BJ35" s="7"/>
      <c r="BK35" s="7"/>
      <c r="BL35" s="39">
        <f t="shared" si="64"/>
        <v>0</v>
      </c>
      <c r="BM35" s="7"/>
      <c r="BN35" s="7"/>
      <c r="BO35" s="7"/>
      <c r="BP35" s="39">
        <f t="shared" si="18"/>
        <v>0</v>
      </c>
      <c r="BQ35" s="7"/>
      <c r="BR35" s="7"/>
      <c r="BS35" s="7"/>
      <c r="BT35" s="39">
        <f t="shared" si="62"/>
        <v>0</v>
      </c>
      <c r="BU35" s="7"/>
      <c r="BV35" s="7"/>
      <c r="BW35" s="7"/>
      <c r="BX35" s="39">
        <f t="shared" si="20"/>
        <v>0</v>
      </c>
      <c r="BY35" s="7"/>
      <c r="BZ35" s="7"/>
      <c r="CA35" s="7"/>
      <c r="CB35" s="39">
        <f t="shared" si="67"/>
        <v>0</v>
      </c>
      <c r="CC35" s="7"/>
      <c r="CD35" s="7"/>
      <c r="CE35" s="7"/>
      <c r="CF35" s="39">
        <f t="shared" si="22"/>
        <v>0</v>
      </c>
      <c r="CG35" s="7"/>
      <c r="CH35" s="7"/>
      <c r="CI35" s="7"/>
      <c r="CJ35" s="39">
        <f t="shared" si="23"/>
        <v>0</v>
      </c>
      <c r="CK35" s="7"/>
      <c r="CL35" s="7"/>
      <c r="CM35" s="7"/>
      <c r="CN35" s="39">
        <f t="shared" si="24"/>
        <v>0</v>
      </c>
      <c r="CO35" s="7"/>
      <c r="CP35" s="7"/>
      <c r="CQ35" s="7"/>
      <c r="CR35" s="39">
        <f t="shared" si="25"/>
        <v>0</v>
      </c>
      <c r="CS35" s="7"/>
      <c r="CT35" s="7"/>
      <c r="CU35" s="7"/>
      <c r="CV35" s="39">
        <f t="shared" si="26"/>
        <v>0</v>
      </c>
      <c r="CW35" s="7"/>
      <c r="CX35" s="7"/>
      <c r="CY35" s="7"/>
      <c r="CZ35" s="39">
        <f t="shared" si="27"/>
        <v>0</v>
      </c>
      <c r="DA35" s="7"/>
      <c r="DB35" s="7"/>
      <c r="DC35" s="7"/>
      <c r="DD35" s="39">
        <f t="shared" si="28"/>
        <v>0</v>
      </c>
      <c r="DE35" s="7"/>
      <c r="DF35" s="7"/>
      <c r="DG35" s="7"/>
      <c r="DH35" s="39">
        <f t="shared" si="29"/>
        <v>0</v>
      </c>
      <c r="DI35" s="7"/>
      <c r="DJ35" s="7"/>
      <c r="DK35" s="7"/>
      <c r="DL35" s="39">
        <f t="shared" si="30"/>
        <v>0</v>
      </c>
      <c r="DM35" s="7"/>
      <c r="DN35" s="7"/>
      <c r="DO35" s="7"/>
      <c r="DP35" s="39">
        <f t="shared" si="31"/>
        <v>0</v>
      </c>
      <c r="DQ35" s="7"/>
      <c r="DR35" s="7"/>
      <c r="DS35" s="7"/>
      <c r="DT35" s="39">
        <f t="shared" si="32"/>
        <v>0</v>
      </c>
      <c r="DU35" s="7"/>
      <c r="DV35" s="7"/>
      <c r="DW35" s="7"/>
      <c r="DX35" s="39">
        <f t="shared" si="33"/>
        <v>0</v>
      </c>
      <c r="DY35" s="7"/>
      <c r="DZ35" s="7"/>
      <c r="EA35" s="7"/>
      <c r="EB35" s="39">
        <f t="shared" si="34"/>
        <v>0</v>
      </c>
      <c r="EC35" s="7"/>
      <c r="ED35" s="7"/>
      <c r="EE35" s="7"/>
      <c r="EF35" s="39">
        <f t="shared" si="35"/>
        <v>0</v>
      </c>
      <c r="EG35" s="7"/>
      <c r="EH35" s="7"/>
      <c r="EI35" s="7"/>
      <c r="EJ35" s="39">
        <f t="shared" si="36"/>
        <v>0</v>
      </c>
      <c r="EK35" s="7"/>
      <c r="EL35" s="7"/>
      <c r="EM35" s="7"/>
      <c r="EN35" s="39">
        <f t="shared" si="37"/>
        <v>0</v>
      </c>
      <c r="EO35" s="7"/>
      <c r="EP35" s="7"/>
      <c r="EQ35" s="7"/>
      <c r="ER35" s="39">
        <f t="shared" si="38"/>
        <v>0</v>
      </c>
      <c r="ES35" s="7"/>
      <c r="ET35" s="7"/>
      <c r="EU35" s="7"/>
      <c r="EV35" s="39">
        <f t="shared" si="39"/>
        <v>0</v>
      </c>
      <c r="EW35" s="7"/>
      <c r="EX35" s="7"/>
      <c r="EY35" s="7"/>
      <c r="EZ35" s="39">
        <f t="shared" si="40"/>
        <v>0</v>
      </c>
      <c r="FA35" s="7"/>
      <c r="FB35" s="7"/>
      <c r="FC35" s="7"/>
      <c r="FD35" s="39">
        <f t="shared" si="41"/>
        <v>0</v>
      </c>
      <c r="FE35" s="7"/>
      <c r="FF35" s="7"/>
      <c r="FG35" s="7"/>
      <c r="FH35" s="39">
        <f t="shared" si="42"/>
        <v>0</v>
      </c>
      <c r="FI35" s="7"/>
      <c r="FJ35" s="7"/>
      <c r="FK35" s="7"/>
      <c r="FL35" s="39">
        <f t="shared" si="43"/>
        <v>0</v>
      </c>
      <c r="FM35" s="7"/>
      <c r="FN35" s="7"/>
      <c r="FO35" s="7"/>
      <c r="FP35" s="39">
        <f t="shared" si="44"/>
        <v>0</v>
      </c>
      <c r="FQ35" s="7"/>
      <c r="FR35" s="7"/>
      <c r="FS35" s="7"/>
      <c r="FT35" s="39">
        <f t="shared" si="45"/>
        <v>0</v>
      </c>
      <c r="FU35" s="7"/>
      <c r="FV35" s="7"/>
      <c r="FW35" s="7"/>
      <c r="FX35" s="39">
        <f t="shared" si="46"/>
        <v>0</v>
      </c>
      <c r="FY35" s="7"/>
      <c r="FZ35" s="7"/>
      <c r="GA35" s="7"/>
      <c r="GB35" s="39">
        <f t="shared" si="47"/>
        <v>0</v>
      </c>
      <c r="GC35" s="7"/>
      <c r="GD35" s="7"/>
      <c r="GE35" s="7"/>
      <c r="GF35" s="39">
        <f t="shared" si="48"/>
        <v>0</v>
      </c>
      <c r="GG35" s="7"/>
      <c r="GH35" s="7"/>
      <c r="GI35" s="7"/>
      <c r="GJ35" s="39">
        <f t="shared" si="49"/>
        <v>0</v>
      </c>
      <c r="GK35" s="7"/>
      <c r="GL35" s="7"/>
      <c r="GM35" s="7"/>
      <c r="GN35" s="39">
        <f t="shared" si="50"/>
        <v>0</v>
      </c>
      <c r="GO35" s="7"/>
      <c r="GP35" s="7"/>
      <c r="GQ35" s="7"/>
      <c r="GR35" s="39">
        <f t="shared" si="51"/>
        <v>0</v>
      </c>
      <c r="GS35" s="7"/>
      <c r="GT35" s="7"/>
      <c r="GU35" s="7"/>
      <c r="GV35" s="39">
        <f t="shared" si="52"/>
        <v>0</v>
      </c>
      <c r="GW35" s="7"/>
      <c r="GX35" s="7"/>
      <c r="GY35" s="7"/>
      <c r="GZ35" s="39">
        <f t="shared" si="53"/>
        <v>0</v>
      </c>
      <c r="HA35" s="7"/>
      <c r="HB35" s="7"/>
      <c r="HC35" s="7"/>
      <c r="HD35" s="39">
        <f t="shared" si="54"/>
        <v>0</v>
      </c>
      <c r="HE35" s="7"/>
      <c r="HF35" s="7"/>
      <c r="HG35" s="7"/>
      <c r="HH35" s="39">
        <f t="shared" si="65"/>
        <v>0</v>
      </c>
    </row>
    <row r="36">
      <c r="A36" s="20" t="s">
        <v>94</v>
      </c>
      <c r="B36" s="21"/>
      <c r="C36" s="1">
        <f t="shared" si="1"/>
        <v>34</v>
      </c>
      <c r="D36" s="15">
        <f>VLOOKUP(A36,TDP!A:C,3,FALSE)</f>
        <v>0.12</v>
      </c>
      <c r="E36" s="37">
        <f t="shared" si="2"/>
        <v>0</v>
      </c>
      <c r="F36" s="1">
        <f>VLOOKUP($A36,Valoracion!$A:$J,9,FALSE)</f>
        <v>3</v>
      </c>
      <c r="G36" s="7"/>
      <c r="H36" s="39">
        <f t="shared" si="58"/>
        <v>0</v>
      </c>
      <c r="I36" s="7"/>
      <c r="J36" s="7"/>
      <c r="K36" s="7"/>
      <c r="L36" s="39">
        <f t="shared" si="59"/>
        <v>0</v>
      </c>
      <c r="M36" s="7"/>
      <c r="N36" s="7"/>
      <c r="O36" s="7"/>
      <c r="P36" s="39">
        <f t="shared" si="60"/>
        <v>0</v>
      </c>
      <c r="Q36" s="7"/>
      <c r="R36" s="7"/>
      <c r="S36" s="7"/>
      <c r="T36" s="39">
        <f t="shared" si="6"/>
        <v>0</v>
      </c>
      <c r="U36" s="7"/>
      <c r="V36" s="7"/>
      <c r="W36" s="7"/>
      <c r="X36" s="39">
        <f t="shared" si="7"/>
        <v>0</v>
      </c>
      <c r="Y36" s="41"/>
      <c r="Z36" s="41"/>
      <c r="AA36" s="41"/>
      <c r="AB36" s="42">
        <f t="shared" si="8"/>
        <v>0</v>
      </c>
      <c r="AC36" s="7"/>
      <c r="AD36" s="7"/>
      <c r="AE36" s="7"/>
      <c r="AF36" s="39">
        <f t="shared" si="63"/>
        <v>0</v>
      </c>
      <c r="AG36" s="7"/>
      <c r="AH36" s="7"/>
      <c r="AI36" s="7"/>
      <c r="AJ36" s="39">
        <f t="shared" si="10"/>
        <v>0</v>
      </c>
      <c r="AK36" s="7"/>
      <c r="AL36" s="7"/>
      <c r="AM36" s="7"/>
      <c r="AN36" s="39">
        <f t="shared" si="11"/>
        <v>0</v>
      </c>
      <c r="AO36" s="7"/>
      <c r="AP36" s="7"/>
      <c r="AQ36" s="7"/>
      <c r="AR36" s="39">
        <f t="shared" si="12"/>
        <v>0</v>
      </c>
      <c r="AS36" s="7"/>
      <c r="AT36" s="7"/>
      <c r="AU36" s="7"/>
      <c r="AV36" s="39">
        <f t="shared" si="57"/>
        <v>0</v>
      </c>
      <c r="AW36" s="7"/>
      <c r="AX36" s="7"/>
      <c r="AY36" s="7"/>
      <c r="AZ36" s="39">
        <f t="shared" si="66"/>
        <v>0</v>
      </c>
      <c r="BA36" s="7"/>
      <c r="BB36" s="7"/>
      <c r="BC36" s="7"/>
      <c r="BD36" s="39">
        <f t="shared" si="15"/>
        <v>0</v>
      </c>
      <c r="BE36" s="7"/>
      <c r="BF36" s="7"/>
      <c r="BG36" s="7"/>
      <c r="BH36" s="39">
        <f t="shared" si="16"/>
        <v>0</v>
      </c>
      <c r="BI36" s="7"/>
      <c r="BJ36" s="7"/>
      <c r="BK36" s="7"/>
      <c r="BL36" s="39">
        <f t="shared" si="64"/>
        <v>0</v>
      </c>
      <c r="BM36" s="7"/>
      <c r="BN36" s="7"/>
      <c r="BO36" s="7"/>
      <c r="BP36" s="39">
        <f t="shared" si="18"/>
        <v>0</v>
      </c>
      <c r="BQ36" s="7"/>
      <c r="BR36" s="7"/>
      <c r="BS36" s="7"/>
      <c r="BT36" s="39">
        <f t="shared" si="62"/>
        <v>0</v>
      </c>
      <c r="BU36" s="7"/>
      <c r="BV36" s="7"/>
      <c r="BW36" s="7"/>
      <c r="BX36" s="39">
        <f t="shared" si="20"/>
        <v>0</v>
      </c>
      <c r="BY36" s="7"/>
      <c r="BZ36" s="7"/>
      <c r="CA36" s="7"/>
      <c r="CB36" s="39">
        <f t="shared" si="67"/>
        <v>0</v>
      </c>
      <c r="CC36" s="7"/>
      <c r="CD36" s="7"/>
      <c r="CE36" s="7"/>
      <c r="CF36" s="39">
        <f t="shared" si="22"/>
        <v>0</v>
      </c>
      <c r="CG36" s="7"/>
      <c r="CH36" s="7"/>
      <c r="CI36" s="7"/>
      <c r="CJ36" s="39">
        <f t="shared" si="23"/>
        <v>0</v>
      </c>
      <c r="CK36" s="7"/>
      <c r="CL36" s="7"/>
      <c r="CM36" s="7"/>
      <c r="CN36" s="39">
        <f t="shared" si="24"/>
        <v>0</v>
      </c>
      <c r="CO36" s="7"/>
      <c r="CP36" s="7"/>
      <c r="CQ36" s="7"/>
      <c r="CR36" s="39">
        <f t="shared" si="25"/>
        <v>0</v>
      </c>
      <c r="CS36" s="7"/>
      <c r="CT36" s="7"/>
      <c r="CU36" s="7"/>
      <c r="CV36" s="39">
        <f t="shared" si="26"/>
        <v>0</v>
      </c>
      <c r="CW36" s="7"/>
      <c r="CX36" s="7"/>
      <c r="CY36" s="7"/>
      <c r="CZ36" s="39">
        <f t="shared" si="27"/>
        <v>0</v>
      </c>
      <c r="DA36" s="7"/>
      <c r="DB36" s="7"/>
      <c r="DC36" s="7"/>
      <c r="DD36" s="39">
        <f t="shared" si="28"/>
        <v>0</v>
      </c>
      <c r="DE36" s="7"/>
      <c r="DF36" s="7"/>
      <c r="DG36" s="7"/>
      <c r="DH36" s="39">
        <f t="shared" si="29"/>
        <v>0</v>
      </c>
      <c r="DI36" s="7"/>
      <c r="DJ36" s="7"/>
      <c r="DK36" s="7"/>
      <c r="DL36" s="39">
        <f t="shared" si="30"/>
        <v>0</v>
      </c>
      <c r="DM36" s="7"/>
      <c r="DN36" s="7"/>
      <c r="DO36" s="7"/>
      <c r="DP36" s="39">
        <f t="shared" si="31"/>
        <v>0</v>
      </c>
      <c r="DQ36" s="7"/>
      <c r="DR36" s="7"/>
      <c r="DS36" s="7"/>
      <c r="DT36" s="39">
        <f t="shared" si="32"/>
        <v>0</v>
      </c>
      <c r="DU36" s="7"/>
      <c r="DV36" s="7"/>
      <c r="DW36" s="7"/>
      <c r="DX36" s="39">
        <f t="shared" si="33"/>
        <v>0</v>
      </c>
      <c r="DY36" s="7"/>
      <c r="DZ36" s="7"/>
      <c r="EA36" s="7"/>
      <c r="EB36" s="39">
        <f t="shared" si="34"/>
        <v>0</v>
      </c>
      <c r="EC36" s="7"/>
      <c r="ED36" s="7"/>
      <c r="EE36" s="7"/>
      <c r="EF36" s="39">
        <f t="shared" si="35"/>
        <v>0</v>
      </c>
      <c r="EG36" s="7"/>
      <c r="EH36" s="7"/>
      <c r="EI36" s="7"/>
      <c r="EJ36" s="39">
        <f t="shared" si="36"/>
        <v>0</v>
      </c>
      <c r="EK36" s="7"/>
      <c r="EL36" s="7"/>
      <c r="EM36" s="7"/>
      <c r="EN36" s="39">
        <f t="shared" si="37"/>
        <v>0</v>
      </c>
      <c r="EO36" s="7"/>
      <c r="EP36" s="7"/>
      <c r="EQ36" s="7"/>
      <c r="ER36" s="39">
        <f t="shared" si="38"/>
        <v>0</v>
      </c>
      <c r="ES36" s="7"/>
      <c r="ET36" s="7"/>
      <c r="EU36" s="7"/>
      <c r="EV36" s="39">
        <f t="shared" si="39"/>
        <v>0</v>
      </c>
      <c r="EW36" s="7"/>
      <c r="EX36" s="7"/>
      <c r="EY36" s="7"/>
      <c r="EZ36" s="39">
        <f t="shared" si="40"/>
        <v>0</v>
      </c>
      <c r="FA36" s="7"/>
      <c r="FB36" s="7"/>
      <c r="FC36" s="7"/>
      <c r="FD36" s="39">
        <f t="shared" si="41"/>
        <v>0</v>
      </c>
      <c r="FE36" s="7"/>
      <c r="FF36" s="7"/>
      <c r="FG36" s="7"/>
      <c r="FH36" s="39">
        <f t="shared" si="42"/>
        <v>0</v>
      </c>
      <c r="FI36" s="7"/>
      <c r="FJ36" s="7"/>
      <c r="FK36" s="7"/>
      <c r="FL36" s="39">
        <f t="shared" si="43"/>
        <v>0</v>
      </c>
      <c r="FM36" s="7"/>
      <c r="FN36" s="7"/>
      <c r="FO36" s="7"/>
      <c r="FP36" s="39">
        <f t="shared" si="44"/>
        <v>0</v>
      </c>
      <c r="FQ36" s="7"/>
      <c r="FR36" s="7"/>
      <c r="FS36" s="7"/>
      <c r="FT36" s="39">
        <f t="shared" si="45"/>
        <v>0</v>
      </c>
      <c r="FU36" s="7"/>
      <c r="FV36" s="7"/>
      <c r="FW36" s="7"/>
      <c r="FX36" s="39">
        <f t="shared" si="46"/>
        <v>0</v>
      </c>
      <c r="FY36" s="7"/>
      <c r="FZ36" s="7"/>
      <c r="GA36" s="7"/>
      <c r="GB36" s="39">
        <f t="shared" si="47"/>
        <v>0</v>
      </c>
      <c r="GC36" s="7"/>
      <c r="GD36" s="7"/>
      <c r="GE36" s="7"/>
      <c r="GF36" s="39">
        <f t="shared" si="48"/>
        <v>0</v>
      </c>
      <c r="GG36" s="7"/>
      <c r="GH36" s="7"/>
      <c r="GI36" s="7"/>
      <c r="GJ36" s="39">
        <f t="shared" si="49"/>
        <v>0</v>
      </c>
      <c r="GK36" s="7"/>
      <c r="GL36" s="7"/>
      <c r="GM36" s="7"/>
      <c r="GN36" s="39">
        <f t="shared" si="50"/>
        <v>0</v>
      </c>
      <c r="GO36" s="7"/>
      <c r="GP36" s="7"/>
      <c r="GQ36" s="7"/>
      <c r="GR36" s="39">
        <f t="shared" si="51"/>
        <v>0</v>
      </c>
      <c r="GS36" s="7"/>
      <c r="GT36" s="7"/>
      <c r="GU36" s="7"/>
      <c r="GV36" s="39">
        <f t="shared" si="52"/>
        <v>0</v>
      </c>
      <c r="GW36" s="7"/>
      <c r="GX36" s="7"/>
      <c r="GY36" s="7"/>
      <c r="GZ36" s="39">
        <f t="shared" si="53"/>
        <v>0</v>
      </c>
      <c r="HA36" s="7"/>
      <c r="HB36" s="7"/>
      <c r="HC36" s="7"/>
      <c r="HD36" s="39">
        <f t="shared" si="54"/>
        <v>0</v>
      </c>
      <c r="HE36" s="7"/>
      <c r="HF36" s="7"/>
      <c r="HG36" s="7"/>
      <c r="HH36" s="39">
        <f t="shared" si="65"/>
        <v>0</v>
      </c>
    </row>
    <row r="37">
      <c r="A37" s="20" t="s">
        <v>97</v>
      </c>
      <c r="B37" s="21" t="s">
        <v>98</v>
      </c>
      <c r="C37" s="1">
        <f t="shared" si="1"/>
        <v>35</v>
      </c>
      <c r="D37" s="15">
        <f>VLOOKUP(A37,TDP!A:C,3,FALSE)</f>
        <v>0.13</v>
      </c>
      <c r="E37" s="37">
        <f t="shared" si="2"/>
        <v>0</v>
      </c>
      <c r="F37" s="1">
        <f>VLOOKUP($A37,Valoracion!$A:$J,9,FALSE)</f>
        <v>3</v>
      </c>
      <c r="G37" s="7"/>
      <c r="H37" s="39">
        <f t="shared" si="58"/>
        <v>0</v>
      </c>
      <c r="I37" s="7"/>
      <c r="J37" s="7"/>
      <c r="K37" s="7"/>
      <c r="L37" s="39">
        <f t="shared" si="59"/>
        <v>0</v>
      </c>
      <c r="M37" s="7"/>
      <c r="N37" s="7"/>
      <c r="O37" s="7"/>
      <c r="P37" s="39">
        <f t="shared" si="60"/>
        <v>0</v>
      </c>
      <c r="Q37" s="7"/>
      <c r="R37" s="7"/>
      <c r="S37" s="7"/>
      <c r="T37" s="39">
        <f t="shared" si="6"/>
        <v>0</v>
      </c>
      <c r="U37" s="7"/>
      <c r="V37" s="7"/>
      <c r="W37" s="7"/>
      <c r="X37" s="39">
        <f t="shared" si="7"/>
        <v>0</v>
      </c>
      <c r="Y37" s="41"/>
      <c r="Z37" s="41"/>
      <c r="AA37" s="41"/>
      <c r="AB37" s="42">
        <f t="shared" si="8"/>
        <v>0</v>
      </c>
      <c r="AC37" s="7"/>
      <c r="AD37" s="7"/>
      <c r="AE37" s="7"/>
      <c r="AF37" s="39">
        <f t="shared" si="63"/>
        <v>0</v>
      </c>
      <c r="AG37" s="7"/>
      <c r="AH37" s="7"/>
      <c r="AI37" s="7"/>
      <c r="AJ37" s="39">
        <f t="shared" si="10"/>
        <v>0</v>
      </c>
      <c r="AK37" s="7"/>
      <c r="AL37" s="7"/>
      <c r="AM37" s="7"/>
      <c r="AN37" s="39">
        <f t="shared" si="11"/>
        <v>0</v>
      </c>
      <c r="AO37" s="7"/>
      <c r="AP37" s="7"/>
      <c r="AQ37" s="7"/>
      <c r="AR37" s="39">
        <f t="shared" si="12"/>
        <v>0</v>
      </c>
      <c r="AS37" s="7"/>
      <c r="AT37" s="7"/>
      <c r="AU37" s="7"/>
      <c r="AV37" s="39">
        <f t="shared" si="57"/>
        <v>0</v>
      </c>
      <c r="AW37" s="7"/>
      <c r="AX37" s="7"/>
      <c r="AY37" s="7"/>
      <c r="AZ37" s="39">
        <f t="shared" si="66"/>
        <v>0</v>
      </c>
      <c r="BA37" s="7"/>
      <c r="BB37" s="7"/>
      <c r="BC37" s="7"/>
      <c r="BD37" s="39">
        <f t="shared" si="15"/>
        <v>0</v>
      </c>
      <c r="BE37" s="7"/>
      <c r="BF37" s="7"/>
      <c r="BG37" s="7"/>
      <c r="BH37" s="39">
        <f t="shared" si="16"/>
        <v>0</v>
      </c>
      <c r="BI37" s="7"/>
      <c r="BJ37" s="7"/>
      <c r="BK37" s="7"/>
      <c r="BL37" s="39">
        <f t="shared" si="64"/>
        <v>0</v>
      </c>
      <c r="BM37" s="7"/>
      <c r="BN37" s="7"/>
      <c r="BO37" s="7"/>
      <c r="BP37" s="39">
        <f t="shared" si="18"/>
        <v>0</v>
      </c>
      <c r="BQ37" s="7"/>
      <c r="BR37" s="7"/>
      <c r="BS37" s="7"/>
      <c r="BT37" s="39">
        <f t="shared" si="62"/>
        <v>0</v>
      </c>
      <c r="BU37" s="7"/>
      <c r="BV37" s="7"/>
      <c r="BW37" s="7"/>
      <c r="BX37" s="39">
        <f t="shared" si="20"/>
        <v>0</v>
      </c>
      <c r="BY37" s="7"/>
      <c r="BZ37" s="7"/>
      <c r="CA37" s="7"/>
      <c r="CB37" s="39">
        <f t="shared" si="67"/>
        <v>0</v>
      </c>
      <c r="CC37" s="7"/>
      <c r="CD37" s="7"/>
      <c r="CE37" s="7"/>
      <c r="CF37" s="39">
        <f t="shared" si="22"/>
        <v>0</v>
      </c>
      <c r="CG37" s="7"/>
      <c r="CH37" s="7"/>
      <c r="CI37" s="7"/>
      <c r="CJ37" s="39">
        <f t="shared" si="23"/>
        <v>0</v>
      </c>
      <c r="CK37" s="7"/>
      <c r="CL37" s="7"/>
      <c r="CM37" s="7"/>
      <c r="CN37" s="39">
        <f t="shared" si="24"/>
        <v>0</v>
      </c>
      <c r="CO37" s="7"/>
      <c r="CP37" s="7"/>
      <c r="CQ37" s="7"/>
      <c r="CR37" s="39">
        <f t="shared" si="25"/>
        <v>0</v>
      </c>
      <c r="CS37" s="7"/>
      <c r="CT37" s="7"/>
      <c r="CU37" s="7"/>
      <c r="CV37" s="39">
        <f t="shared" si="26"/>
        <v>0</v>
      </c>
      <c r="CW37" s="7"/>
      <c r="CX37" s="7"/>
      <c r="CY37" s="7"/>
      <c r="CZ37" s="39">
        <f t="shared" si="27"/>
        <v>0</v>
      </c>
      <c r="DA37" s="7"/>
      <c r="DB37" s="7"/>
      <c r="DC37" s="7"/>
      <c r="DD37" s="39">
        <f t="shared" si="28"/>
        <v>0</v>
      </c>
      <c r="DE37" s="7"/>
      <c r="DF37" s="7"/>
      <c r="DG37" s="7"/>
      <c r="DH37" s="39">
        <f t="shared" si="29"/>
        <v>0</v>
      </c>
      <c r="DI37" s="7"/>
      <c r="DJ37" s="7"/>
      <c r="DK37" s="7"/>
      <c r="DL37" s="39">
        <f t="shared" si="30"/>
        <v>0</v>
      </c>
      <c r="DM37" s="7"/>
      <c r="DN37" s="7"/>
      <c r="DO37" s="7"/>
      <c r="DP37" s="39">
        <f t="shared" si="31"/>
        <v>0</v>
      </c>
      <c r="DQ37" s="7"/>
      <c r="DR37" s="7"/>
      <c r="DS37" s="7"/>
      <c r="DT37" s="39">
        <f t="shared" si="32"/>
        <v>0</v>
      </c>
      <c r="DU37" s="7"/>
      <c r="DV37" s="7"/>
      <c r="DW37" s="7"/>
      <c r="DX37" s="39">
        <f t="shared" si="33"/>
        <v>0</v>
      </c>
      <c r="DY37" s="7"/>
      <c r="DZ37" s="7"/>
      <c r="EA37" s="7"/>
      <c r="EB37" s="39">
        <f t="shared" si="34"/>
        <v>0</v>
      </c>
      <c r="EC37" s="7"/>
      <c r="ED37" s="7"/>
      <c r="EE37" s="7"/>
      <c r="EF37" s="39">
        <f t="shared" si="35"/>
        <v>0</v>
      </c>
      <c r="EG37" s="7"/>
      <c r="EH37" s="7"/>
      <c r="EI37" s="7"/>
      <c r="EJ37" s="39">
        <f t="shared" si="36"/>
        <v>0</v>
      </c>
      <c r="EK37" s="7"/>
      <c r="EL37" s="7"/>
      <c r="EM37" s="7"/>
      <c r="EN37" s="39">
        <f t="shared" si="37"/>
        <v>0</v>
      </c>
      <c r="EO37" s="7"/>
      <c r="EP37" s="7"/>
      <c r="EQ37" s="7"/>
      <c r="ER37" s="39">
        <f t="shared" si="38"/>
        <v>0</v>
      </c>
      <c r="ES37" s="7"/>
      <c r="ET37" s="7"/>
      <c r="EU37" s="7"/>
      <c r="EV37" s="39">
        <f t="shared" si="39"/>
        <v>0</v>
      </c>
      <c r="EW37" s="7"/>
      <c r="EX37" s="7"/>
      <c r="EY37" s="7"/>
      <c r="EZ37" s="39">
        <f t="shared" si="40"/>
        <v>0</v>
      </c>
      <c r="FA37" s="7"/>
      <c r="FB37" s="7"/>
      <c r="FC37" s="7"/>
      <c r="FD37" s="39">
        <f t="shared" si="41"/>
        <v>0</v>
      </c>
      <c r="FE37" s="7"/>
      <c r="FF37" s="7"/>
      <c r="FG37" s="7"/>
      <c r="FH37" s="39">
        <f t="shared" si="42"/>
        <v>0</v>
      </c>
      <c r="FI37" s="7"/>
      <c r="FJ37" s="7"/>
      <c r="FK37" s="7"/>
      <c r="FL37" s="39">
        <f t="shared" si="43"/>
        <v>0</v>
      </c>
      <c r="FM37" s="7"/>
      <c r="FN37" s="7"/>
      <c r="FO37" s="7"/>
      <c r="FP37" s="39">
        <f t="shared" si="44"/>
        <v>0</v>
      </c>
      <c r="FQ37" s="7"/>
      <c r="FR37" s="7"/>
      <c r="FS37" s="7"/>
      <c r="FT37" s="39">
        <f t="shared" si="45"/>
        <v>0</v>
      </c>
      <c r="FU37" s="7"/>
      <c r="FV37" s="7"/>
      <c r="FW37" s="7"/>
      <c r="FX37" s="39">
        <f t="shared" si="46"/>
        <v>0</v>
      </c>
      <c r="FY37" s="7"/>
      <c r="FZ37" s="7"/>
      <c r="GA37" s="7"/>
      <c r="GB37" s="39">
        <f t="shared" si="47"/>
        <v>0</v>
      </c>
      <c r="GC37" s="7"/>
      <c r="GD37" s="7"/>
      <c r="GE37" s="7"/>
      <c r="GF37" s="39">
        <f t="shared" si="48"/>
        <v>0</v>
      </c>
      <c r="GG37" s="7"/>
      <c r="GH37" s="7"/>
      <c r="GI37" s="7"/>
      <c r="GJ37" s="39">
        <f t="shared" si="49"/>
        <v>0</v>
      </c>
      <c r="GK37" s="7"/>
      <c r="GL37" s="7"/>
      <c r="GM37" s="7"/>
      <c r="GN37" s="39">
        <f t="shared" si="50"/>
        <v>0</v>
      </c>
      <c r="GO37" s="7"/>
      <c r="GP37" s="7"/>
      <c r="GQ37" s="7"/>
      <c r="GR37" s="39">
        <f t="shared" si="51"/>
        <v>0</v>
      </c>
      <c r="GS37" s="7"/>
      <c r="GT37" s="7"/>
      <c r="GU37" s="7"/>
      <c r="GV37" s="39">
        <f t="shared" si="52"/>
        <v>0</v>
      </c>
      <c r="GW37" s="7"/>
      <c r="GX37" s="7"/>
      <c r="GY37" s="7"/>
      <c r="GZ37" s="39">
        <f t="shared" si="53"/>
        <v>0</v>
      </c>
      <c r="HA37" s="7"/>
      <c r="HB37" s="7"/>
      <c r="HC37" s="7"/>
      <c r="HD37" s="39">
        <f t="shared" si="54"/>
        <v>0</v>
      </c>
      <c r="HE37" s="7"/>
      <c r="HF37" s="7"/>
      <c r="HG37" s="7"/>
      <c r="HH37" s="39">
        <f t="shared" si="65"/>
        <v>0</v>
      </c>
    </row>
    <row r="38">
      <c r="A38" s="20" t="s">
        <v>99</v>
      </c>
      <c r="B38" s="21"/>
      <c r="C38" s="1">
        <f t="shared" si="1"/>
        <v>36</v>
      </c>
      <c r="D38" s="15">
        <f>VLOOKUP(A38,TDP!A:C,3,FALSE)</f>
        <v>0.1</v>
      </c>
      <c r="E38" s="37">
        <f t="shared" si="2"/>
        <v>0</v>
      </c>
      <c r="F38" s="1">
        <f>VLOOKUP($A38,Valoracion!$A:$J,9,FALSE)</f>
        <v>3</v>
      </c>
      <c r="G38" s="7"/>
      <c r="H38" s="39">
        <f t="shared" si="58"/>
        <v>0</v>
      </c>
      <c r="I38" s="7"/>
      <c r="J38" s="7"/>
      <c r="K38" s="7"/>
      <c r="L38" s="39">
        <f t="shared" si="59"/>
        <v>0</v>
      </c>
      <c r="M38" s="7"/>
      <c r="N38" s="7"/>
      <c r="O38" s="7"/>
      <c r="P38" s="39">
        <f t="shared" si="60"/>
        <v>0</v>
      </c>
      <c r="Q38" s="7"/>
      <c r="R38" s="7"/>
      <c r="S38" s="7"/>
      <c r="T38" s="39">
        <f t="shared" si="6"/>
        <v>0</v>
      </c>
      <c r="U38" s="7"/>
      <c r="V38" s="7"/>
      <c r="W38" s="7"/>
      <c r="X38" s="39">
        <f t="shared" si="7"/>
        <v>0</v>
      </c>
      <c r="Y38" s="41"/>
      <c r="Z38" s="41"/>
      <c r="AA38" s="41"/>
      <c r="AB38" s="42">
        <f t="shared" si="8"/>
        <v>0</v>
      </c>
      <c r="AC38" s="7"/>
      <c r="AD38" s="7"/>
      <c r="AE38" s="7"/>
      <c r="AF38" s="39">
        <f t="shared" si="63"/>
        <v>0</v>
      </c>
      <c r="AG38" s="7"/>
      <c r="AH38" s="7"/>
      <c r="AI38" s="7"/>
      <c r="AJ38" s="39">
        <f t="shared" si="10"/>
        <v>0</v>
      </c>
      <c r="AK38" s="7"/>
      <c r="AL38" s="7"/>
      <c r="AM38" s="7"/>
      <c r="AN38" s="39">
        <f t="shared" si="11"/>
        <v>0</v>
      </c>
      <c r="AO38" s="7"/>
      <c r="AP38" s="7"/>
      <c r="AQ38" s="7"/>
      <c r="AR38" s="39">
        <f t="shared" si="12"/>
        <v>0</v>
      </c>
      <c r="AS38" s="7"/>
      <c r="AT38" s="7"/>
      <c r="AU38" s="7"/>
      <c r="AV38" s="39">
        <f t="shared" si="57"/>
        <v>0</v>
      </c>
      <c r="AW38" s="7"/>
      <c r="AX38" s="7"/>
      <c r="AY38" s="7"/>
      <c r="AZ38" s="39">
        <f t="shared" si="66"/>
        <v>0</v>
      </c>
      <c r="BA38" s="7"/>
      <c r="BB38" s="7"/>
      <c r="BC38" s="7"/>
      <c r="BD38" s="39">
        <f t="shared" si="15"/>
        <v>0</v>
      </c>
      <c r="BE38" s="7"/>
      <c r="BF38" s="7"/>
      <c r="BG38" s="7"/>
      <c r="BH38" s="39">
        <f t="shared" si="16"/>
        <v>0</v>
      </c>
      <c r="BI38" s="7"/>
      <c r="BJ38" s="7"/>
      <c r="BK38" s="7"/>
      <c r="BL38" s="39">
        <f t="shared" si="64"/>
        <v>0</v>
      </c>
      <c r="BM38" s="7"/>
      <c r="BN38" s="7"/>
      <c r="BO38" s="7"/>
      <c r="BP38" s="39">
        <f t="shared" si="18"/>
        <v>0</v>
      </c>
      <c r="BQ38" s="7"/>
      <c r="BR38" s="7"/>
      <c r="BS38" s="7"/>
      <c r="BT38" s="39">
        <f t="shared" si="62"/>
        <v>0</v>
      </c>
      <c r="BU38" s="7"/>
      <c r="BV38" s="7"/>
      <c r="BW38" s="7"/>
      <c r="BX38" s="39">
        <f t="shared" si="20"/>
        <v>0</v>
      </c>
      <c r="BY38" s="7"/>
      <c r="BZ38" s="7"/>
      <c r="CA38" s="7"/>
      <c r="CB38" s="39">
        <f t="shared" si="67"/>
        <v>0</v>
      </c>
      <c r="CC38" s="7"/>
      <c r="CD38" s="7"/>
      <c r="CE38" s="7"/>
      <c r="CF38" s="39">
        <f t="shared" si="22"/>
        <v>0</v>
      </c>
      <c r="CG38" s="7"/>
      <c r="CH38" s="7"/>
      <c r="CI38" s="7"/>
      <c r="CJ38" s="39">
        <f t="shared" si="23"/>
        <v>0</v>
      </c>
      <c r="CK38" s="7"/>
      <c r="CL38" s="7"/>
      <c r="CM38" s="7"/>
      <c r="CN38" s="39">
        <f t="shared" si="24"/>
        <v>0</v>
      </c>
      <c r="CO38" s="7"/>
      <c r="CP38" s="7"/>
      <c r="CQ38" s="7"/>
      <c r="CR38" s="39">
        <f t="shared" si="25"/>
        <v>0</v>
      </c>
      <c r="CS38" s="7"/>
      <c r="CT38" s="7"/>
      <c r="CU38" s="7"/>
      <c r="CV38" s="39">
        <f t="shared" si="26"/>
        <v>0</v>
      </c>
      <c r="CW38" s="7"/>
      <c r="CX38" s="7"/>
      <c r="CY38" s="7"/>
      <c r="CZ38" s="39">
        <f t="shared" si="27"/>
        <v>0</v>
      </c>
      <c r="DA38" s="7"/>
      <c r="DB38" s="7"/>
      <c r="DC38" s="7"/>
      <c r="DD38" s="39">
        <f t="shared" si="28"/>
        <v>0</v>
      </c>
      <c r="DE38" s="7"/>
      <c r="DF38" s="7"/>
      <c r="DG38" s="7"/>
      <c r="DH38" s="39">
        <f t="shared" si="29"/>
        <v>0</v>
      </c>
      <c r="DI38" s="7"/>
      <c r="DJ38" s="7"/>
      <c r="DK38" s="7"/>
      <c r="DL38" s="39">
        <f t="shared" si="30"/>
        <v>0</v>
      </c>
      <c r="DM38" s="7"/>
      <c r="DN38" s="7"/>
      <c r="DO38" s="7"/>
      <c r="DP38" s="39">
        <f t="shared" si="31"/>
        <v>0</v>
      </c>
      <c r="DQ38" s="7"/>
      <c r="DR38" s="7"/>
      <c r="DS38" s="7"/>
      <c r="DT38" s="39">
        <f t="shared" si="32"/>
        <v>0</v>
      </c>
      <c r="DU38" s="7"/>
      <c r="DV38" s="7"/>
      <c r="DW38" s="7"/>
      <c r="DX38" s="39">
        <f t="shared" si="33"/>
        <v>0</v>
      </c>
      <c r="DY38" s="7"/>
      <c r="DZ38" s="7"/>
      <c r="EA38" s="7"/>
      <c r="EB38" s="39">
        <f t="shared" si="34"/>
        <v>0</v>
      </c>
      <c r="EC38" s="7"/>
      <c r="ED38" s="7"/>
      <c r="EE38" s="7"/>
      <c r="EF38" s="39">
        <f t="shared" si="35"/>
        <v>0</v>
      </c>
      <c r="EG38" s="7"/>
      <c r="EH38" s="7"/>
      <c r="EI38" s="7"/>
      <c r="EJ38" s="39">
        <f t="shared" si="36"/>
        <v>0</v>
      </c>
      <c r="EK38" s="7"/>
      <c r="EL38" s="7"/>
      <c r="EM38" s="7"/>
      <c r="EN38" s="39">
        <f t="shared" si="37"/>
        <v>0</v>
      </c>
      <c r="EO38" s="7"/>
      <c r="EP38" s="7"/>
      <c r="EQ38" s="7"/>
      <c r="ER38" s="39">
        <f t="shared" si="38"/>
        <v>0</v>
      </c>
      <c r="ES38" s="7"/>
      <c r="ET38" s="7"/>
      <c r="EU38" s="7"/>
      <c r="EV38" s="39">
        <f t="shared" si="39"/>
        <v>0</v>
      </c>
      <c r="EW38" s="7"/>
      <c r="EX38" s="7"/>
      <c r="EY38" s="7"/>
      <c r="EZ38" s="39">
        <f t="shared" si="40"/>
        <v>0</v>
      </c>
      <c r="FA38" s="7"/>
      <c r="FB38" s="7"/>
      <c r="FC38" s="7"/>
      <c r="FD38" s="39">
        <f t="shared" si="41"/>
        <v>0</v>
      </c>
      <c r="FE38" s="7"/>
      <c r="FF38" s="7"/>
      <c r="FG38" s="7"/>
      <c r="FH38" s="39">
        <f t="shared" si="42"/>
        <v>0</v>
      </c>
      <c r="FI38" s="7"/>
      <c r="FJ38" s="7"/>
      <c r="FK38" s="7"/>
      <c r="FL38" s="39">
        <f t="shared" si="43"/>
        <v>0</v>
      </c>
      <c r="FM38" s="7"/>
      <c r="FN38" s="7"/>
      <c r="FO38" s="7"/>
      <c r="FP38" s="39">
        <f t="shared" si="44"/>
        <v>0</v>
      </c>
      <c r="FQ38" s="7"/>
      <c r="FR38" s="7"/>
      <c r="FS38" s="7"/>
      <c r="FT38" s="39">
        <f t="shared" si="45"/>
        <v>0</v>
      </c>
      <c r="FU38" s="7"/>
      <c r="FV38" s="7"/>
      <c r="FW38" s="7"/>
      <c r="FX38" s="39">
        <f t="shared" si="46"/>
        <v>0</v>
      </c>
      <c r="FY38" s="7"/>
      <c r="FZ38" s="7"/>
      <c r="GA38" s="7"/>
      <c r="GB38" s="39">
        <f t="shared" si="47"/>
        <v>0</v>
      </c>
      <c r="GC38" s="7"/>
      <c r="GD38" s="7"/>
      <c r="GE38" s="7"/>
      <c r="GF38" s="39">
        <f t="shared" si="48"/>
        <v>0</v>
      </c>
      <c r="GG38" s="7"/>
      <c r="GH38" s="7"/>
      <c r="GI38" s="7"/>
      <c r="GJ38" s="39">
        <f t="shared" si="49"/>
        <v>0</v>
      </c>
      <c r="GK38" s="7"/>
      <c r="GL38" s="7"/>
      <c r="GM38" s="7"/>
      <c r="GN38" s="39">
        <f t="shared" si="50"/>
        <v>0</v>
      </c>
      <c r="GO38" s="7"/>
      <c r="GP38" s="7"/>
      <c r="GQ38" s="7"/>
      <c r="GR38" s="39">
        <f t="shared" si="51"/>
        <v>0</v>
      </c>
      <c r="GS38" s="7"/>
      <c r="GT38" s="7"/>
      <c r="GU38" s="7"/>
      <c r="GV38" s="39">
        <f t="shared" si="52"/>
        <v>0</v>
      </c>
      <c r="GW38" s="7"/>
      <c r="GX38" s="7"/>
      <c r="GY38" s="7"/>
      <c r="GZ38" s="39">
        <f t="shared" si="53"/>
        <v>0</v>
      </c>
      <c r="HA38" s="7"/>
      <c r="HB38" s="7"/>
      <c r="HC38" s="7"/>
      <c r="HD38" s="39">
        <f t="shared" si="54"/>
        <v>0</v>
      </c>
      <c r="HE38" s="7"/>
      <c r="HF38" s="7"/>
      <c r="HG38" s="7"/>
      <c r="HH38" s="39">
        <f t="shared" si="65"/>
        <v>0</v>
      </c>
    </row>
    <row r="39">
      <c r="A39" s="20" t="s">
        <v>115</v>
      </c>
      <c r="B39" s="21" t="s">
        <v>116</v>
      </c>
      <c r="C39" s="1">
        <f t="shared" si="1"/>
        <v>37</v>
      </c>
      <c r="D39" s="15">
        <f>VLOOKUP(A39,TDP!A:C,3,FALSE)</f>
        <v>0.08</v>
      </c>
      <c r="E39" s="37">
        <f t="shared" si="2"/>
        <v>0</v>
      </c>
      <c r="F39" s="1">
        <f>VLOOKUP($A39,Valoracion!$A:$J,9,FALSE)</f>
        <v>3</v>
      </c>
      <c r="G39" s="7"/>
      <c r="H39" s="39">
        <f t="shared" si="58"/>
        <v>0</v>
      </c>
      <c r="I39" s="7"/>
      <c r="J39" s="7"/>
      <c r="K39" s="7"/>
      <c r="L39" s="39">
        <f t="shared" si="59"/>
        <v>0</v>
      </c>
      <c r="M39" s="7"/>
      <c r="N39" s="7"/>
      <c r="O39" s="7"/>
      <c r="P39" s="39">
        <f t="shared" si="60"/>
        <v>0</v>
      </c>
      <c r="Q39" s="7"/>
      <c r="R39" s="7"/>
      <c r="S39" s="7"/>
      <c r="T39" s="39">
        <f t="shared" si="6"/>
        <v>0</v>
      </c>
      <c r="U39" s="7"/>
      <c r="V39" s="7"/>
      <c r="W39" s="7"/>
      <c r="X39" s="39">
        <f t="shared" si="7"/>
        <v>0</v>
      </c>
      <c r="Y39" s="41"/>
      <c r="Z39" s="41"/>
      <c r="AA39" s="41"/>
      <c r="AB39" s="42">
        <f t="shared" si="8"/>
        <v>0</v>
      </c>
      <c r="AC39" s="7"/>
      <c r="AD39" s="7"/>
      <c r="AE39" s="7"/>
      <c r="AF39" s="39">
        <f t="shared" si="63"/>
        <v>0</v>
      </c>
      <c r="AG39" s="7"/>
      <c r="AH39" s="7"/>
      <c r="AI39" s="7"/>
      <c r="AJ39" s="39">
        <f t="shared" si="10"/>
        <v>0</v>
      </c>
      <c r="AK39" s="7"/>
      <c r="AL39" s="7"/>
      <c r="AM39" s="7"/>
      <c r="AN39" s="39">
        <f t="shared" si="11"/>
        <v>0</v>
      </c>
      <c r="AO39" s="7"/>
      <c r="AP39" s="7"/>
      <c r="AQ39" s="7"/>
      <c r="AR39" s="39">
        <f t="shared" si="12"/>
        <v>0</v>
      </c>
      <c r="AS39" s="7"/>
      <c r="AT39" s="7"/>
      <c r="AU39" s="7"/>
      <c r="AV39" s="39">
        <f t="shared" si="57"/>
        <v>0</v>
      </c>
      <c r="AW39" s="7"/>
      <c r="AX39" s="7"/>
      <c r="AY39" s="7"/>
      <c r="AZ39" s="39">
        <f t="shared" si="66"/>
        <v>0</v>
      </c>
      <c r="BA39" s="7"/>
      <c r="BB39" s="7"/>
      <c r="BC39" s="7"/>
      <c r="BD39" s="39">
        <f t="shared" si="15"/>
        <v>0</v>
      </c>
      <c r="BE39" s="7"/>
      <c r="BF39" s="7"/>
      <c r="BG39" s="7"/>
      <c r="BH39" s="39">
        <f t="shared" si="16"/>
        <v>0</v>
      </c>
      <c r="BI39" s="7"/>
      <c r="BJ39" s="7"/>
      <c r="BK39" s="7"/>
      <c r="BL39" s="39">
        <f t="shared" si="64"/>
        <v>0</v>
      </c>
      <c r="BM39" s="7"/>
      <c r="BN39" s="7"/>
      <c r="BO39" s="7"/>
      <c r="BP39" s="39">
        <f t="shared" si="18"/>
        <v>0</v>
      </c>
      <c r="BQ39" s="7"/>
      <c r="BR39" s="7"/>
      <c r="BS39" s="7"/>
      <c r="BT39" s="39">
        <f t="shared" si="62"/>
        <v>0</v>
      </c>
      <c r="BU39" s="7"/>
      <c r="BV39" s="7"/>
      <c r="BW39" s="7"/>
      <c r="BX39" s="39">
        <f t="shared" si="20"/>
        <v>0</v>
      </c>
      <c r="BY39" s="7"/>
      <c r="BZ39" s="7"/>
      <c r="CA39" s="7"/>
      <c r="CB39" s="39">
        <f t="shared" si="67"/>
        <v>0</v>
      </c>
      <c r="CC39" s="7"/>
      <c r="CD39" s="7"/>
      <c r="CE39" s="7"/>
      <c r="CF39" s="39">
        <f t="shared" si="22"/>
        <v>0</v>
      </c>
      <c r="CG39" s="7"/>
      <c r="CH39" s="7"/>
      <c r="CI39" s="7"/>
      <c r="CJ39" s="39">
        <f t="shared" si="23"/>
        <v>0</v>
      </c>
      <c r="CK39" s="7"/>
      <c r="CL39" s="7"/>
      <c r="CM39" s="7"/>
      <c r="CN39" s="39">
        <f t="shared" si="24"/>
        <v>0</v>
      </c>
      <c r="CO39" s="7"/>
      <c r="CP39" s="7"/>
      <c r="CQ39" s="7"/>
      <c r="CR39" s="39">
        <f t="shared" si="25"/>
        <v>0</v>
      </c>
      <c r="CS39" s="7"/>
      <c r="CT39" s="7"/>
      <c r="CU39" s="7"/>
      <c r="CV39" s="39">
        <f t="shared" si="26"/>
        <v>0</v>
      </c>
      <c r="CW39" s="7"/>
      <c r="CX39" s="7"/>
      <c r="CY39" s="7"/>
      <c r="CZ39" s="39">
        <f t="shared" si="27"/>
        <v>0</v>
      </c>
      <c r="DA39" s="7"/>
      <c r="DB39" s="7"/>
      <c r="DC39" s="7"/>
      <c r="DD39" s="39">
        <f t="shared" si="28"/>
        <v>0</v>
      </c>
      <c r="DE39" s="7"/>
      <c r="DF39" s="7"/>
      <c r="DG39" s="7"/>
      <c r="DH39" s="39">
        <f t="shared" si="29"/>
        <v>0</v>
      </c>
      <c r="DI39" s="7"/>
      <c r="DJ39" s="7"/>
      <c r="DK39" s="7"/>
      <c r="DL39" s="39">
        <f t="shared" si="30"/>
        <v>0</v>
      </c>
      <c r="DM39" s="7"/>
      <c r="DN39" s="7"/>
      <c r="DO39" s="7"/>
      <c r="DP39" s="39">
        <f t="shared" si="31"/>
        <v>0</v>
      </c>
      <c r="DQ39" s="7"/>
      <c r="DR39" s="7"/>
      <c r="DS39" s="7"/>
      <c r="DT39" s="39">
        <f t="shared" si="32"/>
        <v>0</v>
      </c>
      <c r="DU39" s="7"/>
      <c r="DV39" s="7"/>
      <c r="DW39" s="7"/>
      <c r="DX39" s="39">
        <f t="shared" si="33"/>
        <v>0</v>
      </c>
      <c r="DY39" s="7"/>
      <c r="DZ39" s="7"/>
      <c r="EA39" s="7"/>
      <c r="EB39" s="39">
        <f t="shared" si="34"/>
        <v>0</v>
      </c>
      <c r="EC39" s="7"/>
      <c r="ED39" s="7"/>
      <c r="EE39" s="7"/>
      <c r="EF39" s="39">
        <f t="shared" si="35"/>
        <v>0</v>
      </c>
      <c r="EG39" s="7"/>
      <c r="EH39" s="7"/>
      <c r="EI39" s="7"/>
      <c r="EJ39" s="39">
        <f t="shared" si="36"/>
        <v>0</v>
      </c>
      <c r="EK39" s="7"/>
      <c r="EL39" s="7"/>
      <c r="EM39" s="7"/>
      <c r="EN39" s="39">
        <f t="shared" si="37"/>
        <v>0</v>
      </c>
      <c r="EO39" s="7"/>
      <c r="EP39" s="7"/>
      <c r="EQ39" s="7"/>
      <c r="ER39" s="39">
        <f t="shared" si="38"/>
        <v>0</v>
      </c>
      <c r="ES39" s="7"/>
      <c r="ET39" s="7"/>
      <c r="EU39" s="7"/>
      <c r="EV39" s="39">
        <f t="shared" si="39"/>
        <v>0</v>
      </c>
      <c r="EW39" s="7"/>
      <c r="EX39" s="7"/>
      <c r="EY39" s="7"/>
      <c r="EZ39" s="39">
        <f t="shared" si="40"/>
        <v>0</v>
      </c>
      <c r="FA39" s="7"/>
      <c r="FB39" s="7"/>
      <c r="FC39" s="7"/>
      <c r="FD39" s="39">
        <f t="shared" si="41"/>
        <v>0</v>
      </c>
      <c r="FE39" s="7"/>
      <c r="FF39" s="7"/>
      <c r="FG39" s="7"/>
      <c r="FH39" s="39">
        <f t="shared" si="42"/>
        <v>0</v>
      </c>
      <c r="FI39" s="7"/>
      <c r="FJ39" s="7"/>
      <c r="FK39" s="7"/>
      <c r="FL39" s="39">
        <f t="shared" si="43"/>
        <v>0</v>
      </c>
      <c r="FM39" s="7"/>
      <c r="FN39" s="7"/>
      <c r="FO39" s="7"/>
      <c r="FP39" s="39">
        <f t="shared" si="44"/>
        <v>0</v>
      </c>
      <c r="FQ39" s="7"/>
      <c r="FR39" s="7"/>
      <c r="FS39" s="7"/>
      <c r="FT39" s="39">
        <f t="shared" si="45"/>
        <v>0</v>
      </c>
      <c r="FU39" s="7"/>
      <c r="FV39" s="7"/>
      <c r="FW39" s="7"/>
      <c r="FX39" s="39">
        <f t="shared" si="46"/>
        <v>0</v>
      </c>
      <c r="FY39" s="7"/>
      <c r="FZ39" s="7"/>
      <c r="GA39" s="7"/>
      <c r="GB39" s="39">
        <f t="shared" si="47"/>
        <v>0</v>
      </c>
      <c r="GC39" s="7"/>
      <c r="GD39" s="7"/>
      <c r="GE39" s="7"/>
      <c r="GF39" s="39">
        <f t="shared" si="48"/>
        <v>0</v>
      </c>
      <c r="GG39" s="7"/>
      <c r="GH39" s="7"/>
      <c r="GI39" s="7"/>
      <c r="GJ39" s="39">
        <f t="shared" si="49"/>
        <v>0</v>
      </c>
      <c r="GK39" s="7"/>
      <c r="GL39" s="7"/>
      <c r="GM39" s="7"/>
      <c r="GN39" s="39">
        <f t="shared" si="50"/>
        <v>0</v>
      </c>
      <c r="GO39" s="7"/>
      <c r="GP39" s="7"/>
      <c r="GQ39" s="7"/>
      <c r="GR39" s="39">
        <f t="shared" si="51"/>
        <v>0</v>
      </c>
      <c r="GS39" s="7"/>
      <c r="GT39" s="7"/>
      <c r="GU39" s="7"/>
      <c r="GV39" s="39">
        <f t="shared" si="52"/>
        <v>0</v>
      </c>
      <c r="GW39" s="7"/>
      <c r="GX39" s="7"/>
      <c r="GY39" s="7"/>
      <c r="GZ39" s="39">
        <f t="shared" si="53"/>
        <v>0</v>
      </c>
      <c r="HA39" s="7"/>
      <c r="HB39" s="7"/>
      <c r="HC39" s="7"/>
      <c r="HD39" s="39">
        <f t="shared" si="54"/>
        <v>0</v>
      </c>
      <c r="HE39" s="7"/>
      <c r="HF39" s="7"/>
      <c r="HG39" s="7"/>
      <c r="HH39" s="39">
        <f t="shared" si="65"/>
        <v>0</v>
      </c>
    </row>
    <row r="40">
      <c r="A40" s="20" t="s">
        <v>121</v>
      </c>
      <c r="B40" s="21"/>
      <c r="C40" s="1">
        <f t="shared" si="1"/>
        <v>38</v>
      </c>
      <c r="D40" s="15">
        <f>VLOOKUP(A40,TDP!A:C,3,FALSE)</f>
        <v>0.12</v>
      </c>
      <c r="E40" s="37">
        <f t="shared" si="2"/>
        <v>0</v>
      </c>
      <c r="F40" s="1">
        <f>VLOOKUP($A40,Valoracion!$A:$J,9,FALSE)</f>
        <v>3</v>
      </c>
      <c r="G40" s="7"/>
      <c r="H40" s="39">
        <f t="shared" si="58"/>
        <v>0</v>
      </c>
      <c r="I40" s="7"/>
      <c r="J40" s="7"/>
      <c r="K40" s="7"/>
      <c r="L40" s="39">
        <f t="shared" si="59"/>
        <v>0</v>
      </c>
      <c r="M40" s="7"/>
      <c r="N40" s="7"/>
      <c r="O40" s="7"/>
      <c r="P40" s="39">
        <f t="shared" si="60"/>
        <v>0</v>
      </c>
      <c r="Q40" s="7"/>
      <c r="R40" s="7"/>
      <c r="S40" s="7"/>
      <c r="T40" s="39">
        <f t="shared" si="6"/>
        <v>0</v>
      </c>
      <c r="U40" s="7"/>
      <c r="V40" s="7"/>
      <c r="W40" s="7"/>
      <c r="X40" s="39">
        <f t="shared" si="7"/>
        <v>0</v>
      </c>
      <c r="Y40" s="41"/>
      <c r="Z40" s="41"/>
      <c r="AA40" s="41"/>
      <c r="AB40" s="42">
        <f t="shared" si="8"/>
        <v>0</v>
      </c>
      <c r="AC40" s="7"/>
      <c r="AD40" s="7"/>
      <c r="AE40" s="7"/>
      <c r="AF40" s="39">
        <f t="shared" si="63"/>
        <v>0</v>
      </c>
      <c r="AG40" s="7"/>
      <c r="AH40" s="7"/>
      <c r="AI40" s="7"/>
      <c r="AJ40" s="39">
        <f t="shared" si="10"/>
        <v>0</v>
      </c>
      <c r="AK40" s="7"/>
      <c r="AL40" s="7"/>
      <c r="AM40" s="7"/>
      <c r="AN40" s="39">
        <f t="shared" si="11"/>
        <v>0</v>
      </c>
      <c r="AO40" s="7"/>
      <c r="AP40" s="7"/>
      <c r="AQ40" s="7"/>
      <c r="AR40" s="39">
        <f t="shared" si="12"/>
        <v>0</v>
      </c>
      <c r="AS40" s="7"/>
      <c r="AT40" s="7"/>
      <c r="AU40" s="7"/>
      <c r="AV40" s="39">
        <f t="shared" si="57"/>
        <v>0</v>
      </c>
      <c r="AW40" s="7"/>
      <c r="AX40" s="7"/>
      <c r="AY40" s="7"/>
      <c r="AZ40" s="39">
        <f t="shared" si="66"/>
        <v>0</v>
      </c>
      <c r="BA40" s="7"/>
      <c r="BB40" s="7"/>
      <c r="BC40" s="7"/>
      <c r="BD40" s="39">
        <f t="shared" si="15"/>
        <v>0</v>
      </c>
      <c r="BE40" s="7"/>
      <c r="BF40" s="7"/>
      <c r="BG40" s="7"/>
      <c r="BH40" s="39">
        <f t="shared" si="16"/>
        <v>0</v>
      </c>
      <c r="BI40" s="7"/>
      <c r="BJ40" s="7"/>
      <c r="BK40" s="7"/>
      <c r="BL40" s="39">
        <f t="shared" si="64"/>
        <v>0</v>
      </c>
      <c r="BM40" s="7"/>
      <c r="BN40" s="7"/>
      <c r="BO40" s="7"/>
      <c r="BP40" s="39">
        <f t="shared" si="18"/>
        <v>0</v>
      </c>
      <c r="BQ40" s="7"/>
      <c r="BR40" s="7"/>
      <c r="BS40" s="7"/>
      <c r="BT40" s="39">
        <f t="shared" si="62"/>
        <v>0</v>
      </c>
      <c r="BU40" s="7"/>
      <c r="BV40" s="7"/>
      <c r="BW40" s="7"/>
      <c r="BX40" s="39">
        <f t="shared" si="20"/>
        <v>0</v>
      </c>
      <c r="BY40" s="7"/>
      <c r="BZ40" s="7"/>
      <c r="CA40" s="7"/>
      <c r="CB40" s="39">
        <f t="shared" si="67"/>
        <v>0</v>
      </c>
      <c r="CC40" s="7"/>
      <c r="CD40" s="7"/>
      <c r="CE40" s="7"/>
      <c r="CF40" s="39">
        <f t="shared" si="22"/>
        <v>0</v>
      </c>
      <c r="CG40" s="7"/>
      <c r="CH40" s="7"/>
      <c r="CI40" s="7"/>
      <c r="CJ40" s="39">
        <f t="shared" si="23"/>
        <v>0</v>
      </c>
      <c r="CK40" s="7"/>
      <c r="CL40" s="7"/>
      <c r="CM40" s="7"/>
      <c r="CN40" s="39">
        <f t="shared" si="24"/>
        <v>0</v>
      </c>
      <c r="CO40" s="7"/>
      <c r="CP40" s="7"/>
      <c r="CQ40" s="7"/>
      <c r="CR40" s="39">
        <f t="shared" si="25"/>
        <v>0</v>
      </c>
      <c r="CS40" s="7"/>
      <c r="CT40" s="7"/>
      <c r="CU40" s="7"/>
      <c r="CV40" s="39">
        <f t="shared" si="26"/>
        <v>0</v>
      </c>
      <c r="CW40" s="7"/>
      <c r="CX40" s="7"/>
      <c r="CY40" s="7"/>
      <c r="CZ40" s="39">
        <f t="shared" si="27"/>
        <v>0</v>
      </c>
      <c r="DA40" s="7"/>
      <c r="DB40" s="7"/>
      <c r="DC40" s="7"/>
      <c r="DD40" s="39">
        <f t="shared" si="28"/>
        <v>0</v>
      </c>
      <c r="DE40" s="7"/>
      <c r="DF40" s="7"/>
      <c r="DG40" s="7"/>
      <c r="DH40" s="39">
        <f t="shared" si="29"/>
        <v>0</v>
      </c>
      <c r="DI40" s="7"/>
      <c r="DJ40" s="7"/>
      <c r="DK40" s="7"/>
      <c r="DL40" s="39">
        <f t="shared" si="30"/>
        <v>0</v>
      </c>
      <c r="DM40" s="7"/>
      <c r="DN40" s="7"/>
      <c r="DO40" s="7"/>
      <c r="DP40" s="39">
        <f t="shared" si="31"/>
        <v>0</v>
      </c>
      <c r="DQ40" s="7"/>
      <c r="DR40" s="7"/>
      <c r="DS40" s="7"/>
      <c r="DT40" s="39">
        <f t="shared" si="32"/>
        <v>0</v>
      </c>
      <c r="DU40" s="7"/>
      <c r="DV40" s="7"/>
      <c r="DW40" s="7"/>
      <c r="DX40" s="39">
        <f t="shared" si="33"/>
        <v>0</v>
      </c>
      <c r="DY40" s="7"/>
      <c r="DZ40" s="7"/>
      <c r="EA40" s="7"/>
      <c r="EB40" s="39">
        <f t="shared" si="34"/>
        <v>0</v>
      </c>
      <c r="EC40" s="7"/>
      <c r="ED40" s="7"/>
      <c r="EE40" s="7"/>
      <c r="EF40" s="39">
        <f t="shared" si="35"/>
        <v>0</v>
      </c>
      <c r="EG40" s="7"/>
      <c r="EH40" s="7"/>
      <c r="EI40" s="7"/>
      <c r="EJ40" s="39">
        <f t="shared" si="36"/>
        <v>0</v>
      </c>
      <c r="EK40" s="7"/>
      <c r="EL40" s="7"/>
      <c r="EM40" s="7"/>
      <c r="EN40" s="39">
        <f t="shared" si="37"/>
        <v>0</v>
      </c>
      <c r="EO40" s="7"/>
      <c r="EP40" s="7"/>
      <c r="EQ40" s="7"/>
      <c r="ER40" s="39">
        <f t="shared" si="38"/>
        <v>0</v>
      </c>
      <c r="ES40" s="7"/>
      <c r="ET40" s="7"/>
      <c r="EU40" s="7"/>
      <c r="EV40" s="39">
        <f t="shared" si="39"/>
        <v>0</v>
      </c>
      <c r="EW40" s="7"/>
      <c r="EX40" s="7"/>
      <c r="EY40" s="7"/>
      <c r="EZ40" s="39">
        <f t="shared" si="40"/>
        <v>0</v>
      </c>
      <c r="FA40" s="7"/>
      <c r="FB40" s="7"/>
      <c r="FC40" s="7"/>
      <c r="FD40" s="39">
        <f t="shared" si="41"/>
        <v>0</v>
      </c>
      <c r="FE40" s="7"/>
      <c r="FF40" s="7"/>
      <c r="FG40" s="7"/>
      <c r="FH40" s="39">
        <f t="shared" si="42"/>
        <v>0</v>
      </c>
      <c r="FI40" s="7"/>
      <c r="FJ40" s="7"/>
      <c r="FK40" s="7"/>
      <c r="FL40" s="39">
        <f t="shared" si="43"/>
        <v>0</v>
      </c>
      <c r="FM40" s="7"/>
      <c r="FN40" s="7"/>
      <c r="FO40" s="7"/>
      <c r="FP40" s="39">
        <f t="shared" si="44"/>
        <v>0</v>
      </c>
      <c r="FQ40" s="7"/>
      <c r="FR40" s="7"/>
      <c r="FS40" s="7"/>
      <c r="FT40" s="39">
        <f t="shared" si="45"/>
        <v>0</v>
      </c>
      <c r="FU40" s="7"/>
      <c r="FV40" s="7"/>
      <c r="FW40" s="7"/>
      <c r="FX40" s="39">
        <f t="shared" si="46"/>
        <v>0</v>
      </c>
      <c r="FY40" s="7"/>
      <c r="FZ40" s="7"/>
      <c r="GA40" s="7"/>
      <c r="GB40" s="39">
        <f t="shared" si="47"/>
        <v>0</v>
      </c>
      <c r="GC40" s="7"/>
      <c r="GD40" s="7"/>
      <c r="GE40" s="7"/>
      <c r="GF40" s="39">
        <f t="shared" si="48"/>
        <v>0</v>
      </c>
      <c r="GG40" s="7"/>
      <c r="GH40" s="7"/>
      <c r="GI40" s="7"/>
      <c r="GJ40" s="39">
        <f t="shared" si="49"/>
        <v>0</v>
      </c>
      <c r="GK40" s="7"/>
      <c r="GL40" s="7"/>
      <c r="GM40" s="7"/>
      <c r="GN40" s="39">
        <f t="shared" si="50"/>
        <v>0</v>
      </c>
      <c r="GO40" s="7"/>
      <c r="GP40" s="7"/>
      <c r="GQ40" s="7"/>
      <c r="GR40" s="39">
        <f t="shared" si="51"/>
        <v>0</v>
      </c>
      <c r="GS40" s="7"/>
      <c r="GT40" s="7"/>
      <c r="GU40" s="7"/>
      <c r="GV40" s="39">
        <f t="shared" si="52"/>
        <v>0</v>
      </c>
      <c r="GW40" s="7"/>
      <c r="GX40" s="7"/>
      <c r="GY40" s="7"/>
      <c r="GZ40" s="39">
        <f t="shared" si="53"/>
        <v>0</v>
      </c>
      <c r="HA40" s="7"/>
      <c r="HB40" s="7"/>
      <c r="HC40" s="7"/>
      <c r="HD40" s="39">
        <f t="shared" si="54"/>
        <v>0</v>
      </c>
      <c r="HE40" s="7"/>
      <c r="HF40" s="7"/>
      <c r="HG40" s="7"/>
      <c r="HH40" s="39">
        <f t="shared" si="65"/>
        <v>0</v>
      </c>
    </row>
    <row r="41">
      <c r="A41" s="172" t="s">
        <v>109</v>
      </c>
      <c r="B41" s="173"/>
      <c r="C41" s="43">
        <f t="shared" si="1"/>
        <v>39</v>
      </c>
      <c r="D41" s="174">
        <f>VLOOKUP(A41,TDP!A:C,3,FALSE)</f>
        <v>0.15</v>
      </c>
      <c r="E41" s="37">
        <f t="shared" si="2"/>
        <v>0</v>
      </c>
      <c r="F41" s="43">
        <f>VLOOKUP($A41,Valoracion!$A:$J,9,FALSE)</f>
        <v>3</v>
      </c>
      <c r="G41" s="120"/>
      <c r="H41" s="72">
        <f t="shared" si="58"/>
        <v>0</v>
      </c>
      <c r="I41" s="120"/>
      <c r="J41" s="120"/>
      <c r="K41" s="120"/>
      <c r="L41" s="72">
        <f t="shared" si="59"/>
        <v>0</v>
      </c>
      <c r="M41" s="120"/>
      <c r="N41" s="120"/>
      <c r="O41" s="120"/>
      <c r="P41" s="72">
        <f t="shared" si="60"/>
        <v>0</v>
      </c>
      <c r="Q41" s="120"/>
      <c r="R41" s="120"/>
      <c r="S41" s="120"/>
      <c r="T41" s="72">
        <f t="shared" si="6"/>
        <v>0</v>
      </c>
      <c r="U41" s="120"/>
      <c r="V41" s="120"/>
      <c r="W41" s="120"/>
      <c r="X41" s="72">
        <f t="shared" si="7"/>
        <v>0</v>
      </c>
      <c r="Y41" s="170"/>
      <c r="Z41" s="170"/>
      <c r="AA41" s="170"/>
      <c r="AB41" s="171">
        <f t="shared" si="8"/>
        <v>0</v>
      </c>
      <c r="AC41" s="120"/>
      <c r="AD41" s="120"/>
      <c r="AE41" s="120"/>
      <c r="AF41" s="72">
        <f t="shared" si="63"/>
        <v>0</v>
      </c>
      <c r="AG41" s="120"/>
      <c r="AH41" s="120"/>
      <c r="AI41" s="120"/>
      <c r="AJ41" s="72">
        <f t="shared" si="10"/>
        <v>0</v>
      </c>
      <c r="AK41" s="120"/>
      <c r="AL41" s="120"/>
      <c r="AM41" s="120"/>
      <c r="AN41" s="72">
        <f t="shared" si="11"/>
        <v>0</v>
      </c>
      <c r="AO41" s="120"/>
      <c r="AP41" s="120"/>
      <c r="AQ41" s="120"/>
      <c r="AR41" s="72">
        <f t="shared" si="12"/>
        <v>0</v>
      </c>
      <c r="AS41" s="120"/>
      <c r="AT41" s="120"/>
      <c r="AU41" s="120"/>
      <c r="AV41" s="72">
        <f t="shared" si="57"/>
        <v>0</v>
      </c>
      <c r="AW41" s="120"/>
      <c r="AX41" s="120"/>
      <c r="AY41" s="120"/>
      <c r="AZ41" s="72">
        <f t="shared" si="66"/>
        <v>0</v>
      </c>
      <c r="BA41" s="120"/>
      <c r="BB41" s="120"/>
      <c r="BC41" s="120"/>
      <c r="BD41" s="72">
        <f t="shared" si="15"/>
        <v>0</v>
      </c>
      <c r="BE41" s="120"/>
      <c r="BF41" s="120"/>
      <c r="BG41" s="120"/>
      <c r="BH41" s="72">
        <f t="shared" si="16"/>
        <v>0</v>
      </c>
      <c r="BI41" s="120"/>
      <c r="BJ41" s="120"/>
      <c r="BK41" s="120"/>
      <c r="BL41" s="72">
        <f t="shared" si="64"/>
        <v>0</v>
      </c>
      <c r="BM41" s="120"/>
      <c r="BN41" s="120"/>
      <c r="BO41" s="120"/>
      <c r="BP41" s="72">
        <f t="shared" si="18"/>
        <v>0</v>
      </c>
      <c r="BQ41" s="120"/>
      <c r="BR41" s="120"/>
      <c r="BS41" s="120"/>
      <c r="BT41" s="72">
        <f t="shared" si="62"/>
        <v>0</v>
      </c>
      <c r="BU41" s="120"/>
      <c r="BV41" s="120"/>
      <c r="BW41" s="120"/>
      <c r="BX41" s="72">
        <f t="shared" si="20"/>
        <v>0</v>
      </c>
      <c r="BY41" s="120"/>
      <c r="BZ41" s="120"/>
      <c r="CA41" s="120"/>
      <c r="CB41" s="72">
        <f t="shared" si="67"/>
        <v>0</v>
      </c>
      <c r="CC41" s="120"/>
      <c r="CD41" s="120"/>
      <c r="CE41" s="120"/>
      <c r="CF41" s="72">
        <f t="shared" si="22"/>
        <v>0</v>
      </c>
      <c r="CG41" s="120"/>
      <c r="CH41" s="120"/>
      <c r="CI41" s="120"/>
      <c r="CJ41" s="72">
        <f t="shared" si="23"/>
        <v>0</v>
      </c>
      <c r="CK41" s="120"/>
      <c r="CL41" s="120"/>
      <c r="CM41" s="120"/>
      <c r="CN41" s="72">
        <f t="shared" si="24"/>
        <v>0</v>
      </c>
      <c r="CO41" s="120"/>
      <c r="CP41" s="120"/>
      <c r="CQ41" s="120"/>
      <c r="CR41" s="72">
        <f t="shared" si="25"/>
        <v>0</v>
      </c>
      <c r="CS41" s="120"/>
      <c r="CT41" s="120"/>
      <c r="CU41" s="120"/>
      <c r="CV41" s="72">
        <f t="shared" si="26"/>
        <v>0</v>
      </c>
      <c r="CW41" s="120"/>
      <c r="CX41" s="120"/>
      <c r="CY41" s="120"/>
      <c r="CZ41" s="72">
        <f t="shared" si="27"/>
        <v>0</v>
      </c>
      <c r="DA41" s="120"/>
      <c r="DB41" s="120"/>
      <c r="DC41" s="120"/>
      <c r="DD41" s="72">
        <f t="shared" si="28"/>
        <v>0</v>
      </c>
      <c r="DE41" s="120"/>
      <c r="DF41" s="120"/>
      <c r="DG41" s="120"/>
      <c r="DH41" s="72">
        <f t="shared" si="29"/>
        <v>0</v>
      </c>
      <c r="DI41" s="120"/>
      <c r="DJ41" s="120"/>
      <c r="DK41" s="120"/>
      <c r="DL41" s="72">
        <f t="shared" si="30"/>
        <v>0</v>
      </c>
      <c r="DM41" s="120"/>
      <c r="DN41" s="120"/>
      <c r="DO41" s="120"/>
      <c r="DP41" s="72">
        <f t="shared" si="31"/>
        <v>0</v>
      </c>
      <c r="DQ41" s="120"/>
      <c r="DR41" s="120"/>
      <c r="DS41" s="120"/>
      <c r="DT41" s="72">
        <f t="shared" si="32"/>
        <v>0</v>
      </c>
      <c r="DU41" s="120"/>
      <c r="DV41" s="120"/>
      <c r="DW41" s="120"/>
      <c r="DX41" s="72">
        <f t="shared" si="33"/>
        <v>0</v>
      </c>
      <c r="DY41" s="120"/>
      <c r="DZ41" s="120"/>
      <c r="EA41" s="120"/>
      <c r="EB41" s="72">
        <f t="shared" si="34"/>
        <v>0</v>
      </c>
      <c r="EC41" s="120"/>
      <c r="ED41" s="120"/>
      <c r="EE41" s="120"/>
      <c r="EF41" s="72">
        <f t="shared" si="35"/>
        <v>0</v>
      </c>
      <c r="EG41" s="120"/>
      <c r="EH41" s="120"/>
      <c r="EI41" s="120"/>
      <c r="EJ41" s="72">
        <f t="shared" si="36"/>
        <v>0</v>
      </c>
      <c r="EK41" s="120"/>
      <c r="EL41" s="120"/>
      <c r="EM41" s="120"/>
      <c r="EN41" s="72">
        <f t="shared" si="37"/>
        <v>0</v>
      </c>
      <c r="EO41" s="120"/>
      <c r="EP41" s="120"/>
      <c r="EQ41" s="120"/>
      <c r="ER41" s="72">
        <f t="shared" si="38"/>
        <v>0</v>
      </c>
      <c r="ES41" s="120"/>
      <c r="ET41" s="120"/>
      <c r="EU41" s="120"/>
      <c r="EV41" s="72">
        <f t="shared" si="39"/>
        <v>0</v>
      </c>
      <c r="EW41" s="120"/>
      <c r="EX41" s="120"/>
      <c r="EY41" s="120"/>
      <c r="EZ41" s="72">
        <f t="shared" si="40"/>
        <v>0</v>
      </c>
      <c r="FA41" s="120"/>
      <c r="FB41" s="120"/>
      <c r="FC41" s="120"/>
      <c r="FD41" s="72">
        <f t="shared" si="41"/>
        <v>0</v>
      </c>
      <c r="FE41" s="120"/>
      <c r="FF41" s="120"/>
      <c r="FG41" s="120"/>
      <c r="FH41" s="72">
        <f t="shared" si="42"/>
        <v>0</v>
      </c>
      <c r="FI41" s="120"/>
      <c r="FJ41" s="120"/>
      <c r="FK41" s="120"/>
      <c r="FL41" s="72">
        <f t="shared" si="43"/>
        <v>0</v>
      </c>
      <c r="FM41" s="120"/>
      <c r="FN41" s="120"/>
      <c r="FO41" s="120"/>
      <c r="FP41" s="72">
        <f t="shared" si="44"/>
        <v>0</v>
      </c>
      <c r="FQ41" s="120"/>
      <c r="FR41" s="120"/>
      <c r="FS41" s="120"/>
      <c r="FT41" s="72">
        <f t="shared" si="45"/>
        <v>0</v>
      </c>
      <c r="FU41" s="120"/>
      <c r="FV41" s="120"/>
      <c r="FW41" s="120"/>
      <c r="FX41" s="72">
        <f t="shared" si="46"/>
        <v>0</v>
      </c>
      <c r="FY41" s="120"/>
      <c r="FZ41" s="120"/>
      <c r="GA41" s="120"/>
      <c r="GB41" s="72">
        <f t="shared" si="47"/>
        <v>0</v>
      </c>
      <c r="GC41" s="120"/>
      <c r="GD41" s="120"/>
      <c r="GE41" s="120"/>
      <c r="GF41" s="72">
        <f t="shared" si="48"/>
        <v>0</v>
      </c>
      <c r="GG41" s="120"/>
      <c r="GH41" s="120"/>
      <c r="GI41" s="120"/>
      <c r="GJ41" s="72">
        <f t="shared" si="49"/>
        <v>0</v>
      </c>
      <c r="GK41" s="120"/>
      <c r="GL41" s="120"/>
      <c r="GM41" s="120"/>
      <c r="GN41" s="72">
        <f t="shared" si="50"/>
        <v>0</v>
      </c>
      <c r="GO41" s="120"/>
      <c r="GP41" s="120"/>
      <c r="GQ41" s="120"/>
      <c r="GR41" s="72">
        <f t="shared" si="51"/>
        <v>0</v>
      </c>
      <c r="GS41" s="120"/>
      <c r="GT41" s="120"/>
      <c r="GU41" s="120"/>
      <c r="GV41" s="72">
        <f t="shared" si="52"/>
        <v>0</v>
      </c>
      <c r="GW41" s="120"/>
      <c r="GX41" s="120"/>
      <c r="GY41" s="120"/>
      <c r="GZ41" s="72">
        <f t="shared" si="53"/>
        <v>0</v>
      </c>
      <c r="HA41" s="120"/>
      <c r="HB41" s="120"/>
      <c r="HC41" s="120"/>
      <c r="HD41" s="72">
        <f t="shared" si="54"/>
        <v>0</v>
      </c>
      <c r="HE41" s="120"/>
      <c r="HF41" s="120"/>
      <c r="HG41" s="120"/>
      <c r="HH41" s="72">
        <f t="shared" si="65"/>
        <v>0</v>
      </c>
    </row>
    <row r="43">
      <c r="D43" s="150" t="s">
        <v>200</v>
      </c>
      <c r="E43" s="163" t="s">
        <v>44</v>
      </c>
    </row>
    <row r="44">
      <c r="D44" s="175" t="s">
        <v>201</v>
      </c>
      <c r="E44" s="176" t="s">
        <v>202</v>
      </c>
    </row>
    <row r="45">
      <c r="W45" s="177"/>
    </row>
    <row r="46">
      <c r="W46" s="177"/>
    </row>
    <row r="47">
      <c r="W47" s="177"/>
    </row>
    <row r="48">
      <c r="W48" s="177"/>
    </row>
    <row r="49">
      <c r="W49" s="177"/>
    </row>
    <row r="50">
      <c r="W50" s="177"/>
    </row>
    <row r="51">
      <c r="W51" s="177"/>
    </row>
    <row r="52">
      <c r="W52" s="177"/>
    </row>
    <row r="53">
      <c r="W53" s="177"/>
    </row>
    <row r="54">
      <c r="W54" s="177"/>
    </row>
    <row r="55">
      <c r="W55" s="177"/>
    </row>
    <row r="56">
      <c r="W56" s="177"/>
    </row>
    <row r="57">
      <c r="W57" s="177"/>
    </row>
    <row r="58">
      <c r="W58" s="177"/>
    </row>
    <row r="59">
      <c r="W59" s="177"/>
    </row>
    <row r="60">
      <c r="W60" s="177"/>
    </row>
    <row r="61">
      <c r="W61" s="177"/>
    </row>
    <row r="62">
      <c r="W62" s="177"/>
    </row>
  </sheetData>
  <autoFilter ref="$A$2:$HH$41">
    <sortState ref="A2:HH41">
      <sortCondition descending="1" ref="E2:E41"/>
    </sortState>
  </autoFilter>
  <mergeCells count="53">
    <mergeCell ref="G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  <mergeCell ref="DY1:EB1"/>
    <mergeCell ref="EC1:EF1"/>
    <mergeCell ref="EG1:EJ1"/>
    <mergeCell ref="EK1:EN1"/>
    <mergeCell ref="EO1:ER1"/>
    <mergeCell ref="ES1:EV1"/>
    <mergeCell ref="EW1:EZ1"/>
    <mergeCell ref="FA1:FD1"/>
    <mergeCell ref="FE1:FH1"/>
    <mergeCell ref="FI1:FL1"/>
    <mergeCell ref="FM1:FP1"/>
    <mergeCell ref="GS1:GV1"/>
    <mergeCell ref="GW1:GZ1"/>
    <mergeCell ref="HA1:HD1"/>
    <mergeCell ref="HE1:HH1"/>
    <mergeCell ref="FQ1:FT1"/>
    <mergeCell ref="FU1:FX1"/>
    <mergeCell ref="FY1:GB1"/>
    <mergeCell ref="GC1:GF1"/>
    <mergeCell ref="GG1:GJ1"/>
    <mergeCell ref="GK1:GN1"/>
    <mergeCell ref="GO1:GR1"/>
  </mergeCells>
  <conditionalFormatting sqref="C3:C4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7" max="9" width="15.0"/>
  </cols>
  <sheetData>
    <row r="1">
      <c r="G1" s="1"/>
      <c r="H1" s="1"/>
      <c r="I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>
      <c r="A3" s="4" t="s">
        <v>12</v>
      </c>
      <c r="B3" s="7" t="s">
        <v>13</v>
      </c>
      <c r="C3" s="1">
        <f t="shared" ref="C3:C41" si="1">countA($A$3:A3)</f>
        <v>1</v>
      </c>
      <c r="D3" s="15">
        <f>VLOOKUP(A3,TDP!A:C,3,FALSE)</f>
        <v>0.56</v>
      </c>
      <c r="E3" s="17">
        <f>VLOOKUP(A3,'2024 Puntos'!A:E,5,FALSE)</f>
        <v>237.12</v>
      </c>
      <c r="F3" s="18">
        <v>2.0</v>
      </c>
      <c r="G3" s="7" t="s">
        <v>15</v>
      </c>
      <c r="H3" s="7" t="s">
        <v>16</v>
      </c>
      <c r="I3" s="1" t="str">
        <f t="shared" ref="I3:I41" si="2">VLOOKUP(INT(E3*7/(MAX($E$3:$E$41))),$A$49:$B$59,2,FALSE)</f>
        <v>#N/A</v>
      </c>
      <c r="J3" s="18">
        <v>7.0</v>
      </c>
      <c r="K3" s="18">
        <v>4.0</v>
      </c>
      <c r="L3">
        <f>VLOOKUP($A3,Valoracion!$A:$J,10,FALSE)</f>
        <v>5</v>
      </c>
      <c r="M3" s="19"/>
      <c r="P3" s="20" t="s">
        <v>17</v>
      </c>
      <c r="Q3" s="19">
        <f>VLOOKUP($P3,Valoracion!$A:$J,10,FALSE)</f>
        <v>5</v>
      </c>
    </row>
    <row r="4">
      <c r="A4" s="20" t="s">
        <v>17</v>
      </c>
      <c r="B4" s="21" t="s">
        <v>18</v>
      </c>
      <c r="C4" s="1">
        <f t="shared" si="1"/>
        <v>2</v>
      </c>
      <c r="D4" s="15">
        <f>VLOOKUP(A4,TDP!A:C,3,FALSE)</f>
        <v>0.54</v>
      </c>
      <c r="E4" s="17">
        <f>VLOOKUP(A4,'2024 Puntos'!A:E,5,FALSE)</f>
        <v>337.26</v>
      </c>
      <c r="F4" s="18">
        <v>1.0</v>
      </c>
      <c r="G4" s="7" t="s">
        <v>19</v>
      </c>
      <c r="H4" s="7" t="s">
        <v>20</v>
      </c>
      <c r="I4" s="1" t="str">
        <f t="shared" si="2"/>
        <v>#N/A</v>
      </c>
      <c r="J4" s="18">
        <v>3.0</v>
      </c>
      <c r="K4" s="18">
        <v>7.0</v>
      </c>
      <c r="L4">
        <f>VLOOKUP($A4,Valoracion!$A:$J,10,FALSE)</f>
        <v>5</v>
      </c>
      <c r="M4" s="19"/>
      <c r="P4" s="4" t="s">
        <v>21</v>
      </c>
      <c r="Q4" s="19">
        <f>VLOOKUP($P4,Valoracion!$A:$J,10,FALSE)</f>
        <v>5</v>
      </c>
    </row>
    <row r="5">
      <c r="A5" s="20" t="s">
        <v>22</v>
      </c>
      <c r="B5" s="21" t="s">
        <v>23</v>
      </c>
      <c r="C5" s="1">
        <f t="shared" si="1"/>
        <v>3</v>
      </c>
      <c r="D5" s="15">
        <f>VLOOKUP(A5,TDP!A:C,3,FALSE)</f>
        <v>0.51</v>
      </c>
      <c r="E5" s="17">
        <f>VLOOKUP(A5,'2024 Puntos'!A:E,5,FALSE)</f>
        <v>279.35</v>
      </c>
      <c r="F5" s="18">
        <v>3.0</v>
      </c>
      <c r="G5" s="7" t="s">
        <v>24</v>
      </c>
      <c r="H5" s="7" t="s">
        <v>25</v>
      </c>
      <c r="I5" s="1" t="str">
        <f t="shared" si="2"/>
        <v>#N/A</v>
      </c>
      <c r="J5" s="18">
        <v>2.0</v>
      </c>
      <c r="K5" s="18">
        <v>3.0</v>
      </c>
      <c r="L5">
        <f>VLOOKUP($A5,Valoracion!$A:$J,10,FALSE)</f>
        <v>2</v>
      </c>
      <c r="M5" s="19"/>
      <c r="P5" s="4" t="s">
        <v>26</v>
      </c>
      <c r="Q5" s="19">
        <f>VLOOKUP($P5,Valoracion!$A:$J,10,FALSE)</f>
        <v>5</v>
      </c>
    </row>
    <row r="6">
      <c r="A6" s="20" t="s">
        <v>27</v>
      </c>
      <c r="B6" s="21" t="s">
        <v>28</v>
      </c>
      <c r="C6" s="1">
        <f t="shared" si="1"/>
        <v>4</v>
      </c>
      <c r="D6" s="15">
        <f>VLOOKUP(A6,TDP!A:C,3,FALSE)</f>
        <v>0.46</v>
      </c>
      <c r="E6" s="17">
        <f>VLOOKUP(A6,'2024 Puntos'!A:E,5,FALSE)</f>
        <v>167.9</v>
      </c>
      <c r="F6" s="18">
        <v>4.0</v>
      </c>
      <c r="G6" s="7" t="s">
        <v>29</v>
      </c>
      <c r="H6" s="7" t="s">
        <v>30</v>
      </c>
      <c r="I6" s="1" t="str">
        <f t="shared" si="2"/>
        <v>#N/A</v>
      </c>
      <c r="J6" s="18">
        <v>4.0</v>
      </c>
      <c r="K6" s="18">
        <v>6.0</v>
      </c>
      <c r="L6">
        <f>VLOOKUP($A6,Valoracion!$A:$J,10,FALSE)</f>
        <v>3</v>
      </c>
      <c r="M6" s="19"/>
      <c r="P6" s="4" t="s">
        <v>31</v>
      </c>
      <c r="Q6" s="19">
        <f>VLOOKUP($P6,Valoracion!$A:$J,10,FALSE)</f>
        <v>5</v>
      </c>
    </row>
    <row r="7">
      <c r="A7" s="20" t="s">
        <v>32</v>
      </c>
      <c r="B7" s="21" t="s">
        <v>33</v>
      </c>
      <c r="C7" s="1">
        <f t="shared" si="1"/>
        <v>5</v>
      </c>
      <c r="D7" s="15">
        <f>VLOOKUP(A7,TDP!A:C,3,FALSE)</f>
        <v>0.39</v>
      </c>
      <c r="E7" s="17">
        <f>VLOOKUP(A7,'2024 Puntos'!A:E,5,FALSE)</f>
        <v>144.56</v>
      </c>
      <c r="F7" s="18">
        <v>5.0</v>
      </c>
      <c r="G7" s="7" t="s">
        <v>32</v>
      </c>
      <c r="H7" s="7" t="s">
        <v>34</v>
      </c>
      <c r="I7" s="1" t="str">
        <f t="shared" si="2"/>
        <v>#N/A</v>
      </c>
      <c r="J7" s="18">
        <v>1.0</v>
      </c>
      <c r="K7" s="18">
        <v>2.0</v>
      </c>
      <c r="L7">
        <f>VLOOKUP($A7,Valoracion!$A:$J,10,FALSE)</f>
        <v>2</v>
      </c>
      <c r="M7" s="19"/>
      <c r="P7" s="20" t="s">
        <v>35</v>
      </c>
      <c r="Q7" s="19">
        <f>VLOOKUP($P7,Valoracion!$A:$J,10,FALSE)</f>
        <v>5</v>
      </c>
    </row>
    <row r="8">
      <c r="A8" s="20" t="s">
        <v>36</v>
      </c>
      <c r="B8" s="21" t="s">
        <v>37</v>
      </c>
      <c r="C8" s="1">
        <f t="shared" si="1"/>
        <v>6</v>
      </c>
      <c r="D8" s="15">
        <f>VLOOKUP(A8,TDP!A:C,3,FALSE)</f>
        <v>0.37</v>
      </c>
      <c r="E8" s="17">
        <f>VLOOKUP(A8,'2024 Puntos'!A:E,5,FALSE)</f>
        <v>65.76</v>
      </c>
      <c r="F8" s="18">
        <v>6.0</v>
      </c>
      <c r="G8" s="7" t="s">
        <v>36</v>
      </c>
      <c r="H8" s="7" t="s">
        <v>39</v>
      </c>
      <c r="I8" s="1" t="str">
        <f t="shared" si="2"/>
        <v>#N/A</v>
      </c>
      <c r="J8" s="18">
        <v>6.0</v>
      </c>
      <c r="K8" s="18">
        <v>7.0</v>
      </c>
      <c r="L8">
        <f>VLOOKUP($A8,Valoracion!$A:$J,10,FALSE)</f>
        <v>5</v>
      </c>
      <c r="M8" s="19"/>
      <c r="P8" s="4" t="s">
        <v>12</v>
      </c>
      <c r="Q8" s="19">
        <f>VLOOKUP($P8,Valoracion!$A:$J,10,FALSE)</f>
        <v>5</v>
      </c>
    </row>
    <row r="9">
      <c r="A9" s="4" t="s">
        <v>31</v>
      </c>
      <c r="B9" s="7" t="s">
        <v>40</v>
      </c>
      <c r="C9" s="1">
        <f t="shared" si="1"/>
        <v>7</v>
      </c>
      <c r="D9" s="15">
        <f>VLOOKUP(A9,TDP!A:C,3,FALSE)</f>
        <v>0.39</v>
      </c>
      <c r="E9" s="17">
        <f>VLOOKUP(A9,'2024 Puntos'!A:E,5,FALSE)</f>
        <v>189.04</v>
      </c>
      <c r="F9" s="18">
        <v>7.0</v>
      </c>
      <c r="G9" s="7" t="s">
        <v>31</v>
      </c>
      <c r="H9" s="7" t="s">
        <v>41</v>
      </c>
      <c r="I9" s="1" t="str">
        <f t="shared" si="2"/>
        <v>#N/A</v>
      </c>
      <c r="J9" s="18">
        <v>7.0</v>
      </c>
      <c r="K9" s="18">
        <v>8.0</v>
      </c>
      <c r="L9">
        <f>VLOOKUP($A9,Valoracion!$A:$J,10,FALSE)</f>
        <v>5</v>
      </c>
      <c r="M9" s="19"/>
      <c r="P9" s="20" t="s">
        <v>42</v>
      </c>
      <c r="Q9" s="19">
        <f>VLOOKUP($P9,Valoracion!$A:$J,10,FALSE)</f>
        <v>3</v>
      </c>
    </row>
    <row r="10">
      <c r="A10" s="20" t="s">
        <v>35</v>
      </c>
      <c r="B10" s="23" t="s">
        <v>43</v>
      </c>
      <c r="C10" s="1">
        <f t="shared" si="1"/>
        <v>8</v>
      </c>
      <c r="D10" s="15">
        <f>VLOOKUP(A10,TDP!A:C,3,FALSE)</f>
        <v>0.41</v>
      </c>
      <c r="E10" s="17">
        <f>VLOOKUP(A10,'2024 Puntos'!A:E,5,FALSE)</f>
        <v>321.48</v>
      </c>
      <c r="F10" s="18">
        <v>8.0</v>
      </c>
      <c r="G10" s="7" t="s">
        <v>45</v>
      </c>
      <c r="H10" s="7" t="s">
        <v>46</v>
      </c>
      <c r="I10" s="1" t="str">
        <f t="shared" si="2"/>
        <v>#N/A</v>
      </c>
      <c r="J10" s="18">
        <v>5.0</v>
      </c>
      <c r="K10" s="18">
        <v>7.0</v>
      </c>
      <c r="L10">
        <f>VLOOKUP($A10,Valoracion!$A:$J,10,FALSE)</f>
        <v>5</v>
      </c>
      <c r="M10" s="19"/>
      <c r="P10" s="20" t="s">
        <v>22</v>
      </c>
      <c r="Q10" s="19">
        <f>VLOOKUP($P10,Valoracion!$A:$J,10,FALSE)</f>
        <v>2</v>
      </c>
    </row>
    <row r="11">
      <c r="A11" s="20" t="s">
        <v>47</v>
      </c>
      <c r="B11" s="23" t="s">
        <v>48</v>
      </c>
      <c r="C11" s="1">
        <f t="shared" si="1"/>
        <v>9</v>
      </c>
      <c r="D11" s="15">
        <f>VLOOKUP(A11,TDP!A:C,3,FALSE)</f>
        <v>0.37</v>
      </c>
      <c r="E11" s="17">
        <f>VLOOKUP(A11,'2024 Puntos'!A:E,5,FALSE)</f>
        <v>132.89</v>
      </c>
      <c r="F11" s="18">
        <v>9.0</v>
      </c>
      <c r="G11" s="7" t="s">
        <v>47</v>
      </c>
      <c r="H11" s="7" t="s">
        <v>34</v>
      </c>
      <c r="I11" s="1" t="str">
        <f t="shared" si="2"/>
        <v>#N/A</v>
      </c>
      <c r="J11" s="18">
        <v>10.0</v>
      </c>
      <c r="K11" s="18">
        <v>2.0</v>
      </c>
      <c r="L11">
        <f>VLOOKUP($A11,Valoracion!$A:$J,10,FALSE)</f>
        <v>5</v>
      </c>
      <c r="M11" s="19"/>
      <c r="P11" s="20" t="s">
        <v>32</v>
      </c>
      <c r="Q11" s="19">
        <f>VLOOKUP($P11,Valoracion!$A:$J,10,FALSE)</f>
        <v>2</v>
      </c>
    </row>
    <row r="12">
      <c r="A12" s="20" t="s">
        <v>49</v>
      </c>
      <c r="B12" s="21" t="s">
        <v>50</v>
      </c>
      <c r="C12" s="1">
        <f t="shared" si="1"/>
        <v>10</v>
      </c>
      <c r="D12" s="15">
        <f>VLOOKUP(A12,TDP!A:C,3,FALSE)</f>
        <v>0.38</v>
      </c>
      <c r="E12" s="17">
        <f>VLOOKUP(A12,'2024 Puntos'!A:E,5,FALSE)</f>
        <v>180.78</v>
      </c>
      <c r="F12" s="18">
        <v>10.0</v>
      </c>
      <c r="G12" s="7" t="s">
        <v>49</v>
      </c>
      <c r="H12" s="7" t="s">
        <v>51</v>
      </c>
      <c r="I12" s="1" t="str">
        <f t="shared" si="2"/>
        <v>#N/A</v>
      </c>
      <c r="J12" s="18">
        <v>10.0</v>
      </c>
      <c r="K12" s="18">
        <v>10.0</v>
      </c>
      <c r="L12">
        <f>VLOOKUP($A12,Valoracion!$A:$J,10,FALSE)</f>
        <v>4</v>
      </c>
      <c r="M12" s="19"/>
      <c r="P12" s="20" t="s">
        <v>47</v>
      </c>
      <c r="Q12" s="19">
        <f>VLOOKUP($P12,Valoracion!$A:$J,10,FALSE)</f>
        <v>5</v>
      </c>
    </row>
    <row r="13">
      <c r="A13" s="20" t="s">
        <v>52</v>
      </c>
      <c r="B13" s="21" t="s">
        <v>53</v>
      </c>
      <c r="C13" s="1">
        <f t="shared" si="1"/>
        <v>11</v>
      </c>
      <c r="D13" s="15">
        <f>VLOOKUP(A13,TDP!A:C,3,FALSE)</f>
        <v>0.35</v>
      </c>
      <c r="E13" s="17">
        <f>VLOOKUP(A13,'2024 Puntos'!A:E,5,FALSE)</f>
        <v>20.25</v>
      </c>
      <c r="F13" s="18">
        <v>11.0</v>
      </c>
      <c r="G13" s="7" t="s">
        <v>52</v>
      </c>
      <c r="H13" s="7" t="s">
        <v>54</v>
      </c>
      <c r="I13" s="1" t="str">
        <f t="shared" si="2"/>
        <v>#N/A</v>
      </c>
      <c r="J13" s="18">
        <v>7.0</v>
      </c>
      <c r="K13" s="18">
        <v>9.0</v>
      </c>
      <c r="L13">
        <f>VLOOKUP($A13,Valoracion!$A:$J,10,FALSE)</f>
        <v>4</v>
      </c>
      <c r="M13" s="19"/>
      <c r="P13" s="20" t="s">
        <v>55</v>
      </c>
      <c r="Q13" s="19">
        <f>VLOOKUP($P13,Valoracion!$A:$J,10,FALSE)</f>
        <v>5</v>
      </c>
    </row>
    <row r="14">
      <c r="A14" s="20" t="s">
        <v>56</v>
      </c>
      <c r="B14" s="21" t="s">
        <v>57</v>
      </c>
      <c r="C14" s="1">
        <f t="shared" si="1"/>
        <v>12</v>
      </c>
      <c r="D14" s="15">
        <f>VLOOKUP(A14,TDP!A:C,3,FALSE)</f>
        <v>0.3</v>
      </c>
      <c r="E14" s="17">
        <f>VLOOKUP(A14,'2024 Puntos'!A:E,5,FALSE)</f>
        <v>23.4</v>
      </c>
      <c r="F14" s="18">
        <v>12.0</v>
      </c>
      <c r="G14" s="7" t="s">
        <v>56</v>
      </c>
      <c r="H14" s="7" t="s">
        <v>58</v>
      </c>
      <c r="I14" s="1" t="str">
        <f t="shared" si="2"/>
        <v>#N/A</v>
      </c>
      <c r="J14" s="18">
        <v>5.0</v>
      </c>
      <c r="K14" s="18">
        <v>7.0</v>
      </c>
      <c r="L14">
        <f>VLOOKUP($A14,Valoracion!$A:$J,10,FALSE)</f>
        <v>3</v>
      </c>
      <c r="M14" s="19"/>
      <c r="P14" s="20" t="s">
        <v>52</v>
      </c>
      <c r="Q14" s="19">
        <f>VLOOKUP($P14,Valoracion!$A:$J,10,FALSE)</f>
        <v>4</v>
      </c>
    </row>
    <row r="15">
      <c r="A15" s="4" t="s">
        <v>59</v>
      </c>
      <c r="B15" s="7" t="s">
        <v>60</v>
      </c>
      <c r="C15" s="30">
        <f t="shared" si="1"/>
        <v>13</v>
      </c>
      <c r="D15" s="15">
        <f>VLOOKUP(A15,TDP!A:C,3,FALSE)</f>
        <v>0.27</v>
      </c>
      <c r="E15" s="17">
        <f>VLOOKUP(A15,'2024 Puntos'!A:E,5,FALSE)</f>
        <v>0</v>
      </c>
      <c r="F15" s="18">
        <v>13.0</v>
      </c>
      <c r="G15" s="7" t="s">
        <v>61</v>
      </c>
      <c r="H15" s="7" t="s">
        <v>62</v>
      </c>
      <c r="I15" s="1" t="str">
        <f t="shared" si="2"/>
        <v>#N/A</v>
      </c>
      <c r="J15" s="18">
        <v>8.0</v>
      </c>
      <c r="K15" s="18">
        <v>9.0</v>
      </c>
      <c r="L15">
        <f>VLOOKUP($A15,Valoracion!$A:$J,10,FALSE)</f>
        <v>4</v>
      </c>
      <c r="M15" s="19"/>
    </row>
    <row r="16">
      <c r="A16" s="4" t="s">
        <v>63</v>
      </c>
      <c r="B16" s="7" t="s">
        <v>64</v>
      </c>
      <c r="C16" s="1">
        <f t="shared" si="1"/>
        <v>14</v>
      </c>
      <c r="D16" s="15">
        <f>VLOOKUP(A16,TDP!A:C,3,FALSE)</f>
        <v>0.29</v>
      </c>
      <c r="E16" s="17">
        <f>VLOOKUP(A16,'2024 Puntos'!A:E,5,FALSE)</f>
        <v>116.1</v>
      </c>
      <c r="F16" s="18">
        <v>14.0</v>
      </c>
      <c r="G16" s="7" t="s">
        <v>65</v>
      </c>
      <c r="H16" s="7" t="s">
        <v>66</v>
      </c>
      <c r="I16" s="1" t="str">
        <f t="shared" si="2"/>
        <v>#N/A</v>
      </c>
      <c r="J16" s="18">
        <v>6.0</v>
      </c>
      <c r="K16" s="18">
        <v>8.0</v>
      </c>
      <c r="L16">
        <f>VLOOKUP($A16,Valoracion!$A:$J,10,FALSE)</f>
        <v>4</v>
      </c>
      <c r="M16" s="19"/>
      <c r="P16" s="4"/>
      <c r="Q16" s="19"/>
    </row>
    <row r="17">
      <c r="A17" s="20" t="s">
        <v>55</v>
      </c>
      <c r="B17" s="21" t="s">
        <v>69</v>
      </c>
      <c r="C17" s="1">
        <f t="shared" si="1"/>
        <v>15</v>
      </c>
      <c r="D17" s="15">
        <f>VLOOKUP(A17,TDP!A:C,3,FALSE)</f>
        <v>0.3</v>
      </c>
      <c r="E17" s="17">
        <f>VLOOKUP(A17,'2024 Puntos'!A:E,5,FALSE)</f>
        <v>189.8</v>
      </c>
      <c r="F17" s="18">
        <v>15.0</v>
      </c>
      <c r="G17" s="7" t="s">
        <v>55</v>
      </c>
      <c r="H17" s="7" t="s">
        <v>73</v>
      </c>
      <c r="I17" s="1" t="str">
        <f t="shared" si="2"/>
        <v>#N/A</v>
      </c>
      <c r="J17" s="18">
        <v>5.0</v>
      </c>
      <c r="K17" s="18">
        <v>6.0</v>
      </c>
      <c r="L17">
        <f>VLOOKUP($A17,Valoracion!$A:$J,10,FALSE)</f>
        <v>5</v>
      </c>
      <c r="M17" s="19"/>
      <c r="P17" s="20"/>
      <c r="Q17" s="19"/>
    </row>
    <row r="18">
      <c r="A18" s="4" t="s">
        <v>21</v>
      </c>
      <c r="B18" s="7" t="s">
        <v>75</v>
      </c>
      <c r="C18" s="1">
        <f t="shared" si="1"/>
        <v>16</v>
      </c>
      <c r="D18" s="15">
        <f>VLOOKUP(A18,TDP!A:C,3,FALSE)</f>
        <v>0.31</v>
      </c>
      <c r="E18" s="17">
        <f>VLOOKUP(A18,'2024 Puntos'!A:E,5,FALSE)</f>
        <v>275.1</v>
      </c>
      <c r="F18" s="18">
        <v>16.0</v>
      </c>
      <c r="G18" s="7" t="s">
        <v>21</v>
      </c>
      <c r="H18" s="7" t="s">
        <v>76</v>
      </c>
      <c r="I18" s="1" t="str">
        <f t="shared" si="2"/>
        <v>#N/A</v>
      </c>
      <c r="J18" s="18">
        <v>8.0</v>
      </c>
      <c r="K18" s="18">
        <v>7.0</v>
      </c>
      <c r="L18">
        <f>VLOOKUP($A18,Valoracion!$A:$J,10,FALSE)</f>
        <v>5</v>
      </c>
      <c r="M18" s="19"/>
      <c r="P18" s="4"/>
      <c r="Q18" s="19"/>
    </row>
    <row r="19">
      <c r="A19" s="20" t="s">
        <v>77</v>
      </c>
      <c r="B19" s="21" t="s">
        <v>78</v>
      </c>
      <c r="C19" s="1">
        <f t="shared" si="1"/>
        <v>17</v>
      </c>
      <c r="D19" s="15">
        <f>VLOOKUP(A19,TDP!A:C,3,FALSE)</f>
        <v>0.25</v>
      </c>
      <c r="E19" s="17">
        <f>VLOOKUP(A19,'2024 Puntos'!A:E,5,FALSE)</f>
        <v>133.75</v>
      </c>
      <c r="F19" s="18">
        <v>17.0</v>
      </c>
      <c r="G19" s="7" t="s">
        <v>77</v>
      </c>
      <c r="H19" s="7" t="s">
        <v>79</v>
      </c>
      <c r="I19" s="1" t="str">
        <f t="shared" si="2"/>
        <v>#N/A</v>
      </c>
      <c r="J19" s="18">
        <v>5.0</v>
      </c>
      <c r="K19" s="18">
        <v>7.0</v>
      </c>
      <c r="L19">
        <f>VLOOKUP($A19,Valoracion!$A:$J,10,FALSE)</f>
        <v>5</v>
      </c>
      <c r="M19" s="19"/>
      <c r="P19" s="4"/>
      <c r="Q19" s="19"/>
    </row>
    <row r="20">
      <c r="A20" s="20" t="s">
        <v>80</v>
      </c>
      <c r="B20" s="21" t="s">
        <v>81</v>
      </c>
      <c r="C20" s="1">
        <f t="shared" si="1"/>
        <v>18</v>
      </c>
      <c r="D20" s="15">
        <f>VLOOKUP(A20,TDP!A:C,3,FALSE)</f>
        <v>0.22</v>
      </c>
      <c r="E20" s="17">
        <f>VLOOKUP(A20,'2024 Puntos'!A:E,5,FALSE)</f>
        <v>3.66</v>
      </c>
      <c r="F20" s="18">
        <v>18.0</v>
      </c>
      <c r="G20" s="7" t="s">
        <v>80</v>
      </c>
      <c r="H20" s="7" t="s">
        <v>16</v>
      </c>
      <c r="I20" s="1" t="str">
        <f t="shared" si="2"/>
        <v>#N/A</v>
      </c>
      <c r="J20" s="18">
        <v>7.0</v>
      </c>
      <c r="K20" s="18">
        <v>8.0</v>
      </c>
      <c r="L20">
        <f>VLOOKUP($A20,Valoracion!$A:$J,10,FALSE)</f>
        <v>4</v>
      </c>
      <c r="M20" s="19"/>
      <c r="P20" s="20"/>
      <c r="Q20" s="19"/>
    </row>
    <row r="21">
      <c r="A21" s="20" t="s">
        <v>82</v>
      </c>
      <c r="B21" s="21" t="s">
        <v>83</v>
      </c>
      <c r="C21" s="1">
        <f t="shared" si="1"/>
        <v>19</v>
      </c>
      <c r="D21" s="15">
        <f>VLOOKUP(A21,TDP!A:C,3,FALSE)</f>
        <v>0.25</v>
      </c>
      <c r="E21" s="17">
        <f>VLOOKUP(A21,'2024 Puntos'!A:E,5,FALSE)</f>
        <v>3.75</v>
      </c>
      <c r="F21" s="18">
        <v>19.0</v>
      </c>
      <c r="G21" s="7" t="s">
        <v>82</v>
      </c>
      <c r="H21" s="7" t="s">
        <v>84</v>
      </c>
      <c r="I21" s="1" t="str">
        <f t="shared" si="2"/>
        <v>#N/A</v>
      </c>
      <c r="J21" s="18">
        <v>9.0</v>
      </c>
      <c r="K21" s="18">
        <v>9.0</v>
      </c>
      <c r="L21">
        <f>VLOOKUP($A21,Valoracion!$A:$J,10,FALSE)</f>
        <v>4</v>
      </c>
      <c r="M21" s="19"/>
      <c r="P21" s="20"/>
      <c r="Q21" s="19"/>
    </row>
    <row r="22">
      <c r="A22" s="4" t="s">
        <v>26</v>
      </c>
      <c r="B22" s="7" t="s">
        <v>85</v>
      </c>
      <c r="C22" s="1">
        <f t="shared" si="1"/>
        <v>20</v>
      </c>
      <c r="D22" s="15">
        <f>VLOOKUP(A22,TDP!A:C,3,FALSE)</f>
        <v>0.27</v>
      </c>
      <c r="E22" s="17">
        <f>VLOOKUP(A22,'2024 Puntos'!A:E,5,FALSE)</f>
        <v>242.57</v>
      </c>
      <c r="F22" s="18">
        <v>20.0</v>
      </c>
      <c r="G22" s="7" t="s">
        <v>86</v>
      </c>
      <c r="H22" s="7" t="s">
        <v>87</v>
      </c>
      <c r="I22" s="1" t="str">
        <f t="shared" si="2"/>
        <v>#N/A</v>
      </c>
      <c r="J22" s="18">
        <v>10.0</v>
      </c>
      <c r="K22" s="18">
        <v>9.0</v>
      </c>
      <c r="L22">
        <f>VLOOKUP($A22,Valoracion!$A:$J,10,FALSE)</f>
        <v>5</v>
      </c>
      <c r="M22" s="19"/>
      <c r="P22" s="4"/>
      <c r="Q22" s="19"/>
    </row>
    <row r="23">
      <c r="A23" s="20" t="s">
        <v>88</v>
      </c>
      <c r="B23" s="21"/>
      <c r="C23" s="1">
        <f t="shared" si="1"/>
        <v>21</v>
      </c>
      <c r="D23" s="15">
        <f>VLOOKUP(A23,TDP!A:C,3,FALSE)</f>
        <v>0.05</v>
      </c>
      <c r="E23" s="17">
        <f>VLOOKUP(A23,'2024 Puntos'!A:E,5,FALSE)</f>
        <v>15.75</v>
      </c>
      <c r="F23" s="18">
        <v>21.0</v>
      </c>
      <c r="G23" s="7" t="s">
        <v>21</v>
      </c>
      <c r="H23" s="7" t="s">
        <v>25</v>
      </c>
      <c r="I23" s="1" t="str">
        <f t="shared" si="2"/>
        <v>#N/A</v>
      </c>
      <c r="J23" s="18">
        <v>7.0</v>
      </c>
      <c r="K23" s="18">
        <v>5.0</v>
      </c>
      <c r="L23">
        <f>VLOOKUP($A23,Valoracion!$A:$J,10,FALSE)</f>
        <v>4</v>
      </c>
      <c r="M23" s="19"/>
      <c r="P23" s="20"/>
      <c r="Q23" s="19"/>
    </row>
    <row r="24">
      <c r="A24" s="20" t="s">
        <v>91</v>
      </c>
      <c r="B24" s="21" t="s">
        <v>92</v>
      </c>
      <c r="C24" s="1">
        <f t="shared" si="1"/>
        <v>22</v>
      </c>
      <c r="D24" s="15">
        <f>VLOOKUP(A24,TDP!A:C,3,FALSE)</f>
        <v>0.25</v>
      </c>
      <c r="E24" s="17">
        <f>VLOOKUP(A24,'2024 Puntos'!A:E,5,FALSE)</f>
        <v>25</v>
      </c>
      <c r="F24" s="18">
        <v>22.0</v>
      </c>
      <c r="G24" s="7" t="s">
        <v>91</v>
      </c>
      <c r="H24" s="7" t="s">
        <v>92</v>
      </c>
      <c r="I24" s="1" t="str">
        <f t="shared" si="2"/>
        <v>#N/A</v>
      </c>
      <c r="J24" s="18">
        <v>3.0</v>
      </c>
      <c r="K24" s="18">
        <v>3.0</v>
      </c>
      <c r="L24">
        <f>VLOOKUP($A24,Valoracion!$A:$J,10,FALSE)</f>
        <v>4</v>
      </c>
      <c r="M24" s="19"/>
      <c r="P24" s="20"/>
      <c r="Q24" s="19"/>
    </row>
    <row r="25">
      <c r="A25" s="20" t="s">
        <v>94</v>
      </c>
      <c r="B25" s="21" t="s">
        <v>95</v>
      </c>
      <c r="C25" s="1">
        <f t="shared" si="1"/>
        <v>23</v>
      </c>
      <c r="D25" s="15">
        <f>VLOOKUP(A25,TDP!A:C,3,FALSE)</f>
        <v>0.12</v>
      </c>
      <c r="E25" s="17">
        <f>VLOOKUP(A25,'2024 Puntos'!A:E,5,FALSE)</f>
        <v>0</v>
      </c>
      <c r="F25" s="18">
        <v>23.0</v>
      </c>
      <c r="G25" s="7" t="s">
        <v>94</v>
      </c>
      <c r="H25" s="7" t="s">
        <v>96</v>
      </c>
      <c r="I25" s="1" t="str">
        <f t="shared" si="2"/>
        <v>#N/A</v>
      </c>
      <c r="J25" s="18">
        <v>8.0</v>
      </c>
      <c r="K25" s="18">
        <v>7.0</v>
      </c>
      <c r="L25">
        <f>VLOOKUP($A25,Valoracion!$A:$J,10,FALSE)</f>
        <v>4</v>
      </c>
      <c r="M25" s="19"/>
      <c r="P25" s="20"/>
      <c r="Q25" s="19"/>
    </row>
    <row r="26">
      <c r="A26" s="20" t="s">
        <v>97</v>
      </c>
      <c r="B26" s="21" t="s">
        <v>98</v>
      </c>
      <c r="C26" s="1">
        <f t="shared" si="1"/>
        <v>24</v>
      </c>
      <c r="D26" s="15">
        <f>VLOOKUP(A26,TDP!A:C,3,FALSE)</f>
        <v>0.13</v>
      </c>
      <c r="E26" s="17">
        <f>VLOOKUP(A26,'2024 Puntos'!A:E,5,FALSE)</f>
        <v>0</v>
      </c>
      <c r="F26" s="18">
        <v>24.0</v>
      </c>
      <c r="G26" s="7" t="s">
        <v>97</v>
      </c>
      <c r="H26" s="7" t="s">
        <v>20</v>
      </c>
      <c r="I26" s="1" t="str">
        <f t="shared" si="2"/>
        <v>#N/A</v>
      </c>
      <c r="J26" s="18">
        <v>7.0</v>
      </c>
      <c r="K26" s="18">
        <v>7.0</v>
      </c>
      <c r="L26">
        <f>VLOOKUP($A26,Valoracion!$A:$J,10,FALSE)</f>
        <v>4</v>
      </c>
      <c r="M26" s="19"/>
    </row>
    <row r="27">
      <c r="A27" s="20" t="s">
        <v>99</v>
      </c>
      <c r="B27" s="21"/>
      <c r="C27" s="1">
        <f t="shared" si="1"/>
        <v>25</v>
      </c>
      <c r="D27" s="15">
        <f>VLOOKUP(A27,TDP!A:C,3,FALSE)</f>
        <v>0.1</v>
      </c>
      <c r="E27" s="17">
        <f>VLOOKUP(A27,'2024 Puntos'!A:E,5,FALSE)</f>
        <v>0</v>
      </c>
      <c r="F27" s="18">
        <v>25.0</v>
      </c>
      <c r="G27" s="7" t="s">
        <v>99</v>
      </c>
      <c r="H27" s="7" t="s">
        <v>100</v>
      </c>
      <c r="I27" s="1" t="str">
        <f t="shared" si="2"/>
        <v>#N/A</v>
      </c>
      <c r="J27" s="18">
        <v>5.0</v>
      </c>
      <c r="K27" s="18">
        <v>8.0</v>
      </c>
      <c r="L27">
        <f>VLOOKUP($A27,Valoracion!$A:$J,10,FALSE)</f>
        <v>4</v>
      </c>
      <c r="M27" s="19"/>
    </row>
    <row r="28">
      <c r="A28" s="4" t="s">
        <v>101</v>
      </c>
      <c r="B28" s="7"/>
      <c r="C28" s="1">
        <f t="shared" si="1"/>
        <v>26</v>
      </c>
      <c r="D28" s="15">
        <f>VLOOKUP(A28,TDP!A:C,3,FALSE)</f>
        <v>0.19</v>
      </c>
      <c r="E28" s="17">
        <f>VLOOKUP(A28,'2024 Puntos'!A:E,5,FALSE)</f>
        <v>252.28</v>
      </c>
      <c r="F28" s="18">
        <v>26.0</v>
      </c>
      <c r="G28" s="7" t="s">
        <v>101</v>
      </c>
      <c r="H28" s="7" t="s">
        <v>102</v>
      </c>
      <c r="I28" s="1" t="str">
        <f t="shared" si="2"/>
        <v>#N/A</v>
      </c>
      <c r="J28" s="18">
        <v>9.0</v>
      </c>
      <c r="K28" s="18">
        <v>10.0</v>
      </c>
      <c r="L28">
        <f>VLOOKUP($A28,Valoracion!$A:$J,10,FALSE)</f>
        <v>5</v>
      </c>
      <c r="M28" s="19"/>
    </row>
    <row r="29">
      <c r="A29" s="20" t="s">
        <v>103</v>
      </c>
      <c r="B29" s="21" t="s">
        <v>104</v>
      </c>
      <c r="C29" s="1">
        <f t="shared" si="1"/>
        <v>27</v>
      </c>
      <c r="D29" s="15">
        <f>VLOOKUP(A29,TDP!A:C,3,FALSE)</f>
        <v>0.17</v>
      </c>
      <c r="E29" s="17">
        <f>VLOOKUP(A29,'2024 Puntos'!A:E,5,FALSE)</f>
        <v>3.51</v>
      </c>
      <c r="F29" s="18">
        <v>27.0</v>
      </c>
      <c r="G29" s="7" t="s">
        <v>105</v>
      </c>
      <c r="H29" s="7" t="s">
        <v>16</v>
      </c>
      <c r="I29" s="1" t="str">
        <f t="shared" si="2"/>
        <v>#N/A</v>
      </c>
      <c r="J29" s="18">
        <v>7.0</v>
      </c>
      <c r="K29" s="18">
        <v>8.0</v>
      </c>
      <c r="L29">
        <f>VLOOKUP($A29,Valoracion!$A:$J,10,FALSE)</f>
        <v>4</v>
      </c>
      <c r="M29" s="19"/>
    </row>
    <row r="30">
      <c r="A30" s="20" t="s">
        <v>106</v>
      </c>
      <c r="B30" s="21" t="s">
        <v>107</v>
      </c>
      <c r="C30" s="1">
        <f t="shared" si="1"/>
        <v>28</v>
      </c>
      <c r="D30" s="15">
        <f>VLOOKUP(A30,TDP!A:C,3,FALSE)</f>
        <v>0.19</v>
      </c>
      <c r="E30" s="17">
        <f>VLOOKUP(A30,'2024 Puntos'!A:E,5,FALSE)</f>
        <v>91.63</v>
      </c>
      <c r="F30" s="18">
        <v>28.0</v>
      </c>
      <c r="G30" s="7" t="s">
        <v>106</v>
      </c>
      <c r="H30" s="7" t="s">
        <v>108</v>
      </c>
      <c r="I30" s="1" t="str">
        <f t="shared" si="2"/>
        <v>#N/A</v>
      </c>
      <c r="J30" s="18">
        <v>7.0</v>
      </c>
      <c r="K30" s="18">
        <v>8.0</v>
      </c>
      <c r="L30">
        <f>VLOOKUP($A30,Valoracion!$A:$J,10,FALSE)</f>
        <v>3</v>
      </c>
      <c r="M30" s="19"/>
    </row>
    <row r="31">
      <c r="A31" s="20" t="s">
        <v>109</v>
      </c>
      <c r="B31" s="21"/>
      <c r="C31" s="1">
        <f t="shared" si="1"/>
        <v>29</v>
      </c>
      <c r="D31" s="15">
        <f>VLOOKUP(A31,TDP!A:C,3,FALSE)</f>
        <v>0.15</v>
      </c>
      <c r="E31" s="17">
        <f>VLOOKUP(A31,'2024 Puntos'!A:E,5,FALSE)</f>
        <v>0</v>
      </c>
      <c r="F31" s="18">
        <v>29.0</v>
      </c>
      <c r="G31" s="7" t="s">
        <v>109</v>
      </c>
      <c r="H31" s="7" t="s">
        <v>110</v>
      </c>
      <c r="I31" s="1" t="str">
        <f t="shared" si="2"/>
        <v>#N/A</v>
      </c>
      <c r="J31" s="18">
        <v>8.0</v>
      </c>
      <c r="K31" s="18">
        <v>9.0</v>
      </c>
      <c r="L31">
        <f>VLOOKUP($A31,Valoracion!$A:$J,10,FALSE)</f>
        <v>4</v>
      </c>
      <c r="M31" s="19"/>
    </row>
    <row r="32">
      <c r="A32" s="4" t="s">
        <v>111</v>
      </c>
      <c r="B32" s="7" t="s">
        <v>112</v>
      </c>
      <c r="C32" s="1">
        <f t="shared" si="1"/>
        <v>30</v>
      </c>
      <c r="D32" s="15">
        <f>VLOOKUP(A32,TDP!A:C,3,FALSE)</f>
        <v>0.18</v>
      </c>
      <c r="E32" s="17">
        <f>VLOOKUP(A32,'2024 Puntos'!A:E,5,FALSE)</f>
        <v>53.1</v>
      </c>
      <c r="F32" s="18">
        <v>30.0</v>
      </c>
      <c r="G32" s="7" t="s">
        <v>111</v>
      </c>
      <c r="H32" s="7" t="s">
        <v>110</v>
      </c>
      <c r="I32" s="1" t="str">
        <f t="shared" si="2"/>
        <v>#N/A</v>
      </c>
      <c r="J32" s="18">
        <v>5.0</v>
      </c>
      <c r="K32" s="18">
        <v>8.0</v>
      </c>
      <c r="L32">
        <f>VLOOKUP($A32,Valoracion!$A:$J,10,FALSE)</f>
        <v>5</v>
      </c>
      <c r="M32" s="19"/>
    </row>
    <row r="33">
      <c r="A33" s="20" t="s">
        <v>113</v>
      </c>
      <c r="B33" s="21" t="s">
        <v>114</v>
      </c>
      <c r="C33" s="1">
        <f t="shared" si="1"/>
        <v>31</v>
      </c>
      <c r="D33" s="15">
        <f>VLOOKUP(A33,TDP!A:C,3,FALSE)</f>
        <v>0.18</v>
      </c>
      <c r="E33" s="17">
        <f>VLOOKUP(A33,'2024 Puntos'!A:E,5,FALSE)</f>
        <v>43.66</v>
      </c>
      <c r="F33" s="18">
        <v>31.0</v>
      </c>
      <c r="G33" s="7" t="s">
        <v>113</v>
      </c>
      <c r="H33" s="7" t="s">
        <v>20</v>
      </c>
      <c r="I33" s="1" t="str">
        <f t="shared" si="2"/>
        <v>#N/A</v>
      </c>
      <c r="J33" s="18">
        <v>7.0</v>
      </c>
      <c r="K33" s="18">
        <v>9.0</v>
      </c>
      <c r="L33">
        <f>VLOOKUP($A33,Valoracion!$A:$J,10,FALSE)</f>
        <v>4</v>
      </c>
      <c r="M33" s="19"/>
    </row>
    <row r="34">
      <c r="A34" s="20" t="s">
        <v>115</v>
      </c>
      <c r="B34" s="21" t="s">
        <v>116</v>
      </c>
      <c r="C34" s="1">
        <f t="shared" si="1"/>
        <v>32</v>
      </c>
      <c r="D34" s="15">
        <f>VLOOKUP(A34,TDP!A:C,3,FALSE)</f>
        <v>0.08</v>
      </c>
      <c r="E34" s="17">
        <f>VLOOKUP(A34,'2024 Puntos'!A:E,5,FALSE)</f>
        <v>0</v>
      </c>
      <c r="F34" s="18">
        <v>32.0</v>
      </c>
      <c r="G34" s="7" t="s">
        <v>115</v>
      </c>
      <c r="H34" s="1"/>
      <c r="I34" s="1" t="str">
        <f t="shared" si="2"/>
        <v>#N/A</v>
      </c>
      <c r="J34" s="18">
        <v>3.0</v>
      </c>
      <c r="K34" s="18">
        <v>3.0</v>
      </c>
      <c r="L34">
        <f>VLOOKUP($A34,Valoracion!$A:$J,10,FALSE)</f>
        <v>4</v>
      </c>
      <c r="M34" s="19"/>
    </row>
    <row r="35">
      <c r="A35" s="4" t="s">
        <v>117</v>
      </c>
      <c r="B35" s="7" t="s">
        <v>118</v>
      </c>
      <c r="C35" s="1">
        <f t="shared" si="1"/>
        <v>33</v>
      </c>
      <c r="D35" s="15">
        <f>VLOOKUP(A35,TDP!A:C,3,FALSE)</f>
        <v>0.16</v>
      </c>
      <c r="E35" s="17">
        <f>VLOOKUP(A35,'2024 Puntos'!A:E,5,FALSE)</f>
        <v>218.08</v>
      </c>
      <c r="F35" s="18">
        <v>33.0</v>
      </c>
      <c r="G35" s="7" t="s">
        <v>119</v>
      </c>
      <c r="H35" s="7" t="s">
        <v>120</v>
      </c>
      <c r="I35" s="1" t="str">
        <f t="shared" si="2"/>
        <v>#N/A</v>
      </c>
      <c r="J35" s="18">
        <v>8.0</v>
      </c>
      <c r="K35" s="18">
        <v>8.0</v>
      </c>
      <c r="L35">
        <f>VLOOKUP($A35,Valoracion!$A:$J,10,FALSE)</f>
        <v>5</v>
      </c>
      <c r="M35" s="19"/>
    </row>
    <row r="36">
      <c r="A36" s="20" t="s">
        <v>121</v>
      </c>
      <c r="B36" s="21" t="s">
        <v>122</v>
      </c>
      <c r="C36" s="1">
        <f t="shared" si="1"/>
        <v>34</v>
      </c>
      <c r="D36" s="15">
        <f>VLOOKUP(A36,TDP!A:C,3,FALSE)</f>
        <v>0.12</v>
      </c>
      <c r="E36" s="17">
        <f>VLOOKUP(A36,'2024 Puntos'!A:E,5,FALSE)</f>
        <v>0</v>
      </c>
      <c r="F36" s="18">
        <v>34.0</v>
      </c>
      <c r="G36" s="7" t="s">
        <v>121</v>
      </c>
      <c r="H36" s="7" t="s">
        <v>123</v>
      </c>
      <c r="I36" s="1" t="str">
        <f t="shared" si="2"/>
        <v>#N/A</v>
      </c>
      <c r="J36" s="18">
        <v>4.0</v>
      </c>
      <c r="K36" s="18">
        <v>5.0</v>
      </c>
      <c r="L36">
        <f>VLOOKUP($A36,Valoracion!$A:$J,10,FALSE)</f>
        <v>4</v>
      </c>
      <c r="M36" s="19"/>
    </row>
    <row r="37">
      <c r="A37" s="20" t="s">
        <v>42</v>
      </c>
      <c r="B37" s="21" t="s">
        <v>124</v>
      </c>
      <c r="C37" s="1">
        <f t="shared" si="1"/>
        <v>35</v>
      </c>
      <c r="D37" s="15">
        <f>VLOOKUP(A37,TDP!A:C,3,FALSE)</f>
        <v>0.17</v>
      </c>
      <c r="E37" s="17">
        <f>VLOOKUP(A37,'2024 Puntos'!A:E,5,FALSE)</f>
        <v>177.84</v>
      </c>
      <c r="F37" s="18">
        <v>35.0</v>
      </c>
      <c r="G37" s="7" t="s">
        <v>42</v>
      </c>
      <c r="H37" s="7" t="s">
        <v>125</v>
      </c>
      <c r="I37" s="1" t="str">
        <f t="shared" si="2"/>
        <v>#N/A</v>
      </c>
      <c r="J37" s="18">
        <v>6.0</v>
      </c>
      <c r="K37" s="18">
        <v>8.0</v>
      </c>
      <c r="L37">
        <f>VLOOKUP($A37,Valoracion!$A:$J,10,FALSE)</f>
        <v>3</v>
      </c>
      <c r="M37" s="19"/>
    </row>
    <row r="38">
      <c r="A38" s="20" t="s">
        <v>126</v>
      </c>
      <c r="B38" s="21"/>
      <c r="C38" s="1">
        <f t="shared" si="1"/>
        <v>36</v>
      </c>
      <c r="D38" s="15">
        <f>VLOOKUP(A38,TDP!A:C,3,FALSE)</f>
        <v>0.12</v>
      </c>
      <c r="E38" s="17">
        <f>VLOOKUP(A38,'2024 Puntos'!A:E,5,FALSE)</f>
        <v>69.44</v>
      </c>
      <c r="F38" s="18">
        <v>36.0</v>
      </c>
      <c r="G38" s="7" t="s">
        <v>126</v>
      </c>
      <c r="H38" s="7" t="s">
        <v>127</v>
      </c>
      <c r="I38" s="1" t="str">
        <f t="shared" si="2"/>
        <v>#N/A</v>
      </c>
      <c r="J38" s="18">
        <v>5.0</v>
      </c>
      <c r="K38" s="18">
        <v>7.0</v>
      </c>
      <c r="L38">
        <f>VLOOKUP($A38,Valoracion!$A:$J,10,FALSE)</f>
        <v>4</v>
      </c>
      <c r="M38" s="19"/>
    </row>
    <row r="39">
      <c r="A39" s="20" t="s">
        <v>128</v>
      </c>
      <c r="B39" s="21"/>
      <c r="C39" s="1">
        <f t="shared" si="1"/>
        <v>37</v>
      </c>
      <c r="D39" s="1" t="str">
        <f>VLOOKUP(A39,TDP!A:C,3,FALSE)</f>
        <v>#N/A</v>
      </c>
      <c r="E39" s="17" t="str">
        <f>VLOOKUP(A39,'2024 Puntos'!A:E,5,FALSE)</f>
        <v>#N/A</v>
      </c>
      <c r="F39" s="18">
        <v>37.0</v>
      </c>
      <c r="G39" s="7" t="s">
        <v>128</v>
      </c>
      <c r="H39" s="1"/>
      <c r="I39" s="1" t="str">
        <f t="shared" si="2"/>
        <v>#N/A</v>
      </c>
      <c r="J39" s="18">
        <v>3.0</v>
      </c>
      <c r="K39" s="18">
        <v>6.0</v>
      </c>
      <c r="L39">
        <f>VLOOKUP($A39,Valoracion!$A:$J,10,FALSE)</f>
        <v>4</v>
      </c>
      <c r="M39" s="19"/>
    </row>
    <row r="40">
      <c r="A40" s="20" t="s">
        <v>129</v>
      </c>
      <c r="B40" s="21"/>
      <c r="C40" s="1">
        <f t="shared" si="1"/>
        <v>38</v>
      </c>
      <c r="D40" s="15">
        <f>VLOOKUP(A40,TDP!A:C,3,FALSE)</f>
        <v>0.1</v>
      </c>
      <c r="E40" s="17">
        <f>VLOOKUP(A40,'2024 Puntos'!A:E,5,FALSE)</f>
        <v>3.3</v>
      </c>
      <c r="F40" s="18">
        <v>38.0</v>
      </c>
      <c r="G40" s="7" t="s">
        <v>129</v>
      </c>
      <c r="H40" s="1"/>
      <c r="I40" s="1" t="str">
        <f t="shared" si="2"/>
        <v>#N/A</v>
      </c>
      <c r="J40" s="18">
        <v>3.0</v>
      </c>
      <c r="K40" s="18">
        <v>4.0</v>
      </c>
      <c r="L40">
        <f>VLOOKUP($A40,Valoracion!$A:$J,10,FALSE)</f>
        <v>4</v>
      </c>
      <c r="M40" s="19"/>
    </row>
    <row r="41">
      <c r="A41" s="20" t="s">
        <v>130</v>
      </c>
      <c r="B41" s="21"/>
      <c r="C41" s="43">
        <f t="shared" si="1"/>
        <v>39</v>
      </c>
      <c r="D41" s="43" t="str">
        <f>VLOOKUP(A41,TDP!A:C,3,FALSE)</f>
        <v>#N/A</v>
      </c>
      <c r="E41" s="17" t="str">
        <f>VLOOKUP(A41,'2024 Puntos'!A:E,5,FALSE)</f>
        <v>#N/A</v>
      </c>
      <c r="F41" s="18">
        <v>39.0</v>
      </c>
      <c r="G41" s="7" t="s">
        <v>130</v>
      </c>
      <c r="H41" s="7" t="s">
        <v>131</v>
      </c>
      <c r="I41" s="1" t="str">
        <f t="shared" si="2"/>
        <v>#N/A</v>
      </c>
      <c r="J41" s="18">
        <v>7.0</v>
      </c>
      <c r="K41" s="18">
        <v>8.0</v>
      </c>
      <c r="L41">
        <f>VLOOKUP($A41,Valoracion!$A:$J,10,FALSE)</f>
        <v>4</v>
      </c>
      <c r="M41" s="19"/>
    </row>
    <row r="42">
      <c r="G42" s="1"/>
      <c r="H42" s="1"/>
      <c r="I42" s="1"/>
    </row>
    <row r="43">
      <c r="G43" s="1"/>
      <c r="H43" s="1"/>
      <c r="I43" s="1"/>
    </row>
    <row r="44">
      <c r="G44" s="1"/>
      <c r="H44" s="1"/>
      <c r="I44" s="1"/>
    </row>
    <row r="45">
      <c r="G45" s="1"/>
      <c r="H45" s="1"/>
      <c r="I45" s="1"/>
    </row>
    <row r="46">
      <c r="G46" s="1"/>
      <c r="H46" s="1"/>
      <c r="I46" s="1"/>
    </row>
    <row r="47">
      <c r="G47" s="1"/>
      <c r="H47" s="1"/>
      <c r="I47" s="1"/>
    </row>
    <row r="48">
      <c r="G48" s="1"/>
      <c r="H48" s="1"/>
      <c r="I48" s="1"/>
    </row>
    <row r="49">
      <c r="A49" s="7">
        <v>7.0</v>
      </c>
      <c r="B49" s="7" t="s">
        <v>132</v>
      </c>
      <c r="G49" s="1"/>
      <c r="H49" s="1"/>
      <c r="I49" s="1"/>
    </row>
    <row r="50">
      <c r="A50" s="7">
        <v>6.0</v>
      </c>
      <c r="B50" s="7" t="s">
        <v>133</v>
      </c>
      <c r="G50" s="1"/>
      <c r="H50" s="1"/>
      <c r="I50" s="1"/>
    </row>
    <row r="51">
      <c r="A51" s="7">
        <v>5.0</v>
      </c>
      <c r="B51" s="7" t="s">
        <v>133</v>
      </c>
      <c r="G51" s="1"/>
      <c r="H51" s="1"/>
      <c r="I51" s="1"/>
    </row>
    <row r="52">
      <c r="A52" s="7">
        <v>4.0</v>
      </c>
      <c r="B52" s="7" t="s">
        <v>133</v>
      </c>
      <c r="G52" s="1"/>
      <c r="H52" s="1"/>
      <c r="I52" s="1"/>
    </row>
    <row r="53">
      <c r="A53" s="7">
        <v>3.0</v>
      </c>
      <c r="B53" s="7" t="s">
        <v>134</v>
      </c>
      <c r="G53" s="1"/>
      <c r="H53" s="1"/>
      <c r="I53" s="1"/>
    </row>
    <row r="54">
      <c r="A54" s="7">
        <v>2.0</v>
      </c>
      <c r="B54" s="7" t="s">
        <v>134</v>
      </c>
      <c r="G54" s="1"/>
      <c r="H54" s="1"/>
      <c r="I54" s="1"/>
    </row>
    <row r="55">
      <c r="A55" s="7">
        <v>1.0</v>
      </c>
      <c r="B55" s="7" t="s">
        <v>135</v>
      </c>
      <c r="G55" s="1"/>
      <c r="H55" s="1"/>
      <c r="I55" s="1"/>
    </row>
    <row r="56">
      <c r="A56" s="7">
        <v>0.0</v>
      </c>
      <c r="B56" s="7" t="s">
        <v>136</v>
      </c>
      <c r="G56" s="1"/>
      <c r="H56" s="1"/>
      <c r="I56" s="1"/>
    </row>
    <row r="57">
      <c r="A57" s="7">
        <v>-1.0</v>
      </c>
      <c r="B57" s="7" t="s">
        <v>137</v>
      </c>
      <c r="G57" s="1"/>
      <c r="H57" s="1"/>
      <c r="I57" s="1"/>
    </row>
    <row r="58">
      <c r="A58" s="7">
        <v>-2.0</v>
      </c>
      <c r="B58" s="7" t="s">
        <v>138</v>
      </c>
      <c r="G58" s="1"/>
      <c r="H58" s="1"/>
      <c r="I58" s="1"/>
    </row>
    <row r="59">
      <c r="A59" s="7">
        <v>-3.0</v>
      </c>
      <c r="B59" s="7" t="s">
        <v>139</v>
      </c>
      <c r="G59" s="1"/>
      <c r="H59" s="1"/>
      <c r="I59" s="1"/>
    </row>
    <row r="60">
      <c r="G60" s="1"/>
      <c r="H60" s="1"/>
      <c r="I60" s="1"/>
    </row>
    <row r="61">
      <c r="G61" s="1"/>
      <c r="H61" s="1"/>
      <c r="I61" s="1"/>
    </row>
    <row r="62">
      <c r="G62" s="1"/>
      <c r="H62" s="1"/>
      <c r="I62" s="1"/>
    </row>
    <row r="63">
      <c r="G63" s="1"/>
      <c r="H63" s="1"/>
      <c r="I63" s="1"/>
    </row>
    <row r="64">
      <c r="G64" s="1"/>
      <c r="H64" s="1"/>
      <c r="I64" s="1"/>
    </row>
    <row r="65">
      <c r="G65" s="1"/>
      <c r="H65" s="1"/>
      <c r="I65" s="1"/>
    </row>
    <row r="66">
      <c r="G66" s="1"/>
      <c r="H66" s="1"/>
      <c r="I66" s="1"/>
    </row>
    <row r="67">
      <c r="G67" s="1"/>
      <c r="H67" s="1"/>
      <c r="I67" s="1"/>
    </row>
    <row r="68">
      <c r="G68" s="1"/>
      <c r="H68" s="1"/>
      <c r="I68" s="1"/>
    </row>
    <row r="69">
      <c r="G69" s="1"/>
      <c r="H69" s="1"/>
      <c r="I69" s="1"/>
    </row>
    <row r="70">
      <c r="G70" s="1"/>
      <c r="H70" s="1"/>
      <c r="I70" s="1"/>
    </row>
    <row r="71">
      <c r="G71" s="1"/>
      <c r="H71" s="1"/>
      <c r="I71" s="1"/>
    </row>
    <row r="72">
      <c r="G72" s="1"/>
      <c r="H72" s="1"/>
      <c r="I72" s="1"/>
    </row>
    <row r="73">
      <c r="G73" s="1"/>
      <c r="H73" s="1"/>
      <c r="I73" s="1"/>
    </row>
    <row r="74">
      <c r="G74" s="1"/>
      <c r="H74" s="1"/>
      <c r="I74" s="1"/>
    </row>
    <row r="75">
      <c r="G75" s="1"/>
      <c r="H75" s="1"/>
      <c r="I75" s="1"/>
    </row>
    <row r="76">
      <c r="G76" s="1"/>
      <c r="H76" s="1"/>
      <c r="I76" s="1"/>
    </row>
    <row r="77">
      <c r="G77" s="1"/>
      <c r="H77" s="1"/>
      <c r="I77" s="1"/>
    </row>
    <row r="78">
      <c r="G78" s="1"/>
      <c r="H78" s="1"/>
      <c r="I78" s="1"/>
    </row>
    <row r="79">
      <c r="G79" s="1"/>
      <c r="H79" s="1"/>
      <c r="I79" s="1"/>
    </row>
    <row r="80">
      <c r="G80" s="1"/>
      <c r="H80" s="1"/>
      <c r="I80" s="1"/>
    </row>
    <row r="81">
      <c r="G81" s="1"/>
      <c r="H81" s="1"/>
      <c r="I81" s="1"/>
    </row>
    <row r="82">
      <c r="G82" s="1"/>
      <c r="H82" s="1"/>
      <c r="I82" s="1"/>
    </row>
    <row r="83">
      <c r="G83" s="1"/>
      <c r="H83" s="1"/>
      <c r="I83" s="1"/>
    </row>
    <row r="84">
      <c r="G84" s="1"/>
      <c r="H84" s="1"/>
      <c r="I84" s="1"/>
    </row>
    <row r="85">
      <c r="G85" s="1"/>
      <c r="H85" s="1"/>
      <c r="I85" s="1"/>
    </row>
    <row r="86">
      <c r="G86" s="1"/>
      <c r="H86" s="1"/>
      <c r="I86" s="1"/>
    </row>
    <row r="87">
      <c r="G87" s="1"/>
      <c r="H87" s="1"/>
      <c r="I87" s="1"/>
    </row>
    <row r="88">
      <c r="G88" s="1"/>
      <c r="H88" s="1"/>
      <c r="I88" s="1"/>
    </row>
    <row r="89">
      <c r="G89" s="1"/>
      <c r="H89" s="1"/>
      <c r="I89" s="1"/>
    </row>
    <row r="90">
      <c r="G90" s="1"/>
      <c r="H90" s="1"/>
      <c r="I90" s="1"/>
    </row>
    <row r="91">
      <c r="G91" s="1"/>
      <c r="H91" s="1"/>
      <c r="I91" s="1"/>
    </row>
    <row r="92">
      <c r="G92" s="1"/>
      <c r="H92" s="1"/>
      <c r="I92" s="1"/>
    </row>
    <row r="93">
      <c r="G93" s="1"/>
      <c r="H93" s="1"/>
      <c r="I93" s="1"/>
    </row>
    <row r="94">
      <c r="G94" s="1"/>
      <c r="H94" s="1"/>
      <c r="I94" s="1"/>
    </row>
    <row r="95">
      <c r="G95" s="1"/>
      <c r="H95" s="1"/>
      <c r="I95" s="1"/>
    </row>
    <row r="96">
      <c r="G96" s="1"/>
      <c r="H96" s="1"/>
      <c r="I96" s="1"/>
    </row>
    <row r="97">
      <c r="G97" s="1"/>
      <c r="H97" s="1"/>
      <c r="I97" s="1"/>
    </row>
    <row r="98">
      <c r="G98" s="1"/>
      <c r="H98" s="1"/>
      <c r="I98" s="1"/>
    </row>
    <row r="99">
      <c r="G99" s="1"/>
      <c r="H99" s="1"/>
      <c r="I99" s="1"/>
    </row>
    <row r="100">
      <c r="G100" s="1"/>
      <c r="H100" s="1"/>
      <c r="I100" s="1"/>
    </row>
    <row r="101">
      <c r="G101" s="1"/>
      <c r="H101" s="1"/>
      <c r="I101" s="1"/>
    </row>
    <row r="102">
      <c r="G102" s="1"/>
      <c r="H102" s="1"/>
      <c r="I102" s="1"/>
    </row>
    <row r="103">
      <c r="G103" s="1"/>
      <c r="H103" s="1"/>
      <c r="I103" s="1"/>
    </row>
    <row r="104">
      <c r="G104" s="1"/>
      <c r="H104" s="1"/>
      <c r="I104" s="1"/>
    </row>
    <row r="105">
      <c r="G105" s="1"/>
      <c r="H105" s="1"/>
      <c r="I105" s="1"/>
    </row>
    <row r="106">
      <c r="G106" s="1"/>
      <c r="H106" s="1"/>
      <c r="I106" s="1"/>
    </row>
    <row r="107">
      <c r="G107" s="1"/>
      <c r="H107" s="1"/>
      <c r="I107" s="1"/>
    </row>
    <row r="108">
      <c r="G108" s="1"/>
      <c r="H108" s="1"/>
      <c r="I108" s="1"/>
    </row>
    <row r="109">
      <c r="G109" s="1"/>
      <c r="H109" s="1"/>
      <c r="I109" s="1"/>
    </row>
    <row r="110">
      <c r="G110" s="1"/>
      <c r="H110" s="1"/>
      <c r="I110" s="1"/>
    </row>
    <row r="111">
      <c r="G111" s="1"/>
      <c r="H111" s="1"/>
      <c r="I111" s="1"/>
    </row>
    <row r="112">
      <c r="G112" s="1"/>
      <c r="H112" s="1"/>
      <c r="I112" s="1"/>
    </row>
    <row r="113">
      <c r="G113" s="1"/>
      <c r="H113" s="1"/>
      <c r="I113" s="1"/>
    </row>
    <row r="114">
      <c r="G114" s="1"/>
      <c r="H114" s="1"/>
      <c r="I114" s="1"/>
    </row>
    <row r="115">
      <c r="G115" s="1"/>
      <c r="H115" s="1"/>
      <c r="I115" s="1"/>
    </row>
    <row r="116">
      <c r="G116" s="1"/>
      <c r="H116" s="1"/>
      <c r="I116" s="1"/>
    </row>
    <row r="117">
      <c r="G117" s="1"/>
      <c r="H117" s="1"/>
      <c r="I117" s="1"/>
    </row>
    <row r="118">
      <c r="G118" s="1"/>
      <c r="H118" s="1"/>
      <c r="I118" s="1"/>
    </row>
    <row r="119">
      <c r="G119" s="1"/>
      <c r="H119" s="1"/>
      <c r="I119" s="1"/>
    </row>
    <row r="120">
      <c r="G120" s="1"/>
      <c r="H120" s="1"/>
      <c r="I120" s="1"/>
    </row>
    <row r="121">
      <c r="G121" s="1"/>
      <c r="H121" s="1"/>
      <c r="I121" s="1"/>
    </row>
    <row r="122">
      <c r="G122" s="1"/>
      <c r="H122" s="1"/>
      <c r="I122" s="1"/>
    </row>
    <row r="123">
      <c r="G123" s="1"/>
      <c r="H123" s="1"/>
      <c r="I123" s="1"/>
    </row>
    <row r="124">
      <c r="G124" s="1"/>
      <c r="H124" s="1"/>
      <c r="I124" s="1"/>
    </row>
    <row r="125">
      <c r="G125" s="1"/>
      <c r="H125" s="1"/>
      <c r="I125" s="1"/>
    </row>
    <row r="126">
      <c r="G126" s="1"/>
      <c r="H126" s="1"/>
      <c r="I126" s="1"/>
    </row>
    <row r="127">
      <c r="G127" s="1"/>
      <c r="H127" s="1"/>
      <c r="I127" s="1"/>
    </row>
    <row r="128">
      <c r="G128" s="1"/>
      <c r="H128" s="1"/>
      <c r="I128" s="1"/>
    </row>
    <row r="129">
      <c r="G129" s="1"/>
      <c r="H129" s="1"/>
      <c r="I129" s="1"/>
    </row>
    <row r="130">
      <c r="G130" s="1"/>
      <c r="H130" s="1"/>
      <c r="I130" s="1"/>
    </row>
    <row r="131">
      <c r="G131" s="1"/>
      <c r="H131" s="1"/>
      <c r="I131" s="1"/>
    </row>
    <row r="132">
      <c r="G132" s="1"/>
      <c r="H132" s="1"/>
      <c r="I132" s="1"/>
    </row>
    <row r="133">
      <c r="G133" s="1"/>
      <c r="H133" s="1"/>
      <c r="I133" s="1"/>
    </row>
    <row r="134">
      <c r="G134" s="1"/>
      <c r="H134" s="1"/>
      <c r="I134" s="1"/>
    </row>
    <row r="135">
      <c r="G135" s="1"/>
      <c r="H135" s="1"/>
      <c r="I135" s="1"/>
    </row>
    <row r="136">
      <c r="G136" s="1"/>
      <c r="H136" s="1"/>
      <c r="I136" s="1"/>
    </row>
    <row r="137">
      <c r="G137" s="1"/>
      <c r="H137" s="1"/>
      <c r="I137" s="1"/>
    </row>
    <row r="138">
      <c r="G138" s="1"/>
      <c r="H138" s="1"/>
      <c r="I138" s="1"/>
    </row>
    <row r="139">
      <c r="G139" s="1"/>
      <c r="H139" s="1"/>
      <c r="I139" s="1"/>
    </row>
    <row r="140">
      <c r="G140" s="1"/>
      <c r="H140" s="1"/>
      <c r="I140" s="1"/>
    </row>
    <row r="141">
      <c r="G141" s="1"/>
      <c r="H141" s="1"/>
      <c r="I141" s="1"/>
    </row>
    <row r="142">
      <c r="G142" s="1"/>
      <c r="H142" s="1"/>
      <c r="I142" s="1"/>
    </row>
    <row r="143">
      <c r="G143" s="1"/>
      <c r="H143" s="1"/>
      <c r="I143" s="1"/>
    </row>
    <row r="144">
      <c r="G144" s="1"/>
      <c r="H144" s="1"/>
      <c r="I144" s="1"/>
    </row>
    <row r="145">
      <c r="G145" s="1"/>
      <c r="H145" s="1"/>
      <c r="I145" s="1"/>
    </row>
    <row r="146">
      <c r="G146" s="1"/>
      <c r="H146" s="1"/>
      <c r="I146" s="1"/>
    </row>
    <row r="147">
      <c r="G147" s="1"/>
      <c r="H147" s="1"/>
      <c r="I147" s="1"/>
    </row>
    <row r="148">
      <c r="G148" s="1"/>
      <c r="H148" s="1"/>
      <c r="I148" s="1"/>
    </row>
    <row r="149">
      <c r="G149" s="1"/>
      <c r="H149" s="1"/>
      <c r="I149" s="1"/>
    </row>
    <row r="150">
      <c r="G150" s="1"/>
      <c r="H150" s="1"/>
      <c r="I150" s="1"/>
    </row>
    <row r="151">
      <c r="G151" s="1"/>
      <c r="H151" s="1"/>
      <c r="I151" s="1"/>
    </row>
    <row r="152">
      <c r="G152" s="1"/>
      <c r="H152" s="1"/>
      <c r="I152" s="1"/>
    </row>
    <row r="153">
      <c r="G153" s="1"/>
      <c r="H153" s="1"/>
      <c r="I153" s="1"/>
    </row>
    <row r="154">
      <c r="G154" s="1"/>
      <c r="H154" s="1"/>
      <c r="I154" s="1"/>
    </row>
    <row r="155">
      <c r="G155" s="1"/>
      <c r="H155" s="1"/>
      <c r="I155" s="1"/>
    </row>
    <row r="156">
      <c r="G156" s="1"/>
      <c r="H156" s="1"/>
      <c r="I156" s="1"/>
    </row>
    <row r="157">
      <c r="G157" s="1"/>
      <c r="H157" s="1"/>
      <c r="I157" s="1"/>
    </row>
    <row r="158">
      <c r="G158" s="1"/>
      <c r="H158" s="1"/>
      <c r="I158" s="1"/>
    </row>
    <row r="159">
      <c r="G159" s="1"/>
      <c r="H159" s="1"/>
      <c r="I159" s="1"/>
    </row>
    <row r="160">
      <c r="G160" s="1"/>
      <c r="H160" s="1"/>
      <c r="I160" s="1"/>
    </row>
    <row r="161">
      <c r="G161" s="1"/>
      <c r="H161" s="1"/>
      <c r="I161" s="1"/>
    </row>
    <row r="162">
      <c r="G162" s="1"/>
      <c r="H162" s="1"/>
      <c r="I162" s="1"/>
    </row>
    <row r="163">
      <c r="G163" s="1"/>
      <c r="H163" s="1"/>
      <c r="I163" s="1"/>
    </row>
    <row r="164">
      <c r="G164" s="1"/>
      <c r="H164" s="1"/>
      <c r="I164" s="1"/>
    </row>
    <row r="165">
      <c r="G165" s="1"/>
      <c r="H165" s="1"/>
      <c r="I165" s="1"/>
    </row>
    <row r="166">
      <c r="G166" s="1"/>
      <c r="H166" s="1"/>
      <c r="I166" s="1"/>
    </row>
    <row r="167">
      <c r="G167" s="1"/>
      <c r="H167" s="1"/>
      <c r="I167" s="1"/>
    </row>
    <row r="168">
      <c r="G168" s="1"/>
      <c r="H168" s="1"/>
      <c r="I168" s="1"/>
    </row>
    <row r="169">
      <c r="G169" s="1"/>
      <c r="H169" s="1"/>
      <c r="I169" s="1"/>
    </row>
    <row r="170">
      <c r="G170" s="1"/>
      <c r="H170" s="1"/>
      <c r="I170" s="1"/>
    </row>
    <row r="171">
      <c r="G171" s="1"/>
      <c r="H171" s="1"/>
      <c r="I171" s="1"/>
    </row>
    <row r="172">
      <c r="G172" s="1"/>
      <c r="H172" s="1"/>
      <c r="I172" s="1"/>
    </row>
    <row r="173">
      <c r="G173" s="1"/>
      <c r="H173" s="1"/>
      <c r="I173" s="1"/>
    </row>
    <row r="174">
      <c r="G174" s="1"/>
      <c r="H174" s="1"/>
      <c r="I174" s="1"/>
    </row>
    <row r="175">
      <c r="G175" s="1"/>
      <c r="H175" s="1"/>
      <c r="I175" s="1"/>
    </row>
    <row r="176">
      <c r="G176" s="1"/>
      <c r="H176" s="1"/>
      <c r="I176" s="1"/>
    </row>
    <row r="177">
      <c r="G177" s="1"/>
      <c r="H177" s="1"/>
      <c r="I177" s="1"/>
    </row>
    <row r="178">
      <c r="G178" s="1"/>
      <c r="H178" s="1"/>
      <c r="I178" s="1"/>
    </row>
    <row r="179">
      <c r="G179" s="1"/>
      <c r="H179" s="1"/>
      <c r="I179" s="1"/>
    </row>
    <row r="180">
      <c r="G180" s="1"/>
      <c r="H180" s="1"/>
      <c r="I180" s="1"/>
    </row>
    <row r="181">
      <c r="G181" s="1"/>
      <c r="H181" s="1"/>
      <c r="I181" s="1"/>
    </row>
    <row r="182">
      <c r="G182" s="1"/>
      <c r="H182" s="1"/>
      <c r="I182" s="1"/>
    </row>
    <row r="183">
      <c r="G183" s="1"/>
      <c r="H183" s="1"/>
      <c r="I183" s="1"/>
    </row>
    <row r="184">
      <c r="G184" s="1"/>
      <c r="H184" s="1"/>
      <c r="I184" s="1"/>
    </row>
    <row r="185">
      <c r="G185" s="1"/>
      <c r="H185" s="1"/>
      <c r="I185" s="1"/>
    </row>
    <row r="186">
      <c r="G186" s="1"/>
      <c r="H186" s="1"/>
      <c r="I186" s="1"/>
    </row>
    <row r="187">
      <c r="G187" s="1"/>
      <c r="H187" s="1"/>
      <c r="I187" s="1"/>
    </row>
    <row r="188">
      <c r="G188" s="1"/>
      <c r="H188" s="1"/>
      <c r="I188" s="1"/>
    </row>
    <row r="189">
      <c r="G189" s="1"/>
      <c r="H189" s="1"/>
      <c r="I189" s="1"/>
    </row>
    <row r="190">
      <c r="G190" s="1"/>
      <c r="H190" s="1"/>
      <c r="I190" s="1"/>
    </row>
    <row r="191">
      <c r="G191" s="1"/>
      <c r="H191" s="1"/>
      <c r="I191" s="1"/>
    </row>
    <row r="192">
      <c r="G192" s="1"/>
      <c r="H192" s="1"/>
      <c r="I192" s="1"/>
    </row>
    <row r="193">
      <c r="G193" s="1"/>
      <c r="H193" s="1"/>
      <c r="I193" s="1"/>
    </row>
    <row r="194">
      <c r="G194" s="1"/>
      <c r="H194" s="1"/>
      <c r="I194" s="1"/>
    </row>
    <row r="195">
      <c r="G195" s="1"/>
      <c r="H195" s="1"/>
      <c r="I195" s="1"/>
    </row>
    <row r="196">
      <c r="G196" s="1"/>
      <c r="H196" s="1"/>
      <c r="I196" s="1"/>
    </row>
    <row r="197">
      <c r="G197" s="1"/>
      <c r="H197" s="1"/>
      <c r="I197" s="1"/>
    </row>
    <row r="198">
      <c r="G198" s="1"/>
      <c r="H198" s="1"/>
      <c r="I198" s="1"/>
    </row>
    <row r="199">
      <c r="G199" s="1"/>
      <c r="H199" s="1"/>
      <c r="I199" s="1"/>
    </row>
    <row r="200">
      <c r="G200" s="1"/>
      <c r="H200" s="1"/>
      <c r="I200" s="1"/>
    </row>
    <row r="201">
      <c r="G201" s="1"/>
      <c r="H201" s="1"/>
      <c r="I201" s="1"/>
    </row>
    <row r="202">
      <c r="G202" s="1"/>
      <c r="H202" s="1"/>
      <c r="I202" s="1"/>
    </row>
    <row r="203">
      <c r="G203" s="1"/>
      <c r="H203" s="1"/>
      <c r="I203" s="1"/>
    </row>
    <row r="204">
      <c r="G204" s="1"/>
      <c r="H204" s="1"/>
      <c r="I204" s="1"/>
    </row>
    <row r="205">
      <c r="G205" s="1"/>
      <c r="H205" s="1"/>
      <c r="I205" s="1"/>
    </row>
    <row r="206">
      <c r="G206" s="1"/>
      <c r="H206" s="1"/>
      <c r="I206" s="1"/>
    </row>
    <row r="207">
      <c r="G207" s="1"/>
      <c r="H207" s="1"/>
      <c r="I207" s="1"/>
    </row>
    <row r="208">
      <c r="G208" s="1"/>
      <c r="H208" s="1"/>
      <c r="I208" s="1"/>
    </row>
    <row r="209">
      <c r="G209" s="1"/>
      <c r="H209" s="1"/>
      <c r="I209" s="1"/>
    </row>
    <row r="210">
      <c r="G210" s="1"/>
      <c r="H210" s="1"/>
      <c r="I210" s="1"/>
    </row>
    <row r="211">
      <c r="G211" s="1"/>
      <c r="H211" s="1"/>
      <c r="I211" s="1"/>
    </row>
    <row r="212">
      <c r="G212" s="1"/>
      <c r="H212" s="1"/>
      <c r="I212" s="1"/>
    </row>
    <row r="213">
      <c r="G213" s="1"/>
      <c r="H213" s="1"/>
      <c r="I213" s="1"/>
    </row>
    <row r="214">
      <c r="G214" s="1"/>
      <c r="H214" s="1"/>
      <c r="I214" s="1"/>
    </row>
    <row r="215">
      <c r="G215" s="1"/>
      <c r="H215" s="1"/>
      <c r="I215" s="1"/>
    </row>
    <row r="216">
      <c r="G216" s="1"/>
      <c r="H216" s="1"/>
      <c r="I216" s="1"/>
    </row>
    <row r="217">
      <c r="G217" s="1"/>
      <c r="H217" s="1"/>
      <c r="I217" s="1"/>
    </row>
    <row r="218">
      <c r="G218" s="1"/>
      <c r="H218" s="1"/>
      <c r="I218" s="1"/>
    </row>
    <row r="219">
      <c r="G219" s="1"/>
      <c r="H219" s="1"/>
      <c r="I219" s="1"/>
    </row>
    <row r="220">
      <c r="G220" s="1"/>
      <c r="H220" s="1"/>
      <c r="I220" s="1"/>
    </row>
    <row r="221">
      <c r="G221" s="1"/>
      <c r="H221" s="1"/>
      <c r="I221" s="1"/>
    </row>
    <row r="222">
      <c r="G222" s="1"/>
      <c r="H222" s="1"/>
      <c r="I222" s="1"/>
    </row>
    <row r="223">
      <c r="G223" s="1"/>
      <c r="H223" s="1"/>
      <c r="I223" s="1"/>
    </row>
    <row r="224">
      <c r="G224" s="1"/>
      <c r="H224" s="1"/>
      <c r="I224" s="1"/>
    </row>
    <row r="225">
      <c r="G225" s="1"/>
      <c r="H225" s="1"/>
      <c r="I225" s="1"/>
    </row>
    <row r="226">
      <c r="G226" s="1"/>
      <c r="H226" s="1"/>
      <c r="I226" s="1"/>
    </row>
    <row r="227">
      <c r="G227" s="1"/>
      <c r="H227" s="1"/>
      <c r="I227" s="1"/>
    </row>
    <row r="228">
      <c r="G228" s="1"/>
      <c r="H228" s="1"/>
      <c r="I228" s="1"/>
    </row>
    <row r="229">
      <c r="G229" s="1"/>
      <c r="H229" s="1"/>
      <c r="I229" s="1"/>
    </row>
    <row r="230">
      <c r="G230" s="1"/>
      <c r="H230" s="1"/>
      <c r="I230" s="1"/>
    </row>
    <row r="231">
      <c r="G231" s="1"/>
      <c r="H231" s="1"/>
      <c r="I231" s="1"/>
    </row>
    <row r="232">
      <c r="G232" s="1"/>
      <c r="H232" s="1"/>
      <c r="I232" s="1"/>
    </row>
    <row r="233">
      <c r="G233" s="1"/>
      <c r="H233" s="1"/>
      <c r="I233" s="1"/>
    </row>
    <row r="234">
      <c r="G234" s="1"/>
      <c r="H234" s="1"/>
      <c r="I234" s="1"/>
    </row>
    <row r="235">
      <c r="G235" s="1"/>
      <c r="H235" s="1"/>
      <c r="I235" s="1"/>
    </row>
    <row r="236">
      <c r="G236" s="1"/>
      <c r="H236" s="1"/>
      <c r="I236" s="1"/>
    </row>
    <row r="237">
      <c r="G237" s="1"/>
      <c r="H237" s="1"/>
      <c r="I237" s="1"/>
    </row>
    <row r="238">
      <c r="G238" s="1"/>
      <c r="H238" s="1"/>
      <c r="I238" s="1"/>
    </row>
    <row r="239">
      <c r="G239" s="1"/>
      <c r="H239" s="1"/>
      <c r="I239" s="1"/>
    </row>
    <row r="240">
      <c r="G240" s="1"/>
      <c r="H240" s="1"/>
      <c r="I240" s="1"/>
    </row>
    <row r="241">
      <c r="G241" s="1"/>
      <c r="H241" s="1"/>
      <c r="I241" s="1"/>
    </row>
    <row r="242">
      <c r="G242" s="1"/>
      <c r="H242" s="1"/>
      <c r="I242" s="1"/>
    </row>
    <row r="243">
      <c r="G243" s="1"/>
      <c r="H243" s="1"/>
      <c r="I243" s="1"/>
    </row>
    <row r="244">
      <c r="G244" s="1"/>
      <c r="H244" s="1"/>
      <c r="I244" s="1"/>
    </row>
    <row r="245">
      <c r="G245" s="1"/>
      <c r="H245" s="1"/>
      <c r="I245" s="1"/>
    </row>
    <row r="246">
      <c r="G246" s="1"/>
      <c r="H246" s="1"/>
      <c r="I246" s="1"/>
    </row>
    <row r="247">
      <c r="G247" s="1"/>
      <c r="H247" s="1"/>
      <c r="I247" s="1"/>
    </row>
    <row r="248">
      <c r="G248" s="1"/>
      <c r="H248" s="1"/>
      <c r="I248" s="1"/>
    </row>
    <row r="249">
      <c r="G249" s="1"/>
      <c r="H249" s="1"/>
      <c r="I249" s="1"/>
    </row>
    <row r="250">
      <c r="G250" s="1"/>
      <c r="H250" s="1"/>
      <c r="I250" s="1"/>
    </row>
    <row r="251">
      <c r="G251" s="1"/>
      <c r="H251" s="1"/>
      <c r="I251" s="1"/>
    </row>
    <row r="252">
      <c r="G252" s="1"/>
      <c r="H252" s="1"/>
      <c r="I252" s="1"/>
    </row>
    <row r="253">
      <c r="G253" s="1"/>
      <c r="H253" s="1"/>
      <c r="I253" s="1"/>
    </row>
    <row r="254">
      <c r="G254" s="1"/>
      <c r="H254" s="1"/>
      <c r="I254" s="1"/>
    </row>
    <row r="255">
      <c r="G255" s="1"/>
      <c r="H255" s="1"/>
      <c r="I255" s="1"/>
    </row>
    <row r="256">
      <c r="G256" s="1"/>
      <c r="H256" s="1"/>
      <c r="I256" s="1"/>
    </row>
    <row r="257">
      <c r="G257" s="1"/>
      <c r="H257" s="1"/>
      <c r="I257" s="1"/>
    </row>
    <row r="258">
      <c r="G258" s="1"/>
      <c r="H258" s="1"/>
      <c r="I258" s="1"/>
    </row>
    <row r="259">
      <c r="G259" s="1"/>
      <c r="H259" s="1"/>
      <c r="I259" s="1"/>
    </row>
    <row r="260">
      <c r="G260" s="1"/>
      <c r="H260" s="1"/>
      <c r="I260" s="1"/>
    </row>
    <row r="261">
      <c r="G261" s="1"/>
      <c r="H261" s="1"/>
      <c r="I261" s="1"/>
    </row>
    <row r="262">
      <c r="G262" s="1"/>
      <c r="H262" s="1"/>
      <c r="I262" s="1"/>
    </row>
    <row r="263">
      <c r="G263" s="1"/>
      <c r="H263" s="1"/>
      <c r="I263" s="1"/>
    </row>
    <row r="264">
      <c r="G264" s="1"/>
      <c r="H264" s="1"/>
      <c r="I264" s="1"/>
    </row>
    <row r="265">
      <c r="G265" s="1"/>
      <c r="H265" s="1"/>
      <c r="I265" s="1"/>
    </row>
    <row r="266">
      <c r="G266" s="1"/>
      <c r="H266" s="1"/>
      <c r="I266" s="1"/>
    </row>
    <row r="267">
      <c r="G267" s="1"/>
      <c r="H267" s="1"/>
      <c r="I267" s="1"/>
    </row>
    <row r="268">
      <c r="G268" s="1"/>
      <c r="H268" s="1"/>
      <c r="I268" s="1"/>
    </row>
    <row r="269">
      <c r="G269" s="1"/>
      <c r="H269" s="1"/>
      <c r="I269" s="1"/>
    </row>
    <row r="270">
      <c r="G270" s="1"/>
      <c r="H270" s="1"/>
      <c r="I270" s="1"/>
    </row>
    <row r="271">
      <c r="G271" s="1"/>
      <c r="H271" s="1"/>
      <c r="I271" s="1"/>
    </row>
    <row r="272">
      <c r="G272" s="1"/>
      <c r="H272" s="1"/>
      <c r="I272" s="1"/>
    </row>
    <row r="273">
      <c r="G273" s="1"/>
      <c r="H273" s="1"/>
      <c r="I273" s="1"/>
    </row>
    <row r="274">
      <c r="G274" s="1"/>
      <c r="H274" s="1"/>
      <c r="I274" s="1"/>
    </row>
    <row r="275">
      <c r="G275" s="1"/>
      <c r="H275" s="1"/>
      <c r="I275" s="1"/>
    </row>
    <row r="276">
      <c r="G276" s="1"/>
      <c r="H276" s="1"/>
      <c r="I276" s="1"/>
    </row>
    <row r="277">
      <c r="G277" s="1"/>
      <c r="H277" s="1"/>
      <c r="I277" s="1"/>
    </row>
    <row r="278">
      <c r="G278" s="1"/>
      <c r="H278" s="1"/>
      <c r="I278" s="1"/>
    </row>
    <row r="279">
      <c r="G279" s="1"/>
      <c r="H279" s="1"/>
      <c r="I279" s="1"/>
    </row>
    <row r="280">
      <c r="G280" s="1"/>
      <c r="H280" s="1"/>
      <c r="I280" s="1"/>
    </row>
    <row r="281">
      <c r="G281" s="1"/>
      <c r="H281" s="1"/>
      <c r="I281" s="1"/>
    </row>
    <row r="282">
      <c r="G282" s="1"/>
      <c r="H282" s="1"/>
      <c r="I282" s="1"/>
    </row>
    <row r="283">
      <c r="G283" s="1"/>
      <c r="H283" s="1"/>
      <c r="I283" s="1"/>
    </row>
    <row r="284">
      <c r="G284" s="1"/>
      <c r="H284" s="1"/>
      <c r="I284" s="1"/>
    </row>
    <row r="285">
      <c r="G285" s="1"/>
      <c r="H285" s="1"/>
      <c r="I285" s="1"/>
    </row>
    <row r="286">
      <c r="G286" s="1"/>
      <c r="H286" s="1"/>
      <c r="I286" s="1"/>
    </row>
    <row r="287">
      <c r="G287" s="1"/>
      <c r="H287" s="1"/>
      <c r="I287" s="1"/>
    </row>
    <row r="288">
      <c r="G288" s="1"/>
      <c r="H288" s="1"/>
      <c r="I288" s="1"/>
    </row>
    <row r="289">
      <c r="G289" s="1"/>
      <c r="H289" s="1"/>
      <c r="I289" s="1"/>
    </row>
    <row r="290">
      <c r="G290" s="1"/>
      <c r="H290" s="1"/>
      <c r="I290" s="1"/>
    </row>
    <row r="291">
      <c r="G291" s="1"/>
      <c r="H291" s="1"/>
      <c r="I291" s="1"/>
    </row>
    <row r="292">
      <c r="G292" s="1"/>
      <c r="H292" s="1"/>
      <c r="I292" s="1"/>
    </row>
    <row r="293">
      <c r="G293" s="1"/>
      <c r="H293" s="1"/>
      <c r="I293" s="1"/>
    </row>
    <row r="294">
      <c r="G294" s="1"/>
      <c r="H294" s="1"/>
      <c r="I294" s="1"/>
    </row>
    <row r="295">
      <c r="G295" s="1"/>
      <c r="H295" s="1"/>
      <c r="I295" s="1"/>
    </row>
    <row r="296">
      <c r="G296" s="1"/>
      <c r="H296" s="1"/>
      <c r="I296" s="1"/>
    </row>
    <row r="297">
      <c r="G297" s="1"/>
      <c r="H297" s="1"/>
      <c r="I297" s="1"/>
    </row>
    <row r="298">
      <c r="G298" s="1"/>
      <c r="H298" s="1"/>
      <c r="I298" s="1"/>
    </row>
    <row r="299">
      <c r="G299" s="1"/>
      <c r="H299" s="1"/>
      <c r="I299" s="1"/>
    </row>
    <row r="300">
      <c r="G300" s="1"/>
      <c r="H300" s="1"/>
      <c r="I300" s="1"/>
    </row>
    <row r="301">
      <c r="G301" s="1"/>
      <c r="H301" s="1"/>
      <c r="I301" s="1"/>
    </row>
    <row r="302">
      <c r="G302" s="1"/>
      <c r="H302" s="1"/>
      <c r="I302" s="1"/>
    </row>
    <row r="303">
      <c r="G303" s="1"/>
      <c r="H303" s="1"/>
      <c r="I303" s="1"/>
    </row>
    <row r="304">
      <c r="G304" s="1"/>
      <c r="H304" s="1"/>
      <c r="I304" s="1"/>
    </row>
    <row r="305">
      <c r="G305" s="1"/>
      <c r="H305" s="1"/>
      <c r="I305" s="1"/>
    </row>
    <row r="306">
      <c r="G306" s="1"/>
      <c r="H306" s="1"/>
      <c r="I306" s="1"/>
    </row>
    <row r="307">
      <c r="G307" s="1"/>
      <c r="H307" s="1"/>
      <c r="I307" s="1"/>
    </row>
    <row r="308">
      <c r="G308" s="1"/>
      <c r="H308" s="1"/>
      <c r="I308" s="1"/>
    </row>
    <row r="309">
      <c r="G309" s="1"/>
      <c r="H309" s="1"/>
      <c r="I309" s="1"/>
    </row>
    <row r="310">
      <c r="G310" s="1"/>
      <c r="H310" s="1"/>
      <c r="I310" s="1"/>
    </row>
    <row r="311">
      <c r="G311" s="1"/>
      <c r="H311" s="1"/>
      <c r="I311" s="1"/>
    </row>
    <row r="312">
      <c r="G312" s="1"/>
      <c r="H312" s="1"/>
      <c r="I312" s="1"/>
    </row>
    <row r="313">
      <c r="G313" s="1"/>
      <c r="H313" s="1"/>
      <c r="I313" s="1"/>
    </row>
    <row r="314">
      <c r="G314" s="1"/>
      <c r="H314" s="1"/>
      <c r="I314" s="1"/>
    </row>
    <row r="315">
      <c r="G315" s="1"/>
      <c r="H315" s="1"/>
      <c r="I315" s="1"/>
    </row>
    <row r="316">
      <c r="G316" s="1"/>
      <c r="H316" s="1"/>
      <c r="I316" s="1"/>
    </row>
    <row r="317">
      <c r="G317" s="1"/>
      <c r="H317" s="1"/>
      <c r="I317" s="1"/>
    </row>
    <row r="318">
      <c r="G318" s="1"/>
      <c r="H318" s="1"/>
      <c r="I318" s="1"/>
    </row>
    <row r="319">
      <c r="G319" s="1"/>
      <c r="H319" s="1"/>
      <c r="I319" s="1"/>
    </row>
    <row r="320">
      <c r="G320" s="1"/>
      <c r="H320" s="1"/>
      <c r="I320" s="1"/>
    </row>
    <row r="321">
      <c r="G321" s="1"/>
      <c r="H321" s="1"/>
      <c r="I321" s="1"/>
    </row>
    <row r="322">
      <c r="G322" s="1"/>
      <c r="H322" s="1"/>
      <c r="I322" s="1"/>
    </row>
    <row r="323">
      <c r="G323" s="1"/>
      <c r="H323" s="1"/>
      <c r="I323" s="1"/>
    </row>
    <row r="324">
      <c r="G324" s="1"/>
      <c r="H324" s="1"/>
      <c r="I324" s="1"/>
    </row>
    <row r="325">
      <c r="G325" s="1"/>
      <c r="H325" s="1"/>
      <c r="I325" s="1"/>
    </row>
    <row r="326">
      <c r="G326" s="1"/>
      <c r="H326" s="1"/>
      <c r="I326" s="1"/>
    </row>
    <row r="327">
      <c r="G327" s="1"/>
      <c r="H327" s="1"/>
      <c r="I327" s="1"/>
    </row>
    <row r="328">
      <c r="G328" s="1"/>
      <c r="H328" s="1"/>
      <c r="I328" s="1"/>
    </row>
    <row r="329">
      <c r="G329" s="1"/>
      <c r="H329" s="1"/>
      <c r="I329" s="1"/>
    </row>
    <row r="330">
      <c r="G330" s="1"/>
      <c r="H330" s="1"/>
      <c r="I330" s="1"/>
    </row>
    <row r="331">
      <c r="G331" s="1"/>
      <c r="H331" s="1"/>
      <c r="I331" s="1"/>
    </row>
    <row r="332">
      <c r="G332" s="1"/>
      <c r="H332" s="1"/>
      <c r="I332" s="1"/>
    </row>
    <row r="333">
      <c r="G333" s="1"/>
      <c r="H333" s="1"/>
      <c r="I333" s="1"/>
    </row>
    <row r="334">
      <c r="G334" s="1"/>
      <c r="H334" s="1"/>
      <c r="I334" s="1"/>
    </row>
    <row r="335">
      <c r="G335" s="1"/>
      <c r="H335" s="1"/>
      <c r="I335" s="1"/>
    </row>
    <row r="336">
      <c r="G336" s="1"/>
      <c r="H336" s="1"/>
      <c r="I336" s="1"/>
    </row>
    <row r="337">
      <c r="G337" s="1"/>
      <c r="H337" s="1"/>
      <c r="I337" s="1"/>
    </row>
    <row r="338">
      <c r="G338" s="1"/>
      <c r="H338" s="1"/>
      <c r="I338" s="1"/>
    </row>
    <row r="339">
      <c r="G339" s="1"/>
      <c r="H339" s="1"/>
      <c r="I339" s="1"/>
    </row>
    <row r="340">
      <c r="G340" s="1"/>
      <c r="H340" s="1"/>
      <c r="I340" s="1"/>
    </row>
    <row r="341">
      <c r="G341" s="1"/>
      <c r="H341" s="1"/>
      <c r="I341" s="1"/>
    </row>
    <row r="342">
      <c r="G342" s="1"/>
      <c r="H342" s="1"/>
      <c r="I342" s="1"/>
    </row>
    <row r="343">
      <c r="G343" s="1"/>
      <c r="H343" s="1"/>
      <c r="I343" s="1"/>
    </row>
    <row r="344">
      <c r="G344" s="1"/>
      <c r="H344" s="1"/>
      <c r="I344" s="1"/>
    </row>
    <row r="345">
      <c r="G345" s="1"/>
      <c r="H345" s="1"/>
      <c r="I345" s="1"/>
    </row>
    <row r="346">
      <c r="G346" s="1"/>
      <c r="H346" s="1"/>
      <c r="I346" s="1"/>
    </row>
    <row r="347">
      <c r="G347" s="1"/>
      <c r="H347" s="1"/>
      <c r="I347" s="1"/>
    </row>
    <row r="348">
      <c r="G348" s="1"/>
      <c r="H348" s="1"/>
      <c r="I348" s="1"/>
    </row>
    <row r="349">
      <c r="G349" s="1"/>
      <c r="H349" s="1"/>
      <c r="I349" s="1"/>
    </row>
    <row r="350">
      <c r="G350" s="1"/>
      <c r="H350" s="1"/>
      <c r="I350" s="1"/>
    </row>
    <row r="351">
      <c r="G351" s="1"/>
      <c r="H351" s="1"/>
      <c r="I351" s="1"/>
    </row>
    <row r="352">
      <c r="G352" s="1"/>
      <c r="H352" s="1"/>
      <c r="I352" s="1"/>
    </row>
    <row r="353">
      <c r="G353" s="1"/>
      <c r="H353" s="1"/>
      <c r="I353" s="1"/>
    </row>
    <row r="354">
      <c r="G354" s="1"/>
      <c r="H354" s="1"/>
      <c r="I354" s="1"/>
    </row>
    <row r="355">
      <c r="G355" s="1"/>
      <c r="H355" s="1"/>
      <c r="I355" s="1"/>
    </row>
    <row r="356">
      <c r="G356" s="1"/>
      <c r="H356" s="1"/>
      <c r="I356" s="1"/>
    </row>
    <row r="357">
      <c r="G357" s="1"/>
      <c r="H357" s="1"/>
      <c r="I357" s="1"/>
    </row>
    <row r="358">
      <c r="G358" s="1"/>
      <c r="H358" s="1"/>
      <c r="I358" s="1"/>
    </row>
    <row r="359">
      <c r="G359" s="1"/>
      <c r="H359" s="1"/>
      <c r="I359" s="1"/>
    </row>
    <row r="360">
      <c r="G360" s="1"/>
      <c r="H360" s="1"/>
      <c r="I360" s="1"/>
    </row>
    <row r="361">
      <c r="G361" s="1"/>
      <c r="H361" s="1"/>
      <c r="I361" s="1"/>
    </row>
    <row r="362">
      <c r="G362" s="1"/>
      <c r="H362" s="1"/>
      <c r="I362" s="1"/>
    </row>
    <row r="363">
      <c r="G363" s="1"/>
      <c r="H363" s="1"/>
      <c r="I363" s="1"/>
    </row>
    <row r="364">
      <c r="G364" s="1"/>
      <c r="H364" s="1"/>
      <c r="I364" s="1"/>
    </row>
    <row r="365">
      <c r="G365" s="1"/>
      <c r="H365" s="1"/>
      <c r="I365" s="1"/>
    </row>
    <row r="366">
      <c r="G366" s="1"/>
      <c r="H366" s="1"/>
      <c r="I366" s="1"/>
    </row>
    <row r="367">
      <c r="G367" s="1"/>
      <c r="H367" s="1"/>
      <c r="I367" s="1"/>
    </row>
    <row r="368">
      <c r="G368" s="1"/>
      <c r="H368" s="1"/>
      <c r="I368" s="1"/>
    </row>
    <row r="369">
      <c r="G369" s="1"/>
      <c r="H369" s="1"/>
      <c r="I369" s="1"/>
    </row>
    <row r="370">
      <c r="G370" s="1"/>
      <c r="H370" s="1"/>
      <c r="I370" s="1"/>
    </row>
    <row r="371">
      <c r="G371" s="1"/>
      <c r="H371" s="1"/>
      <c r="I371" s="1"/>
    </row>
    <row r="372">
      <c r="G372" s="1"/>
      <c r="H372" s="1"/>
      <c r="I372" s="1"/>
    </row>
    <row r="373">
      <c r="G373" s="1"/>
      <c r="H373" s="1"/>
      <c r="I373" s="1"/>
    </row>
    <row r="374">
      <c r="G374" s="1"/>
      <c r="H374" s="1"/>
      <c r="I374" s="1"/>
    </row>
    <row r="375">
      <c r="G375" s="1"/>
      <c r="H375" s="1"/>
      <c r="I375" s="1"/>
    </row>
    <row r="376">
      <c r="G376" s="1"/>
      <c r="H376" s="1"/>
      <c r="I376" s="1"/>
    </row>
    <row r="377">
      <c r="G377" s="1"/>
      <c r="H377" s="1"/>
      <c r="I377" s="1"/>
    </row>
    <row r="378">
      <c r="G378" s="1"/>
      <c r="H378" s="1"/>
      <c r="I378" s="1"/>
    </row>
    <row r="379">
      <c r="G379" s="1"/>
      <c r="H379" s="1"/>
      <c r="I379" s="1"/>
    </row>
    <row r="380">
      <c r="G380" s="1"/>
      <c r="H380" s="1"/>
      <c r="I380" s="1"/>
    </row>
    <row r="381">
      <c r="G381" s="1"/>
      <c r="H381" s="1"/>
      <c r="I381" s="1"/>
    </row>
    <row r="382">
      <c r="G382" s="1"/>
      <c r="H382" s="1"/>
      <c r="I382" s="1"/>
    </row>
    <row r="383">
      <c r="G383" s="1"/>
      <c r="H383" s="1"/>
      <c r="I383" s="1"/>
    </row>
    <row r="384">
      <c r="G384" s="1"/>
      <c r="H384" s="1"/>
      <c r="I384" s="1"/>
    </row>
    <row r="385">
      <c r="G385" s="1"/>
      <c r="H385" s="1"/>
      <c r="I385" s="1"/>
    </row>
    <row r="386">
      <c r="G386" s="1"/>
      <c r="H386" s="1"/>
      <c r="I386" s="1"/>
    </row>
    <row r="387">
      <c r="G387" s="1"/>
      <c r="H387" s="1"/>
      <c r="I387" s="1"/>
    </row>
    <row r="388">
      <c r="G388" s="1"/>
      <c r="H388" s="1"/>
      <c r="I388" s="1"/>
    </row>
    <row r="389">
      <c r="G389" s="1"/>
      <c r="H389" s="1"/>
      <c r="I389" s="1"/>
    </row>
    <row r="390">
      <c r="G390" s="1"/>
      <c r="H390" s="1"/>
      <c r="I390" s="1"/>
    </row>
    <row r="391">
      <c r="G391" s="1"/>
      <c r="H391" s="1"/>
      <c r="I391" s="1"/>
    </row>
    <row r="392">
      <c r="G392" s="1"/>
      <c r="H392" s="1"/>
      <c r="I392" s="1"/>
    </row>
    <row r="393">
      <c r="G393" s="1"/>
      <c r="H393" s="1"/>
      <c r="I393" s="1"/>
    </row>
    <row r="394">
      <c r="G394" s="1"/>
      <c r="H394" s="1"/>
      <c r="I394" s="1"/>
    </row>
    <row r="395">
      <c r="G395" s="1"/>
      <c r="H395" s="1"/>
      <c r="I395" s="1"/>
    </row>
    <row r="396">
      <c r="G396" s="1"/>
      <c r="H396" s="1"/>
      <c r="I396" s="1"/>
    </row>
    <row r="397">
      <c r="G397" s="1"/>
      <c r="H397" s="1"/>
      <c r="I397" s="1"/>
    </row>
    <row r="398">
      <c r="G398" s="1"/>
      <c r="H398" s="1"/>
      <c r="I398" s="1"/>
    </row>
    <row r="399">
      <c r="G399" s="1"/>
      <c r="H399" s="1"/>
      <c r="I399" s="1"/>
    </row>
    <row r="400">
      <c r="G400" s="1"/>
      <c r="H400" s="1"/>
      <c r="I400" s="1"/>
    </row>
    <row r="401">
      <c r="G401" s="1"/>
      <c r="H401" s="1"/>
      <c r="I401" s="1"/>
    </row>
    <row r="402">
      <c r="G402" s="1"/>
      <c r="H402" s="1"/>
      <c r="I402" s="1"/>
    </row>
    <row r="403">
      <c r="G403" s="1"/>
      <c r="H403" s="1"/>
      <c r="I403" s="1"/>
    </row>
    <row r="404">
      <c r="G404" s="1"/>
      <c r="H404" s="1"/>
      <c r="I404" s="1"/>
    </row>
    <row r="405">
      <c r="G405" s="1"/>
      <c r="H405" s="1"/>
      <c r="I405" s="1"/>
    </row>
    <row r="406">
      <c r="G406" s="1"/>
      <c r="H406" s="1"/>
      <c r="I406" s="1"/>
    </row>
    <row r="407">
      <c r="G407" s="1"/>
      <c r="H407" s="1"/>
      <c r="I407" s="1"/>
    </row>
    <row r="408">
      <c r="G408" s="1"/>
      <c r="H408" s="1"/>
      <c r="I408" s="1"/>
    </row>
    <row r="409">
      <c r="G409" s="1"/>
      <c r="H409" s="1"/>
      <c r="I409" s="1"/>
    </row>
    <row r="410">
      <c r="G410" s="1"/>
      <c r="H410" s="1"/>
      <c r="I410" s="1"/>
    </row>
    <row r="411">
      <c r="G411" s="1"/>
      <c r="H411" s="1"/>
      <c r="I411" s="1"/>
    </row>
    <row r="412">
      <c r="G412" s="1"/>
      <c r="H412" s="1"/>
      <c r="I412" s="1"/>
    </row>
    <row r="413">
      <c r="G413" s="1"/>
      <c r="H413" s="1"/>
      <c r="I413" s="1"/>
    </row>
    <row r="414">
      <c r="G414" s="1"/>
      <c r="H414" s="1"/>
      <c r="I414" s="1"/>
    </row>
    <row r="415">
      <c r="G415" s="1"/>
      <c r="H415" s="1"/>
      <c r="I415" s="1"/>
    </row>
    <row r="416">
      <c r="G416" s="1"/>
      <c r="H416" s="1"/>
      <c r="I416" s="1"/>
    </row>
    <row r="417">
      <c r="G417" s="1"/>
      <c r="H417" s="1"/>
      <c r="I417" s="1"/>
    </row>
    <row r="418">
      <c r="G418" s="1"/>
      <c r="H418" s="1"/>
      <c r="I418" s="1"/>
    </row>
    <row r="419">
      <c r="G419" s="1"/>
      <c r="H419" s="1"/>
      <c r="I419" s="1"/>
    </row>
    <row r="420">
      <c r="G420" s="1"/>
      <c r="H420" s="1"/>
      <c r="I420" s="1"/>
    </row>
    <row r="421">
      <c r="G421" s="1"/>
      <c r="H421" s="1"/>
      <c r="I421" s="1"/>
    </row>
    <row r="422">
      <c r="G422" s="1"/>
      <c r="H422" s="1"/>
      <c r="I422" s="1"/>
    </row>
    <row r="423">
      <c r="G423" s="1"/>
      <c r="H423" s="1"/>
      <c r="I423" s="1"/>
    </row>
    <row r="424">
      <c r="G424" s="1"/>
      <c r="H424" s="1"/>
      <c r="I424" s="1"/>
    </row>
    <row r="425">
      <c r="G425" s="1"/>
      <c r="H425" s="1"/>
      <c r="I425" s="1"/>
    </row>
    <row r="426">
      <c r="G426" s="1"/>
      <c r="H426" s="1"/>
      <c r="I426" s="1"/>
    </row>
    <row r="427">
      <c r="G427" s="1"/>
      <c r="H427" s="1"/>
      <c r="I427" s="1"/>
    </row>
    <row r="428">
      <c r="G428" s="1"/>
      <c r="H428" s="1"/>
      <c r="I428" s="1"/>
    </row>
    <row r="429">
      <c r="G429" s="1"/>
      <c r="H429" s="1"/>
      <c r="I429" s="1"/>
    </row>
    <row r="430">
      <c r="G430" s="1"/>
      <c r="H430" s="1"/>
      <c r="I430" s="1"/>
    </row>
    <row r="431">
      <c r="G431" s="1"/>
      <c r="H431" s="1"/>
      <c r="I431" s="1"/>
    </row>
    <row r="432">
      <c r="G432" s="1"/>
      <c r="H432" s="1"/>
      <c r="I432" s="1"/>
    </row>
    <row r="433">
      <c r="G433" s="1"/>
      <c r="H433" s="1"/>
      <c r="I433" s="1"/>
    </row>
    <row r="434">
      <c r="G434" s="1"/>
      <c r="H434" s="1"/>
      <c r="I434" s="1"/>
    </row>
    <row r="435">
      <c r="G435" s="1"/>
      <c r="H435" s="1"/>
      <c r="I435" s="1"/>
    </row>
    <row r="436">
      <c r="G436" s="1"/>
      <c r="H436" s="1"/>
      <c r="I436" s="1"/>
    </row>
    <row r="437">
      <c r="G437" s="1"/>
      <c r="H437" s="1"/>
      <c r="I437" s="1"/>
    </row>
    <row r="438">
      <c r="G438" s="1"/>
      <c r="H438" s="1"/>
      <c r="I438" s="1"/>
    </row>
    <row r="439">
      <c r="G439" s="1"/>
      <c r="H439" s="1"/>
      <c r="I439" s="1"/>
    </row>
    <row r="440">
      <c r="G440" s="1"/>
      <c r="H440" s="1"/>
      <c r="I440" s="1"/>
    </row>
    <row r="441">
      <c r="G441" s="1"/>
      <c r="H441" s="1"/>
      <c r="I441" s="1"/>
    </row>
    <row r="442">
      <c r="G442" s="1"/>
      <c r="H442" s="1"/>
      <c r="I442" s="1"/>
    </row>
    <row r="443">
      <c r="G443" s="1"/>
      <c r="H443" s="1"/>
      <c r="I443" s="1"/>
    </row>
    <row r="444">
      <c r="G444" s="1"/>
      <c r="H444" s="1"/>
      <c r="I444" s="1"/>
    </row>
    <row r="445">
      <c r="G445" s="1"/>
      <c r="H445" s="1"/>
      <c r="I445" s="1"/>
    </row>
    <row r="446">
      <c r="G446" s="1"/>
      <c r="H446" s="1"/>
      <c r="I446" s="1"/>
    </row>
    <row r="447">
      <c r="G447" s="1"/>
      <c r="H447" s="1"/>
      <c r="I447" s="1"/>
    </row>
    <row r="448">
      <c r="G448" s="1"/>
      <c r="H448" s="1"/>
      <c r="I448" s="1"/>
    </row>
    <row r="449">
      <c r="G449" s="1"/>
      <c r="H449" s="1"/>
      <c r="I449" s="1"/>
    </row>
    <row r="450">
      <c r="G450" s="1"/>
      <c r="H450" s="1"/>
      <c r="I450" s="1"/>
    </row>
    <row r="451">
      <c r="G451" s="1"/>
      <c r="H451" s="1"/>
      <c r="I451" s="1"/>
    </row>
    <row r="452">
      <c r="G452" s="1"/>
      <c r="H452" s="1"/>
      <c r="I452" s="1"/>
    </row>
    <row r="453">
      <c r="G453" s="1"/>
      <c r="H453" s="1"/>
      <c r="I453" s="1"/>
    </row>
    <row r="454">
      <c r="G454" s="1"/>
      <c r="H454" s="1"/>
      <c r="I454" s="1"/>
    </row>
    <row r="455">
      <c r="G455" s="1"/>
      <c r="H455" s="1"/>
      <c r="I455" s="1"/>
    </row>
    <row r="456">
      <c r="G456" s="1"/>
      <c r="H456" s="1"/>
      <c r="I456" s="1"/>
    </row>
    <row r="457">
      <c r="G457" s="1"/>
      <c r="H457" s="1"/>
      <c r="I457" s="1"/>
    </row>
    <row r="458">
      <c r="G458" s="1"/>
      <c r="H458" s="1"/>
      <c r="I458" s="1"/>
    </row>
    <row r="459">
      <c r="G459" s="1"/>
      <c r="H459" s="1"/>
      <c r="I459" s="1"/>
    </row>
    <row r="460">
      <c r="G460" s="1"/>
      <c r="H460" s="1"/>
      <c r="I460" s="1"/>
    </row>
    <row r="461">
      <c r="G461" s="1"/>
      <c r="H461" s="1"/>
      <c r="I461" s="1"/>
    </row>
    <row r="462">
      <c r="G462" s="1"/>
      <c r="H462" s="1"/>
      <c r="I462" s="1"/>
    </row>
    <row r="463">
      <c r="G463" s="1"/>
      <c r="H463" s="1"/>
      <c r="I463" s="1"/>
    </row>
    <row r="464">
      <c r="G464" s="1"/>
      <c r="H464" s="1"/>
      <c r="I464" s="1"/>
    </row>
    <row r="465">
      <c r="G465" s="1"/>
      <c r="H465" s="1"/>
      <c r="I465" s="1"/>
    </row>
    <row r="466">
      <c r="G466" s="1"/>
      <c r="H466" s="1"/>
      <c r="I466" s="1"/>
    </row>
    <row r="467">
      <c r="G467" s="1"/>
      <c r="H467" s="1"/>
      <c r="I467" s="1"/>
    </row>
    <row r="468">
      <c r="G468" s="1"/>
      <c r="H468" s="1"/>
      <c r="I468" s="1"/>
    </row>
    <row r="469">
      <c r="G469" s="1"/>
      <c r="H469" s="1"/>
      <c r="I469" s="1"/>
    </row>
    <row r="470">
      <c r="G470" s="1"/>
      <c r="H470" s="1"/>
      <c r="I470" s="1"/>
    </row>
    <row r="471">
      <c r="G471" s="1"/>
      <c r="H471" s="1"/>
      <c r="I471" s="1"/>
    </row>
    <row r="472">
      <c r="G472" s="1"/>
      <c r="H472" s="1"/>
      <c r="I472" s="1"/>
    </row>
    <row r="473">
      <c r="G473" s="1"/>
      <c r="H473" s="1"/>
      <c r="I473" s="1"/>
    </row>
    <row r="474">
      <c r="G474" s="1"/>
      <c r="H474" s="1"/>
      <c r="I474" s="1"/>
    </row>
    <row r="475">
      <c r="G475" s="1"/>
      <c r="H475" s="1"/>
      <c r="I475" s="1"/>
    </row>
    <row r="476">
      <c r="G476" s="1"/>
      <c r="H476" s="1"/>
      <c r="I476" s="1"/>
    </row>
    <row r="477">
      <c r="G477" s="1"/>
      <c r="H477" s="1"/>
      <c r="I477" s="1"/>
    </row>
    <row r="478">
      <c r="G478" s="1"/>
      <c r="H478" s="1"/>
      <c r="I478" s="1"/>
    </row>
    <row r="479">
      <c r="G479" s="1"/>
      <c r="H479" s="1"/>
      <c r="I479" s="1"/>
    </row>
    <row r="480">
      <c r="G480" s="1"/>
      <c r="H480" s="1"/>
      <c r="I480" s="1"/>
    </row>
    <row r="481">
      <c r="G481" s="1"/>
      <c r="H481" s="1"/>
      <c r="I481" s="1"/>
    </row>
    <row r="482">
      <c r="G482" s="1"/>
      <c r="H482" s="1"/>
      <c r="I482" s="1"/>
    </row>
    <row r="483">
      <c r="G483" s="1"/>
      <c r="H483" s="1"/>
      <c r="I483" s="1"/>
    </row>
    <row r="484">
      <c r="G484" s="1"/>
      <c r="H484" s="1"/>
      <c r="I484" s="1"/>
    </row>
    <row r="485">
      <c r="G485" s="1"/>
      <c r="H485" s="1"/>
      <c r="I485" s="1"/>
    </row>
    <row r="486">
      <c r="G486" s="1"/>
      <c r="H486" s="1"/>
      <c r="I486" s="1"/>
    </row>
    <row r="487">
      <c r="G487" s="1"/>
      <c r="H487" s="1"/>
      <c r="I487" s="1"/>
    </row>
    <row r="488">
      <c r="G488" s="1"/>
      <c r="H488" s="1"/>
      <c r="I488" s="1"/>
    </row>
    <row r="489">
      <c r="G489" s="1"/>
      <c r="H489" s="1"/>
      <c r="I489" s="1"/>
    </row>
    <row r="490">
      <c r="G490" s="1"/>
      <c r="H490" s="1"/>
      <c r="I490" s="1"/>
    </row>
    <row r="491">
      <c r="G491" s="1"/>
      <c r="H491" s="1"/>
      <c r="I491" s="1"/>
    </row>
    <row r="492">
      <c r="G492" s="1"/>
      <c r="H492" s="1"/>
      <c r="I492" s="1"/>
    </row>
    <row r="493">
      <c r="G493" s="1"/>
      <c r="H493" s="1"/>
      <c r="I493" s="1"/>
    </row>
    <row r="494">
      <c r="G494" s="1"/>
      <c r="H494" s="1"/>
      <c r="I494" s="1"/>
    </row>
    <row r="495">
      <c r="G495" s="1"/>
      <c r="H495" s="1"/>
      <c r="I495" s="1"/>
    </row>
    <row r="496">
      <c r="G496" s="1"/>
      <c r="H496" s="1"/>
      <c r="I496" s="1"/>
    </row>
    <row r="497">
      <c r="G497" s="1"/>
      <c r="H497" s="1"/>
      <c r="I497" s="1"/>
    </row>
    <row r="498">
      <c r="G498" s="1"/>
      <c r="H498" s="1"/>
      <c r="I498" s="1"/>
    </row>
    <row r="499">
      <c r="G499" s="1"/>
      <c r="H499" s="1"/>
      <c r="I499" s="1"/>
    </row>
    <row r="500">
      <c r="G500" s="1"/>
      <c r="H500" s="1"/>
      <c r="I500" s="1"/>
    </row>
    <row r="501">
      <c r="G501" s="1"/>
      <c r="H501" s="1"/>
      <c r="I501" s="1"/>
    </row>
    <row r="502">
      <c r="G502" s="1"/>
      <c r="H502" s="1"/>
      <c r="I502" s="1"/>
    </row>
    <row r="503">
      <c r="G503" s="1"/>
      <c r="H503" s="1"/>
      <c r="I503" s="1"/>
    </row>
    <row r="504">
      <c r="G504" s="1"/>
      <c r="H504" s="1"/>
      <c r="I504" s="1"/>
    </row>
    <row r="505">
      <c r="G505" s="1"/>
      <c r="H505" s="1"/>
      <c r="I505" s="1"/>
    </row>
    <row r="506">
      <c r="G506" s="1"/>
      <c r="H506" s="1"/>
      <c r="I506" s="1"/>
    </row>
    <row r="507">
      <c r="G507" s="1"/>
      <c r="H507" s="1"/>
      <c r="I507" s="1"/>
    </row>
    <row r="508">
      <c r="G508" s="1"/>
      <c r="H508" s="1"/>
      <c r="I508" s="1"/>
    </row>
    <row r="509">
      <c r="G509" s="1"/>
      <c r="H509" s="1"/>
      <c r="I509" s="1"/>
    </row>
    <row r="510">
      <c r="G510" s="1"/>
      <c r="H510" s="1"/>
      <c r="I510" s="1"/>
    </row>
    <row r="511">
      <c r="G511" s="1"/>
      <c r="H511" s="1"/>
      <c r="I511" s="1"/>
    </row>
    <row r="512">
      <c r="G512" s="1"/>
      <c r="H512" s="1"/>
      <c r="I512" s="1"/>
    </row>
    <row r="513">
      <c r="G513" s="1"/>
      <c r="H513" s="1"/>
      <c r="I513" s="1"/>
    </row>
    <row r="514">
      <c r="G514" s="1"/>
      <c r="H514" s="1"/>
      <c r="I514" s="1"/>
    </row>
    <row r="515">
      <c r="G515" s="1"/>
      <c r="H515" s="1"/>
      <c r="I515" s="1"/>
    </row>
    <row r="516">
      <c r="G516" s="1"/>
      <c r="H516" s="1"/>
      <c r="I516" s="1"/>
    </row>
    <row r="517">
      <c r="G517" s="1"/>
      <c r="H517" s="1"/>
      <c r="I517" s="1"/>
    </row>
    <row r="518">
      <c r="G518" s="1"/>
      <c r="H518" s="1"/>
      <c r="I518" s="1"/>
    </row>
    <row r="519">
      <c r="G519" s="1"/>
      <c r="H519" s="1"/>
      <c r="I519" s="1"/>
    </row>
    <row r="520">
      <c r="G520" s="1"/>
      <c r="H520" s="1"/>
      <c r="I520" s="1"/>
    </row>
    <row r="521">
      <c r="G521" s="1"/>
      <c r="H521" s="1"/>
      <c r="I521" s="1"/>
    </row>
    <row r="522">
      <c r="G522" s="1"/>
      <c r="H522" s="1"/>
      <c r="I522" s="1"/>
    </row>
    <row r="523">
      <c r="G523" s="1"/>
      <c r="H523" s="1"/>
      <c r="I523" s="1"/>
    </row>
    <row r="524">
      <c r="G524" s="1"/>
      <c r="H524" s="1"/>
      <c r="I524" s="1"/>
    </row>
    <row r="525">
      <c r="G525" s="1"/>
      <c r="H525" s="1"/>
      <c r="I525" s="1"/>
    </row>
    <row r="526">
      <c r="G526" s="1"/>
      <c r="H526" s="1"/>
      <c r="I526" s="1"/>
    </row>
    <row r="527">
      <c r="G527" s="1"/>
      <c r="H527" s="1"/>
      <c r="I527" s="1"/>
    </row>
    <row r="528">
      <c r="G528" s="1"/>
      <c r="H528" s="1"/>
      <c r="I528" s="1"/>
    </row>
    <row r="529">
      <c r="G529" s="1"/>
      <c r="H529" s="1"/>
      <c r="I529" s="1"/>
    </row>
    <row r="530">
      <c r="G530" s="1"/>
      <c r="H530" s="1"/>
      <c r="I530" s="1"/>
    </row>
    <row r="531">
      <c r="G531" s="1"/>
      <c r="H531" s="1"/>
      <c r="I531" s="1"/>
    </row>
    <row r="532">
      <c r="G532" s="1"/>
      <c r="H532" s="1"/>
      <c r="I532" s="1"/>
    </row>
    <row r="533">
      <c r="G533" s="1"/>
      <c r="H533" s="1"/>
      <c r="I533" s="1"/>
    </row>
    <row r="534">
      <c r="G534" s="1"/>
      <c r="H534" s="1"/>
      <c r="I534" s="1"/>
    </row>
    <row r="535">
      <c r="G535" s="1"/>
      <c r="H535" s="1"/>
      <c r="I535" s="1"/>
    </row>
    <row r="536">
      <c r="G536" s="1"/>
      <c r="H536" s="1"/>
      <c r="I536" s="1"/>
    </row>
    <row r="537">
      <c r="G537" s="1"/>
      <c r="H537" s="1"/>
      <c r="I537" s="1"/>
    </row>
    <row r="538">
      <c r="G538" s="1"/>
      <c r="H538" s="1"/>
      <c r="I538" s="1"/>
    </row>
    <row r="539">
      <c r="G539" s="1"/>
      <c r="H539" s="1"/>
      <c r="I539" s="1"/>
    </row>
    <row r="540">
      <c r="G540" s="1"/>
      <c r="H540" s="1"/>
      <c r="I540" s="1"/>
    </row>
    <row r="541">
      <c r="G541" s="1"/>
      <c r="H541" s="1"/>
      <c r="I541" s="1"/>
    </row>
    <row r="542">
      <c r="G542" s="1"/>
      <c r="H542" s="1"/>
      <c r="I542" s="1"/>
    </row>
    <row r="543">
      <c r="G543" s="1"/>
      <c r="H543" s="1"/>
      <c r="I543" s="1"/>
    </row>
    <row r="544">
      <c r="G544" s="1"/>
      <c r="H544" s="1"/>
      <c r="I544" s="1"/>
    </row>
    <row r="545">
      <c r="G545" s="1"/>
      <c r="H545" s="1"/>
      <c r="I545" s="1"/>
    </row>
    <row r="546">
      <c r="G546" s="1"/>
      <c r="H546" s="1"/>
      <c r="I546" s="1"/>
    </row>
    <row r="547">
      <c r="G547" s="1"/>
      <c r="H547" s="1"/>
      <c r="I547" s="1"/>
    </row>
    <row r="548">
      <c r="G548" s="1"/>
      <c r="H548" s="1"/>
      <c r="I548" s="1"/>
    </row>
    <row r="549">
      <c r="G549" s="1"/>
      <c r="H549" s="1"/>
      <c r="I549" s="1"/>
    </row>
    <row r="550">
      <c r="G550" s="1"/>
      <c r="H550" s="1"/>
      <c r="I550" s="1"/>
    </row>
    <row r="551">
      <c r="G551" s="1"/>
      <c r="H551" s="1"/>
      <c r="I551" s="1"/>
    </row>
    <row r="552">
      <c r="G552" s="1"/>
      <c r="H552" s="1"/>
      <c r="I552" s="1"/>
    </row>
    <row r="553">
      <c r="G553" s="1"/>
      <c r="H553" s="1"/>
      <c r="I553" s="1"/>
    </row>
    <row r="554">
      <c r="G554" s="1"/>
      <c r="H554" s="1"/>
      <c r="I554" s="1"/>
    </row>
    <row r="555">
      <c r="G555" s="1"/>
      <c r="H555" s="1"/>
      <c r="I555" s="1"/>
    </row>
    <row r="556">
      <c r="G556" s="1"/>
      <c r="H556" s="1"/>
      <c r="I556" s="1"/>
    </row>
    <row r="557">
      <c r="G557" s="1"/>
      <c r="H557" s="1"/>
      <c r="I557" s="1"/>
    </row>
    <row r="558">
      <c r="G558" s="1"/>
      <c r="H558" s="1"/>
      <c r="I558" s="1"/>
    </row>
    <row r="559">
      <c r="G559" s="1"/>
      <c r="H559" s="1"/>
      <c r="I559" s="1"/>
    </row>
    <row r="560">
      <c r="G560" s="1"/>
      <c r="H560" s="1"/>
      <c r="I560" s="1"/>
    </row>
    <row r="561">
      <c r="G561" s="1"/>
      <c r="H561" s="1"/>
      <c r="I561" s="1"/>
    </row>
    <row r="562">
      <c r="G562" s="1"/>
      <c r="H562" s="1"/>
      <c r="I562" s="1"/>
    </row>
    <row r="563">
      <c r="G563" s="1"/>
      <c r="H563" s="1"/>
      <c r="I563" s="1"/>
    </row>
    <row r="564">
      <c r="G564" s="1"/>
      <c r="H564" s="1"/>
      <c r="I564" s="1"/>
    </row>
    <row r="565">
      <c r="G565" s="1"/>
      <c r="H565" s="1"/>
      <c r="I565" s="1"/>
    </row>
    <row r="566">
      <c r="G566" s="1"/>
      <c r="H566" s="1"/>
      <c r="I566" s="1"/>
    </row>
    <row r="567">
      <c r="G567" s="1"/>
      <c r="H567" s="1"/>
      <c r="I567" s="1"/>
    </row>
    <row r="568">
      <c r="G568" s="1"/>
      <c r="H568" s="1"/>
      <c r="I568" s="1"/>
    </row>
    <row r="569">
      <c r="G569" s="1"/>
      <c r="H569" s="1"/>
      <c r="I569" s="1"/>
    </row>
    <row r="570">
      <c r="G570" s="1"/>
      <c r="H570" s="1"/>
      <c r="I570" s="1"/>
    </row>
    <row r="571">
      <c r="G571" s="1"/>
      <c r="H571" s="1"/>
      <c r="I571" s="1"/>
    </row>
    <row r="572">
      <c r="G572" s="1"/>
      <c r="H572" s="1"/>
      <c r="I572" s="1"/>
    </row>
    <row r="573">
      <c r="G573" s="1"/>
      <c r="H573" s="1"/>
      <c r="I573" s="1"/>
    </row>
    <row r="574">
      <c r="G574" s="1"/>
      <c r="H574" s="1"/>
      <c r="I574" s="1"/>
    </row>
    <row r="575">
      <c r="G575" s="1"/>
      <c r="H575" s="1"/>
      <c r="I575" s="1"/>
    </row>
    <row r="576">
      <c r="G576" s="1"/>
      <c r="H576" s="1"/>
      <c r="I576" s="1"/>
    </row>
    <row r="577">
      <c r="G577" s="1"/>
      <c r="H577" s="1"/>
      <c r="I577" s="1"/>
    </row>
    <row r="578">
      <c r="G578" s="1"/>
      <c r="H578" s="1"/>
      <c r="I578" s="1"/>
    </row>
    <row r="579">
      <c r="G579" s="1"/>
      <c r="H579" s="1"/>
      <c r="I579" s="1"/>
    </row>
    <row r="580">
      <c r="G580" s="1"/>
      <c r="H580" s="1"/>
      <c r="I580" s="1"/>
    </row>
    <row r="581">
      <c r="G581" s="1"/>
      <c r="H581" s="1"/>
      <c r="I581" s="1"/>
    </row>
    <row r="582">
      <c r="G582" s="1"/>
      <c r="H582" s="1"/>
      <c r="I582" s="1"/>
    </row>
    <row r="583">
      <c r="G583" s="1"/>
      <c r="H583" s="1"/>
      <c r="I583" s="1"/>
    </row>
    <row r="584">
      <c r="G584" s="1"/>
      <c r="H584" s="1"/>
      <c r="I584" s="1"/>
    </row>
    <row r="585">
      <c r="G585" s="1"/>
      <c r="H585" s="1"/>
      <c r="I585" s="1"/>
    </row>
    <row r="586">
      <c r="G586" s="1"/>
      <c r="H586" s="1"/>
      <c r="I586" s="1"/>
    </row>
    <row r="587">
      <c r="G587" s="1"/>
      <c r="H587" s="1"/>
      <c r="I587" s="1"/>
    </row>
    <row r="588">
      <c r="G588" s="1"/>
      <c r="H588" s="1"/>
      <c r="I588" s="1"/>
    </row>
    <row r="589">
      <c r="G589" s="1"/>
      <c r="H589" s="1"/>
      <c r="I589" s="1"/>
    </row>
    <row r="590">
      <c r="G590" s="1"/>
      <c r="H590" s="1"/>
      <c r="I590" s="1"/>
    </row>
    <row r="591">
      <c r="G591" s="1"/>
      <c r="H591" s="1"/>
      <c r="I591" s="1"/>
    </row>
    <row r="592">
      <c r="G592" s="1"/>
      <c r="H592" s="1"/>
      <c r="I592" s="1"/>
    </row>
    <row r="593">
      <c r="G593" s="1"/>
      <c r="H593" s="1"/>
      <c r="I593" s="1"/>
    </row>
    <row r="594">
      <c r="G594" s="1"/>
      <c r="H594" s="1"/>
      <c r="I594" s="1"/>
    </row>
    <row r="595">
      <c r="G595" s="1"/>
      <c r="H595" s="1"/>
      <c r="I595" s="1"/>
    </row>
    <row r="596">
      <c r="G596" s="1"/>
      <c r="H596" s="1"/>
      <c r="I596" s="1"/>
    </row>
    <row r="597">
      <c r="G597" s="1"/>
      <c r="H597" s="1"/>
      <c r="I597" s="1"/>
    </row>
    <row r="598">
      <c r="G598" s="1"/>
      <c r="H598" s="1"/>
      <c r="I598" s="1"/>
    </row>
    <row r="599">
      <c r="G599" s="1"/>
      <c r="H599" s="1"/>
      <c r="I599" s="1"/>
    </row>
    <row r="600">
      <c r="G600" s="1"/>
      <c r="H600" s="1"/>
      <c r="I600" s="1"/>
    </row>
    <row r="601">
      <c r="G601" s="1"/>
      <c r="H601" s="1"/>
      <c r="I601" s="1"/>
    </row>
    <row r="602">
      <c r="G602" s="1"/>
      <c r="H602" s="1"/>
      <c r="I602" s="1"/>
    </row>
    <row r="603">
      <c r="G603" s="1"/>
      <c r="H603" s="1"/>
      <c r="I603" s="1"/>
    </row>
    <row r="604">
      <c r="G604" s="1"/>
      <c r="H604" s="1"/>
      <c r="I604" s="1"/>
    </row>
    <row r="605">
      <c r="G605" s="1"/>
      <c r="H605" s="1"/>
      <c r="I605" s="1"/>
    </row>
    <row r="606">
      <c r="G606" s="1"/>
      <c r="H606" s="1"/>
      <c r="I606" s="1"/>
    </row>
    <row r="607">
      <c r="G607" s="1"/>
      <c r="H607" s="1"/>
      <c r="I607" s="1"/>
    </row>
    <row r="608">
      <c r="G608" s="1"/>
      <c r="H608" s="1"/>
      <c r="I608" s="1"/>
    </row>
    <row r="609">
      <c r="G609" s="1"/>
      <c r="H609" s="1"/>
      <c r="I609" s="1"/>
    </row>
    <row r="610">
      <c r="G610" s="1"/>
      <c r="H610" s="1"/>
      <c r="I610" s="1"/>
    </row>
    <row r="611">
      <c r="G611" s="1"/>
      <c r="H611" s="1"/>
      <c r="I611" s="1"/>
    </row>
    <row r="612">
      <c r="G612" s="1"/>
      <c r="H612" s="1"/>
      <c r="I612" s="1"/>
    </row>
    <row r="613">
      <c r="G613" s="1"/>
      <c r="H613" s="1"/>
      <c r="I613" s="1"/>
    </row>
    <row r="614">
      <c r="G614" s="1"/>
      <c r="H614" s="1"/>
      <c r="I614" s="1"/>
    </row>
    <row r="615">
      <c r="G615" s="1"/>
      <c r="H615" s="1"/>
      <c r="I615" s="1"/>
    </row>
    <row r="616">
      <c r="G616" s="1"/>
      <c r="H616" s="1"/>
      <c r="I616" s="1"/>
    </row>
    <row r="617">
      <c r="G617" s="1"/>
      <c r="H617" s="1"/>
      <c r="I617" s="1"/>
    </row>
    <row r="618">
      <c r="G618" s="1"/>
      <c r="H618" s="1"/>
      <c r="I618" s="1"/>
    </row>
    <row r="619">
      <c r="G619" s="1"/>
      <c r="H619" s="1"/>
      <c r="I619" s="1"/>
    </row>
    <row r="620">
      <c r="G620" s="1"/>
      <c r="H620" s="1"/>
      <c r="I620" s="1"/>
    </row>
    <row r="621">
      <c r="G621" s="1"/>
      <c r="H621" s="1"/>
      <c r="I621" s="1"/>
    </row>
    <row r="622">
      <c r="G622" s="1"/>
      <c r="H622" s="1"/>
      <c r="I622" s="1"/>
    </row>
    <row r="623">
      <c r="G623" s="1"/>
      <c r="H623" s="1"/>
      <c r="I623" s="1"/>
    </row>
    <row r="624">
      <c r="G624" s="1"/>
      <c r="H624" s="1"/>
      <c r="I624" s="1"/>
    </row>
    <row r="625">
      <c r="G625" s="1"/>
      <c r="H625" s="1"/>
      <c r="I625" s="1"/>
    </row>
    <row r="626">
      <c r="G626" s="1"/>
      <c r="H626" s="1"/>
      <c r="I626" s="1"/>
    </row>
    <row r="627">
      <c r="G627" s="1"/>
      <c r="H627" s="1"/>
      <c r="I627" s="1"/>
    </row>
    <row r="628">
      <c r="G628" s="1"/>
      <c r="H628" s="1"/>
      <c r="I628" s="1"/>
    </row>
    <row r="629">
      <c r="G629" s="1"/>
      <c r="H629" s="1"/>
      <c r="I629" s="1"/>
    </row>
    <row r="630">
      <c r="G630" s="1"/>
      <c r="H630" s="1"/>
      <c r="I630" s="1"/>
    </row>
    <row r="631">
      <c r="G631" s="1"/>
      <c r="H631" s="1"/>
      <c r="I631" s="1"/>
    </row>
    <row r="632">
      <c r="G632" s="1"/>
      <c r="H632" s="1"/>
      <c r="I632" s="1"/>
    </row>
    <row r="633">
      <c r="G633" s="1"/>
      <c r="H633" s="1"/>
      <c r="I633" s="1"/>
    </row>
    <row r="634">
      <c r="G634" s="1"/>
      <c r="H634" s="1"/>
      <c r="I634" s="1"/>
    </row>
    <row r="635">
      <c r="G635" s="1"/>
      <c r="H635" s="1"/>
      <c r="I635" s="1"/>
    </row>
    <row r="636">
      <c r="G636" s="1"/>
      <c r="H636" s="1"/>
      <c r="I636" s="1"/>
    </row>
    <row r="637">
      <c r="G637" s="1"/>
      <c r="H637" s="1"/>
      <c r="I637" s="1"/>
    </row>
    <row r="638">
      <c r="G638" s="1"/>
      <c r="H638" s="1"/>
      <c r="I638" s="1"/>
    </row>
    <row r="639">
      <c r="G639" s="1"/>
      <c r="H639" s="1"/>
      <c r="I639" s="1"/>
    </row>
    <row r="640">
      <c r="G640" s="1"/>
      <c r="H640" s="1"/>
      <c r="I640" s="1"/>
    </row>
    <row r="641">
      <c r="G641" s="1"/>
      <c r="H641" s="1"/>
      <c r="I641" s="1"/>
    </row>
    <row r="642">
      <c r="G642" s="1"/>
      <c r="H642" s="1"/>
      <c r="I642" s="1"/>
    </row>
    <row r="643">
      <c r="G643" s="1"/>
      <c r="H643" s="1"/>
      <c r="I643" s="1"/>
    </row>
    <row r="644">
      <c r="G644" s="1"/>
      <c r="H644" s="1"/>
      <c r="I644" s="1"/>
    </row>
    <row r="645">
      <c r="G645" s="1"/>
      <c r="H645" s="1"/>
      <c r="I645" s="1"/>
    </row>
    <row r="646">
      <c r="G646" s="1"/>
      <c r="H646" s="1"/>
      <c r="I646" s="1"/>
    </row>
    <row r="647">
      <c r="G647" s="1"/>
      <c r="H647" s="1"/>
      <c r="I647" s="1"/>
    </row>
    <row r="648">
      <c r="G648" s="1"/>
      <c r="H648" s="1"/>
      <c r="I648" s="1"/>
    </row>
    <row r="649">
      <c r="G649" s="1"/>
      <c r="H649" s="1"/>
      <c r="I649" s="1"/>
    </row>
    <row r="650">
      <c r="G650" s="1"/>
      <c r="H650" s="1"/>
      <c r="I650" s="1"/>
    </row>
    <row r="651">
      <c r="G651" s="1"/>
      <c r="H651" s="1"/>
      <c r="I651" s="1"/>
    </row>
    <row r="652">
      <c r="G652" s="1"/>
      <c r="H652" s="1"/>
      <c r="I652" s="1"/>
    </row>
    <row r="653">
      <c r="G653" s="1"/>
      <c r="H653" s="1"/>
      <c r="I653" s="1"/>
    </row>
    <row r="654">
      <c r="G654" s="1"/>
      <c r="H654" s="1"/>
      <c r="I654" s="1"/>
    </row>
    <row r="655">
      <c r="G655" s="1"/>
      <c r="H655" s="1"/>
      <c r="I655" s="1"/>
    </row>
    <row r="656">
      <c r="G656" s="1"/>
      <c r="H656" s="1"/>
      <c r="I656" s="1"/>
    </row>
    <row r="657">
      <c r="G657" s="1"/>
      <c r="H657" s="1"/>
      <c r="I657" s="1"/>
    </row>
    <row r="658">
      <c r="G658" s="1"/>
      <c r="H658" s="1"/>
      <c r="I658" s="1"/>
    </row>
    <row r="659">
      <c r="G659" s="1"/>
      <c r="H659" s="1"/>
      <c r="I659" s="1"/>
    </row>
    <row r="660">
      <c r="G660" s="1"/>
      <c r="H660" s="1"/>
      <c r="I660" s="1"/>
    </row>
    <row r="661">
      <c r="G661" s="1"/>
      <c r="H661" s="1"/>
      <c r="I661" s="1"/>
    </row>
    <row r="662">
      <c r="G662" s="1"/>
      <c r="H662" s="1"/>
      <c r="I662" s="1"/>
    </row>
    <row r="663">
      <c r="G663" s="1"/>
      <c r="H663" s="1"/>
      <c r="I663" s="1"/>
    </row>
    <row r="664">
      <c r="G664" s="1"/>
      <c r="H664" s="1"/>
      <c r="I664" s="1"/>
    </row>
    <row r="665">
      <c r="G665" s="1"/>
      <c r="H665" s="1"/>
      <c r="I665" s="1"/>
    </row>
    <row r="666">
      <c r="G666" s="1"/>
      <c r="H666" s="1"/>
      <c r="I666" s="1"/>
    </row>
    <row r="667">
      <c r="G667" s="1"/>
      <c r="H667" s="1"/>
      <c r="I667" s="1"/>
    </row>
    <row r="668">
      <c r="G668" s="1"/>
      <c r="H668" s="1"/>
      <c r="I668" s="1"/>
    </row>
    <row r="669">
      <c r="G669" s="1"/>
      <c r="H669" s="1"/>
      <c r="I669" s="1"/>
    </row>
    <row r="670">
      <c r="G670" s="1"/>
      <c r="H670" s="1"/>
      <c r="I670" s="1"/>
    </row>
    <row r="671">
      <c r="G671" s="1"/>
      <c r="H671" s="1"/>
      <c r="I671" s="1"/>
    </row>
    <row r="672">
      <c r="G672" s="1"/>
      <c r="H672" s="1"/>
      <c r="I672" s="1"/>
    </row>
    <row r="673">
      <c r="G673" s="1"/>
      <c r="H673" s="1"/>
      <c r="I673" s="1"/>
    </row>
    <row r="674">
      <c r="G674" s="1"/>
      <c r="H674" s="1"/>
      <c r="I674" s="1"/>
    </row>
    <row r="675">
      <c r="G675" s="1"/>
      <c r="H675" s="1"/>
      <c r="I675" s="1"/>
    </row>
    <row r="676">
      <c r="G676" s="1"/>
      <c r="H676" s="1"/>
      <c r="I676" s="1"/>
    </row>
    <row r="677">
      <c r="G677" s="1"/>
      <c r="H677" s="1"/>
      <c r="I677" s="1"/>
    </row>
    <row r="678">
      <c r="G678" s="1"/>
      <c r="H678" s="1"/>
      <c r="I678" s="1"/>
    </row>
    <row r="679">
      <c r="G679" s="1"/>
      <c r="H679" s="1"/>
      <c r="I679" s="1"/>
    </row>
    <row r="680">
      <c r="G680" s="1"/>
      <c r="H680" s="1"/>
      <c r="I680" s="1"/>
    </row>
    <row r="681">
      <c r="G681" s="1"/>
      <c r="H681" s="1"/>
      <c r="I681" s="1"/>
    </row>
    <row r="682">
      <c r="G682" s="1"/>
      <c r="H682" s="1"/>
      <c r="I682" s="1"/>
    </row>
    <row r="683">
      <c r="G683" s="1"/>
      <c r="H683" s="1"/>
      <c r="I683" s="1"/>
    </row>
    <row r="684">
      <c r="G684" s="1"/>
      <c r="H684" s="1"/>
      <c r="I684" s="1"/>
    </row>
    <row r="685">
      <c r="G685" s="1"/>
      <c r="H685" s="1"/>
      <c r="I685" s="1"/>
    </row>
    <row r="686">
      <c r="G686" s="1"/>
      <c r="H686" s="1"/>
      <c r="I686" s="1"/>
    </row>
    <row r="687">
      <c r="G687" s="1"/>
      <c r="H687" s="1"/>
      <c r="I687" s="1"/>
    </row>
    <row r="688">
      <c r="G688" s="1"/>
      <c r="H688" s="1"/>
      <c r="I688" s="1"/>
    </row>
    <row r="689">
      <c r="G689" s="1"/>
      <c r="H689" s="1"/>
      <c r="I689" s="1"/>
    </row>
    <row r="690">
      <c r="G690" s="1"/>
      <c r="H690" s="1"/>
      <c r="I690" s="1"/>
    </row>
    <row r="691">
      <c r="G691" s="1"/>
      <c r="H691" s="1"/>
      <c r="I691" s="1"/>
    </row>
    <row r="692">
      <c r="G692" s="1"/>
      <c r="H692" s="1"/>
      <c r="I692" s="1"/>
    </row>
    <row r="693">
      <c r="G693" s="1"/>
      <c r="H693" s="1"/>
      <c r="I693" s="1"/>
    </row>
    <row r="694">
      <c r="G694" s="1"/>
      <c r="H694" s="1"/>
      <c r="I694" s="1"/>
    </row>
    <row r="695">
      <c r="G695" s="1"/>
      <c r="H695" s="1"/>
      <c r="I695" s="1"/>
    </row>
    <row r="696">
      <c r="G696" s="1"/>
      <c r="H696" s="1"/>
      <c r="I696" s="1"/>
    </row>
    <row r="697">
      <c r="G697" s="1"/>
      <c r="H697" s="1"/>
      <c r="I697" s="1"/>
    </row>
    <row r="698">
      <c r="G698" s="1"/>
      <c r="H698" s="1"/>
      <c r="I698" s="1"/>
    </row>
    <row r="699">
      <c r="G699" s="1"/>
      <c r="H699" s="1"/>
      <c r="I699" s="1"/>
    </row>
    <row r="700">
      <c r="G700" s="1"/>
      <c r="H700" s="1"/>
      <c r="I700" s="1"/>
    </row>
    <row r="701">
      <c r="G701" s="1"/>
      <c r="H701" s="1"/>
      <c r="I701" s="1"/>
    </row>
    <row r="702">
      <c r="G702" s="1"/>
      <c r="H702" s="1"/>
      <c r="I702" s="1"/>
    </row>
    <row r="703">
      <c r="G703" s="1"/>
      <c r="H703" s="1"/>
      <c r="I703" s="1"/>
    </row>
    <row r="704">
      <c r="G704" s="1"/>
      <c r="H704" s="1"/>
      <c r="I704" s="1"/>
    </row>
    <row r="705">
      <c r="G705" s="1"/>
      <c r="H705" s="1"/>
      <c r="I705" s="1"/>
    </row>
    <row r="706">
      <c r="G706" s="1"/>
      <c r="H706" s="1"/>
      <c r="I706" s="1"/>
    </row>
    <row r="707">
      <c r="G707" s="1"/>
      <c r="H707" s="1"/>
      <c r="I707" s="1"/>
    </row>
    <row r="708">
      <c r="G708" s="1"/>
      <c r="H708" s="1"/>
      <c r="I708" s="1"/>
    </row>
    <row r="709">
      <c r="G709" s="1"/>
      <c r="H709" s="1"/>
      <c r="I709" s="1"/>
    </row>
    <row r="710">
      <c r="G710" s="1"/>
      <c r="H710" s="1"/>
      <c r="I710" s="1"/>
    </row>
    <row r="711">
      <c r="G711" s="1"/>
      <c r="H711" s="1"/>
      <c r="I711" s="1"/>
    </row>
    <row r="712">
      <c r="G712" s="1"/>
      <c r="H712" s="1"/>
      <c r="I712" s="1"/>
    </row>
    <row r="713">
      <c r="G713" s="1"/>
      <c r="H713" s="1"/>
      <c r="I713" s="1"/>
    </row>
    <row r="714">
      <c r="G714" s="1"/>
      <c r="H714" s="1"/>
      <c r="I714" s="1"/>
    </row>
    <row r="715">
      <c r="G715" s="1"/>
      <c r="H715" s="1"/>
      <c r="I715" s="1"/>
    </row>
    <row r="716">
      <c r="G716" s="1"/>
      <c r="H716" s="1"/>
      <c r="I716" s="1"/>
    </row>
    <row r="717">
      <c r="G717" s="1"/>
      <c r="H717" s="1"/>
      <c r="I717" s="1"/>
    </row>
    <row r="718">
      <c r="G718" s="1"/>
      <c r="H718" s="1"/>
      <c r="I718" s="1"/>
    </row>
    <row r="719">
      <c r="G719" s="1"/>
      <c r="H719" s="1"/>
      <c r="I719" s="1"/>
    </row>
    <row r="720">
      <c r="G720" s="1"/>
      <c r="H720" s="1"/>
      <c r="I720" s="1"/>
    </row>
    <row r="721">
      <c r="G721" s="1"/>
      <c r="H721" s="1"/>
      <c r="I721" s="1"/>
    </row>
    <row r="722">
      <c r="G722" s="1"/>
      <c r="H722" s="1"/>
      <c r="I722" s="1"/>
    </row>
    <row r="723">
      <c r="G723" s="1"/>
      <c r="H723" s="1"/>
      <c r="I723" s="1"/>
    </row>
    <row r="724">
      <c r="G724" s="1"/>
      <c r="H724" s="1"/>
      <c r="I724" s="1"/>
    </row>
    <row r="725">
      <c r="G725" s="1"/>
      <c r="H725" s="1"/>
      <c r="I725" s="1"/>
    </row>
    <row r="726">
      <c r="G726" s="1"/>
      <c r="H726" s="1"/>
      <c r="I726" s="1"/>
    </row>
    <row r="727">
      <c r="G727" s="1"/>
      <c r="H727" s="1"/>
      <c r="I727" s="1"/>
    </row>
    <row r="728">
      <c r="G728" s="1"/>
      <c r="H728" s="1"/>
      <c r="I728" s="1"/>
    </row>
    <row r="729">
      <c r="G729" s="1"/>
      <c r="H729" s="1"/>
      <c r="I729" s="1"/>
    </row>
    <row r="730">
      <c r="G730" s="1"/>
      <c r="H730" s="1"/>
      <c r="I730" s="1"/>
    </row>
    <row r="731">
      <c r="G731" s="1"/>
      <c r="H731" s="1"/>
      <c r="I731" s="1"/>
    </row>
    <row r="732">
      <c r="G732" s="1"/>
      <c r="H732" s="1"/>
      <c r="I732" s="1"/>
    </row>
    <row r="733">
      <c r="G733" s="1"/>
      <c r="H733" s="1"/>
      <c r="I733" s="1"/>
    </row>
    <row r="734">
      <c r="G734" s="1"/>
      <c r="H734" s="1"/>
      <c r="I734" s="1"/>
    </row>
    <row r="735">
      <c r="G735" s="1"/>
      <c r="H735" s="1"/>
      <c r="I735" s="1"/>
    </row>
    <row r="736">
      <c r="G736" s="1"/>
      <c r="H736" s="1"/>
      <c r="I736" s="1"/>
    </row>
    <row r="737">
      <c r="G737" s="1"/>
      <c r="H737" s="1"/>
      <c r="I737" s="1"/>
    </row>
    <row r="738">
      <c r="G738" s="1"/>
      <c r="H738" s="1"/>
      <c r="I738" s="1"/>
    </row>
    <row r="739">
      <c r="G739" s="1"/>
      <c r="H739" s="1"/>
      <c r="I739" s="1"/>
    </row>
    <row r="740">
      <c r="G740" s="1"/>
      <c r="H740" s="1"/>
      <c r="I740" s="1"/>
    </row>
    <row r="741">
      <c r="G741" s="1"/>
      <c r="H741" s="1"/>
      <c r="I741" s="1"/>
    </row>
    <row r="742">
      <c r="G742" s="1"/>
      <c r="H742" s="1"/>
      <c r="I742" s="1"/>
    </row>
    <row r="743">
      <c r="G743" s="1"/>
      <c r="H743" s="1"/>
      <c r="I743" s="1"/>
    </row>
    <row r="744">
      <c r="G744" s="1"/>
      <c r="H744" s="1"/>
      <c r="I744" s="1"/>
    </row>
    <row r="745">
      <c r="G745" s="1"/>
      <c r="H745" s="1"/>
      <c r="I745" s="1"/>
    </row>
    <row r="746">
      <c r="G746" s="1"/>
      <c r="H746" s="1"/>
      <c r="I746" s="1"/>
    </row>
    <row r="747">
      <c r="G747" s="1"/>
      <c r="H747" s="1"/>
      <c r="I747" s="1"/>
    </row>
    <row r="748">
      <c r="G748" s="1"/>
      <c r="H748" s="1"/>
      <c r="I748" s="1"/>
    </row>
    <row r="749">
      <c r="G749" s="1"/>
      <c r="H749" s="1"/>
      <c r="I749" s="1"/>
    </row>
    <row r="750">
      <c r="G750" s="1"/>
      <c r="H750" s="1"/>
      <c r="I750" s="1"/>
    </row>
    <row r="751">
      <c r="G751" s="1"/>
      <c r="H751" s="1"/>
      <c r="I751" s="1"/>
    </row>
    <row r="752">
      <c r="G752" s="1"/>
      <c r="H752" s="1"/>
      <c r="I752" s="1"/>
    </row>
    <row r="753">
      <c r="G753" s="1"/>
      <c r="H753" s="1"/>
      <c r="I753" s="1"/>
    </row>
    <row r="754">
      <c r="G754" s="1"/>
      <c r="H754" s="1"/>
      <c r="I754" s="1"/>
    </row>
    <row r="755">
      <c r="G755" s="1"/>
      <c r="H755" s="1"/>
      <c r="I755" s="1"/>
    </row>
    <row r="756">
      <c r="G756" s="1"/>
      <c r="H756" s="1"/>
      <c r="I756" s="1"/>
    </row>
    <row r="757">
      <c r="G757" s="1"/>
      <c r="H757" s="1"/>
      <c r="I757" s="1"/>
    </row>
    <row r="758">
      <c r="G758" s="1"/>
      <c r="H758" s="1"/>
      <c r="I758" s="1"/>
    </row>
    <row r="759">
      <c r="G759" s="1"/>
      <c r="H759" s="1"/>
      <c r="I759" s="1"/>
    </row>
    <row r="760">
      <c r="G760" s="1"/>
      <c r="H760" s="1"/>
      <c r="I760" s="1"/>
    </row>
    <row r="761">
      <c r="G761" s="1"/>
      <c r="H761" s="1"/>
      <c r="I761" s="1"/>
    </row>
    <row r="762">
      <c r="G762" s="1"/>
      <c r="H762" s="1"/>
      <c r="I762" s="1"/>
    </row>
    <row r="763">
      <c r="G763" s="1"/>
      <c r="H763" s="1"/>
      <c r="I763" s="1"/>
    </row>
    <row r="764">
      <c r="G764" s="1"/>
      <c r="H764" s="1"/>
      <c r="I764" s="1"/>
    </row>
    <row r="765">
      <c r="G765" s="1"/>
      <c r="H765" s="1"/>
      <c r="I765" s="1"/>
    </row>
    <row r="766">
      <c r="G766" s="1"/>
      <c r="H766" s="1"/>
      <c r="I766" s="1"/>
    </row>
    <row r="767">
      <c r="G767" s="1"/>
      <c r="H767" s="1"/>
      <c r="I767" s="1"/>
    </row>
    <row r="768">
      <c r="G768" s="1"/>
      <c r="H768" s="1"/>
      <c r="I768" s="1"/>
    </row>
    <row r="769">
      <c r="G769" s="1"/>
      <c r="H769" s="1"/>
      <c r="I769" s="1"/>
    </row>
    <row r="770">
      <c r="G770" s="1"/>
      <c r="H770" s="1"/>
      <c r="I770" s="1"/>
    </row>
    <row r="771">
      <c r="G771" s="1"/>
      <c r="H771" s="1"/>
      <c r="I771" s="1"/>
    </row>
    <row r="772">
      <c r="G772" s="1"/>
      <c r="H772" s="1"/>
      <c r="I772" s="1"/>
    </row>
    <row r="773">
      <c r="G773" s="1"/>
      <c r="H773" s="1"/>
      <c r="I773" s="1"/>
    </row>
    <row r="774">
      <c r="G774" s="1"/>
      <c r="H774" s="1"/>
      <c r="I774" s="1"/>
    </row>
    <row r="775">
      <c r="G775" s="1"/>
      <c r="H775" s="1"/>
      <c r="I775" s="1"/>
    </row>
    <row r="776">
      <c r="G776" s="1"/>
      <c r="H776" s="1"/>
      <c r="I776" s="1"/>
    </row>
    <row r="777">
      <c r="G777" s="1"/>
      <c r="H777" s="1"/>
      <c r="I777" s="1"/>
    </row>
    <row r="778">
      <c r="G778" s="1"/>
      <c r="H778" s="1"/>
      <c r="I778" s="1"/>
    </row>
    <row r="779">
      <c r="G779" s="1"/>
      <c r="H779" s="1"/>
      <c r="I779" s="1"/>
    </row>
    <row r="780">
      <c r="G780" s="1"/>
      <c r="H780" s="1"/>
      <c r="I780" s="1"/>
    </row>
    <row r="781">
      <c r="G781" s="1"/>
      <c r="H781" s="1"/>
      <c r="I781" s="1"/>
    </row>
    <row r="782">
      <c r="G782" s="1"/>
      <c r="H782" s="1"/>
      <c r="I782" s="1"/>
    </row>
    <row r="783">
      <c r="G783" s="1"/>
      <c r="H783" s="1"/>
      <c r="I783" s="1"/>
    </row>
    <row r="784">
      <c r="G784" s="1"/>
      <c r="H784" s="1"/>
      <c r="I784" s="1"/>
    </row>
    <row r="785">
      <c r="G785" s="1"/>
      <c r="H785" s="1"/>
      <c r="I785" s="1"/>
    </row>
    <row r="786">
      <c r="G786" s="1"/>
      <c r="H786" s="1"/>
      <c r="I786" s="1"/>
    </row>
    <row r="787">
      <c r="G787" s="1"/>
      <c r="H787" s="1"/>
      <c r="I787" s="1"/>
    </row>
    <row r="788">
      <c r="G788" s="1"/>
      <c r="H788" s="1"/>
      <c r="I788" s="1"/>
    </row>
    <row r="789">
      <c r="G789" s="1"/>
      <c r="H789" s="1"/>
      <c r="I789" s="1"/>
    </row>
    <row r="790">
      <c r="G790" s="1"/>
      <c r="H790" s="1"/>
      <c r="I790" s="1"/>
    </row>
    <row r="791">
      <c r="G791" s="1"/>
      <c r="H791" s="1"/>
      <c r="I791" s="1"/>
    </row>
    <row r="792">
      <c r="G792" s="1"/>
      <c r="H792" s="1"/>
      <c r="I792" s="1"/>
    </row>
    <row r="793">
      <c r="G793" s="1"/>
      <c r="H793" s="1"/>
      <c r="I793" s="1"/>
    </row>
    <row r="794">
      <c r="G794" s="1"/>
      <c r="H794" s="1"/>
      <c r="I794" s="1"/>
    </row>
    <row r="795">
      <c r="G795" s="1"/>
      <c r="H795" s="1"/>
      <c r="I795" s="1"/>
    </row>
    <row r="796">
      <c r="G796" s="1"/>
      <c r="H796" s="1"/>
      <c r="I796" s="1"/>
    </row>
    <row r="797">
      <c r="G797" s="1"/>
      <c r="H797" s="1"/>
      <c r="I797" s="1"/>
    </row>
    <row r="798">
      <c r="G798" s="1"/>
      <c r="H798" s="1"/>
      <c r="I798" s="1"/>
    </row>
    <row r="799">
      <c r="G799" s="1"/>
      <c r="H799" s="1"/>
      <c r="I799" s="1"/>
    </row>
    <row r="800">
      <c r="G800" s="1"/>
      <c r="H800" s="1"/>
      <c r="I800" s="1"/>
    </row>
    <row r="801">
      <c r="G801" s="1"/>
      <c r="H801" s="1"/>
      <c r="I801" s="1"/>
    </row>
    <row r="802">
      <c r="G802" s="1"/>
      <c r="H802" s="1"/>
      <c r="I802" s="1"/>
    </row>
    <row r="803">
      <c r="G803" s="1"/>
      <c r="H803" s="1"/>
      <c r="I803" s="1"/>
    </row>
    <row r="804">
      <c r="G804" s="1"/>
      <c r="H804" s="1"/>
      <c r="I804" s="1"/>
    </row>
    <row r="805">
      <c r="G805" s="1"/>
      <c r="H805" s="1"/>
      <c r="I805" s="1"/>
    </row>
    <row r="806">
      <c r="G806" s="1"/>
      <c r="H806" s="1"/>
      <c r="I806" s="1"/>
    </row>
    <row r="807">
      <c r="G807" s="1"/>
      <c r="H807" s="1"/>
      <c r="I807" s="1"/>
    </row>
    <row r="808">
      <c r="G808" s="1"/>
      <c r="H808" s="1"/>
      <c r="I808" s="1"/>
    </row>
    <row r="809">
      <c r="G809" s="1"/>
      <c r="H809" s="1"/>
      <c r="I809" s="1"/>
    </row>
    <row r="810">
      <c r="G810" s="1"/>
      <c r="H810" s="1"/>
      <c r="I810" s="1"/>
    </row>
    <row r="811">
      <c r="G811" s="1"/>
      <c r="H811" s="1"/>
      <c r="I811" s="1"/>
    </row>
    <row r="812">
      <c r="G812" s="1"/>
      <c r="H812" s="1"/>
      <c r="I812" s="1"/>
    </row>
    <row r="813">
      <c r="G813" s="1"/>
      <c r="H813" s="1"/>
      <c r="I813" s="1"/>
    </row>
    <row r="814">
      <c r="G814" s="1"/>
      <c r="H814" s="1"/>
      <c r="I814" s="1"/>
    </row>
    <row r="815">
      <c r="G815" s="1"/>
      <c r="H815" s="1"/>
      <c r="I815" s="1"/>
    </row>
    <row r="816">
      <c r="G816" s="1"/>
      <c r="H816" s="1"/>
      <c r="I816" s="1"/>
    </row>
    <row r="817">
      <c r="G817" s="1"/>
      <c r="H817" s="1"/>
      <c r="I817" s="1"/>
    </row>
    <row r="818">
      <c r="G818" s="1"/>
      <c r="H818" s="1"/>
      <c r="I818" s="1"/>
    </row>
    <row r="819">
      <c r="G819" s="1"/>
      <c r="H819" s="1"/>
      <c r="I819" s="1"/>
    </row>
    <row r="820">
      <c r="G820" s="1"/>
      <c r="H820" s="1"/>
      <c r="I820" s="1"/>
    </row>
    <row r="821">
      <c r="G821" s="1"/>
      <c r="H821" s="1"/>
      <c r="I821" s="1"/>
    </row>
    <row r="822">
      <c r="G822" s="1"/>
      <c r="H822" s="1"/>
      <c r="I822" s="1"/>
    </row>
    <row r="823">
      <c r="G823" s="1"/>
      <c r="H823" s="1"/>
      <c r="I823" s="1"/>
    </row>
    <row r="824">
      <c r="G824" s="1"/>
      <c r="H824" s="1"/>
      <c r="I824" s="1"/>
    </row>
    <row r="825">
      <c r="G825" s="1"/>
      <c r="H825" s="1"/>
      <c r="I825" s="1"/>
    </row>
    <row r="826">
      <c r="G826" s="1"/>
      <c r="H826" s="1"/>
      <c r="I826" s="1"/>
    </row>
    <row r="827">
      <c r="G827" s="1"/>
      <c r="H827" s="1"/>
      <c r="I827" s="1"/>
    </row>
    <row r="828">
      <c r="G828" s="1"/>
      <c r="H828" s="1"/>
      <c r="I828" s="1"/>
    </row>
    <row r="829">
      <c r="G829" s="1"/>
      <c r="H829" s="1"/>
      <c r="I829" s="1"/>
    </row>
    <row r="830">
      <c r="G830" s="1"/>
      <c r="H830" s="1"/>
      <c r="I830" s="1"/>
    </row>
    <row r="831">
      <c r="G831" s="1"/>
      <c r="H831" s="1"/>
      <c r="I831" s="1"/>
    </row>
    <row r="832">
      <c r="G832" s="1"/>
      <c r="H832" s="1"/>
      <c r="I832" s="1"/>
    </row>
    <row r="833">
      <c r="G833" s="1"/>
      <c r="H833" s="1"/>
      <c r="I833" s="1"/>
    </row>
    <row r="834">
      <c r="G834" s="1"/>
      <c r="H834" s="1"/>
      <c r="I834" s="1"/>
    </row>
    <row r="835">
      <c r="G835" s="1"/>
      <c r="H835" s="1"/>
      <c r="I835" s="1"/>
    </row>
    <row r="836">
      <c r="G836" s="1"/>
      <c r="H836" s="1"/>
      <c r="I836" s="1"/>
    </row>
    <row r="837">
      <c r="G837" s="1"/>
      <c r="H837" s="1"/>
      <c r="I837" s="1"/>
    </row>
    <row r="838">
      <c r="G838" s="1"/>
      <c r="H838" s="1"/>
      <c r="I838" s="1"/>
    </row>
    <row r="839">
      <c r="G839" s="1"/>
      <c r="H839" s="1"/>
      <c r="I839" s="1"/>
    </row>
    <row r="840">
      <c r="G840" s="1"/>
      <c r="H840" s="1"/>
      <c r="I840" s="1"/>
    </row>
    <row r="841">
      <c r="G841" s="1"/>
      <c r="H841" s="1"/>
      <c r="I841" s="1"/>
    </row>
    <row r="842">
      <c r="G842" s="1"/>
      <c r="H842" s="1"/>
      <c r="I842" s="1"/>
    </row>
    <row r="843">
      <c r="G843" s="1"/>
      <c r="H843" s="1"/>
      <c r="I843" s="1"/>
    </row>
    <row r="844">
      <c r="G844" s="1"/>
      <c r="H844" s="1"/>
      <c r="I844" s="1"/>
    </row>
    <row r="845">
      <c r="G845" s="1"/>
      <c r="H845" s="1"/>
      <c r="I845" s="1"/>
    </row>
    <row r="846">
      <c r="G846" s="1"/>
      <c r="H846" s="1"/>
      <c r="I846" s="1"/>
    </row>
    <row r="847">
      <c r="G847" s="1"/>
      <c r="H847" s="1"/>
      <c r="I847" s="1"/>
    </row>
    <row r="848">
      <c r="G848" s="1"/>
      <c r="H848" s="1"/>
      <c r="I848" s="1"/>
    </row>
    <row r="849">
      <c r="G849" s="1"/>
      <c r="H849" s="1"/>
      <c r="I849" s="1"/>
    </row>
    <row r="850">
      <c r="G850" s="1"/>
      <c r="H850" s="1"/>
      <c r="I850" s="1"/>
    </row>
    <row r="851">
      <c r="G851" s="1"/>
      <c r="H851" s="1"/>
      <c r="I851" s="1"/>
    </row>
    <row r="852">
      <c r="G852" s="1"/>
      <c r="H852" s="1"/>
      <c r="I852" s="1"/>
    </row>
    <row r="853">
      <c r="G853" s="1"/>
      <c r="H853" s="1"/>
      <c r="I853" s="1"/>
    </row>
    <row r="854">
      <c r="G854" s="1"/>
      <c r="H854" s="1"/>
      <c r="I854" s="1"/>
    </row>
    <row r="855">
      <c r="G855" s="1"/>
      <c r="H855" s="1"/>
      <c r="I855" s="1"/>
    </row>
    <row r="856">
      <c r="G856" s="1"/>
      <c r="H856" s="1"/>
      <c r="I856" s="1"/>
    </row>
    <row r="857">
      <c r="G857" s="1"/>
      <c r="H857" s="1"/>
      <c r="I857" s="1"/>
    </row>
    <row r="858">
      <c r="G858" s="1"/>
      <c r="H858" s="1"/>
      <c r="I858" s="1"/>
    </row>
    <row r="859">
      <c r="G859" s="1"/>
      <c r="H859" s="1"/>
      <c r="I859" s="1"/>
    </row>
    <row r="860">
      <c r="G860" s="1"/>
      <c r="H860" s="1"/>
      <c r="I860" s="1"/>
    </row>
    <row r="861">
      <c r="G861" s="1"/>
      <c r="H861" s="1"/>
      <c r="I861" s="1"/>
    </row>
    <row r="862">
      <c r="G862" s="1"/>
      <c r="H862" s="1"/>
      <c r="I862" s="1"/>
    </row>
    <row r="863">
      <c r="G863" s="1"/>
      <c r="H863" s="1"/>
      <c r="I863" s="1"/>
    </row>
    <row r="864">
      <c r="G864" s="1"/>
      <c r="H864" s="1"/>
      <c r="I864" s="1"/>
    </row>
    <row r="865">
      <c r="G865" s="1"/>
      <c r="H865" s="1"/>
      <c r="I865" s="1"/>
    </row>
    <row r="866">
      <c r="G866" s="1"/>
      <c r="H866" s="1"/>
      <c r="I866" s="1"/>
    </row>
    <row r="867">
      <c r="G867" s="1"/>
      <c r="H867" s="1"/>
      <c r="I867" s="1"/>
    </row>
    <row r="868">
      <c r="G868" s="1"/>
      <c r="H868" s="1"/>
      <c r="I868" s="1"/>
    </row>
    <row r="869">
      <c r="G869" s="1"/>
      <c r="H869" s="1"/>
      <c r="I869" s="1"/>
    </row>
    <row r="870">
      <c r="G870" s="1"/>
      <c r="H870" s="1"/>
      <c r="I870" s="1"/>
    </row>
    <row r="871">
      <c r="G871" s="1"/>
      <c r="H871" s="1"/>
      <c r="I871" s="1"/>
    </row>
    <row r="872">
      <c r="G872" s="1"/>
      <c r="H872" s="1"/>
      <c r="I872" s="1"/>
    </row>
    <row r="873">
      <c r="G873" s="1"/>
      <c r="H873" s="1"/>
      <c r="I873" s="1"/>
    </row>
    <row r="874">
      <c r="G874" s="1"/>
      <c r="H874" s="1"/>
      <c r="I874" s="1"/>
    </row>
    <row r="875">
      <c r="G875" s="1"/>
      <c r="H875" s="1"/>
      <c r="I875" s="1"/>
    </row>
    <row r="876">
      <c r="G876" s="1"/>
      <c r="H876" s="1"/>
      <c r="I876" s="1"/>
    </row>
    <row r="877">
      <c r="G877" s="1"/>
      <c r="H877" s="1"/>
      <c r="I877" s="1"/>
    </row>
    <row r="878">
      <c r="G878" s="1"/>
      <c r="H878" s="1"/>
      <c r="I878" s="1"/>
    </row>
    <row r="879">
      <c r="G879" s="1"/>
      <c r="H879" s="1"/>
      <c r="I879" s="1"/>
    </row>
    <row r="880">
      <c r="G880" s="1"/>
      <c r="H880" s="1"/>
      <c r="I880" s="1"/>
    </row>
    <row r="881">
      <c r="G881" s="1"/>
      <c r="H881" s="1"/>
      <c r="I881" s="1"/>
    </row>
    <row r="882">
      <c r="G882" s="1"/>
      <c r="H882" s="1"/>
      <c r="I882" s="1"/>
    </row>
    <row r="883">
      <c r="G883" s="1"/>
      <c r="H883" s="1"/>
      <c r="I883" s="1"/>
    </row>
    <row r="884">
      <c r="G884" s="1"/>
      <c r="H884" s="1"/>
      <c r="I884" s="1"/>
    </row>
    <row r="885">
      <c r="G885" s="1"/>
      <c r="H885" s="1"/>
      <c r="I885" s="1"/>
    </row>
    <row r="886">
      <c r="G886" s="1"/>
      <c r="H886" s="1"/>
      <c r="I886" s="1"/>
    </row>
    <row r="887">
      <c r="G887" s="1"/>
      <c r="H887" s="1"/>
      <c r="I887" s="1"/>
    </row>
    <row r="888">
      <c r="G888" s="1"/>
      <c r="H888" s="1"/>
      <c r="I888" s="1"/>
    </row>
    <row r="889">
      <c r="G889" s="1"/>
      <c r="H889" s="1"/>
      <c r="I889" s="1"/>
    </row>
    <row r="890">
      <c r="G890" s="1"/>
      <c r="H890" s="1"/>
      <c r="I890" s="1"/>
    </row>
    <row r="891">
      <c r="G891" s="1"/>
      <c r="H891" s="1"/>
      <c r="I891" s="1"/>
    </row>
    <row r="892">
      <c r="G892" s="1"/>
      <c r="H892" s="1"/>
      <c r="I892" s="1"/>
    </row>
    <row r="893">
      <c r="G893" s="1"/>
      <c r="H893" s="1"/>
      <c r="I893" s="1"/>
    </row>
    <row r="894">
      <c r="G894" s="1"/>
      <c r="H894" s="1"/>
      <c r="I894" s="1"/>
    </row>
    <row r="895">
      <c r="G895" s="1"/>
      <c r="H895" s="1"/>
      <c r="I895" s="1"/>
    </row>
    <row r="896">
      <c r="G896" s="1"/>
      <c r="H896" s="1"/>
      <c r="I896" s="1"/>
    </row>
    <row r="897">
      <c r="G897" s="1"/>
      <c r="H897" s="1"/>
      <c r="I897" s="1"/>
    </row>
    <row r="898">
      <c r="G898" s="1"/>
      <c r="H898" s="1"/>
      <c r="I898" s="1"/>
    </row>
    <row r="899">
      <c r="G899" s="1"/>
      <c r="H899" s="1"/>
      <c r="I899" s="1"/>
    </row>
    <row r="900">
      <c r="G900" s="1"/>
      <c r="H900" s="1"/>
      <c r="I900" s="1"/>
    </row>
    <row r="901">
      <c r="G901" s="1"/>
      <c r="H901" s="1"/>
      <c r="I901" s="1"/>
    </row>
    <row r="902">
      <c r="G902" s="1"/>
      <c r="H902" s="1"/>
      <c r="I902" s="1"/>
    </row>
    <row r="903">
      <c r="G903" s="1"/>
      <c r="H903" s="1"/>
      <c r="I903" s="1"/>
    </row>
    <row r="904">
      <c r="G904" s="1"/>
      <c r="H904" s="1"/>
      <c r="I904" s="1"/>
    </row>
    <row r="905">
      <c r="G905" s="1"/>
      <c r="H905" s="1"/>
      <c r="I905" s="1"/>
    </row>
    <row r="906">
      <c r="G906" s="1"/>
      <c r="H906" s="1"/>
      <c r="I906" s="1"/>
    </row>
    <row r="907">
      <c r="G907" s="1"/>
      <c r="H907" s="1"/>
      <c r="I907" s="1"/>
    </row>
    <row r="908">
      <c r="G908" s="1"/>
      <c r="H908" s="1"/>
      <c r="I908" s="1"/>
    </row>
    <row r="909">
      <c r="G909" s="1"/>
      <c r="H909" s="1"/>
      <c r="I909" s="1"/>
    </row>
    <row r="910">
      <c r="G910" s="1"/>
      <c r="H910" s="1"/>
      <c r="I910" s="1"/>
    </row>
    <row r="911">
      <c r="G911" s="1"/>
      <c r="H911" s="1"/>
      <c r="I911" s="1"/>
    </row>
    <row r="912">
      <c r="G912" s="1"/>
      <c r="H912" s="1"/>
      <c r="I912" s="1"/>
    </row>
    <row r="913">
      <c r="G913" s="1"/>
      <c r="H913" s="1"/>
      <c r="I913" s="1"/>
    </row>
    <row r="914">
      <c r="G914" s="1"/>
      <c r="H914" s="1"/>
      <c r="I914" s="1"/>
    </row>
    <row r="915">
      <c r="G915" s="1"/>
      <c r="H915" s="1"/>
      <c r="I915" s="1"/>
    </row>
    <row r="916">
      <c r="G916" s="1"/>
      <c r="H916" s="1"/>
      <c r="I916" s="1"/>
    </row>
    <row r="917">
      <c r="G917" s="1"/>
      <c r="H917" s="1"/>
      <c r="I917" s="1"/>
    </row>
    <row r="918">
      <c r="G918" s="1"/>
      <c r="H918" s="1"/>
      <c r="I918" s="1"/>
    </row>
    <row r="919">
      <c r="G919" s="1"/>
      <c r="H919" s="1"/>
      <c r="I919" s="1"/>
    </row>
    <row r="920">
      <c r="G920" s="1"/>
      <c r="H920" s="1"/>
      <c r="I920" s="1"/>
    </row>
    <row r="921">
      <c r="G921" s="1"/>
      <c r="H921" s="1"/>
      <c r="I921" s="1"/>
    </row>
    <row r="922">
      <c r="G922" s="1"/>
      <c r="H922" s="1"/>
      <c r="I922" s="1"/>
    </row>
    <row r="923">
      <c r="G923" s="1"/>
      <c r="H923" s="1"/>
      <c r="I923" s="1"/>
    </row>
    <row r="924">
      <c r="G924" s="1"/>
      <c r="H924" s="1"/>
      <c r="I924" s="1"/>
    </row>
    <row r="925">
      <c r="G925" s="1"/>
      <c r="H925" s="1"/>
      <c r="I925" s="1"/>
    </row>
    <row r="926">
      <c r="G926" s="1"/>
      <c r="H926" s="1"/>
      <c r="I926" s="1"/>
    </row>
    <row r="927">
      <c r="G927" s="1"/>
      <c r="H927" s="1"/>
      <c r="I927" s="1"/>
    </row>
    <row r="928">
      <c r="G928" s="1"/>
      <c r="H928" s="1"/>
      <c r="I928" s="1"/>
    </row>
    <row r="929">
      <c r="G929" s="1"/>
      <c r="H929" s="1"/>
      <c r="I929" s="1"/>
    </row>
    <row r="930">
      <c r="G930" s="1"/>
      <c r="H930" s="1"/>
      <c r="I930" s="1"/>
    </row>
    <row r="931">
      <c r="G931" s="1"/>
      <c r="H931" s="1"/>
      <c r="I931" s="1"/>
    </row>
    <row r="932">
      <c r="G932" s="1"/>
      <c r="H932" s="1"/>
      <c r="I932" s="1"/>
    </row>
    <row r="933">
      <c r="G933" s="1"/>
      <c r="H933" s="1"/>
      <c r="I933" s="1"/>
    </row>
    <row r="934">
      <c r="G934" s="1"/>
      <c r="H934" s="1"/>
      <c r="I934" s="1"/>
    </row>
    <row r="935">
      <c r="G935" s="1"/>
      <c r="H935" s="1"/>
      <c r="I935" s="1"/>
    </row>
    <row r="936">
      <c r="G936" s="1"/>
      <c r="H936" s="1"/>
      <c r="I936" s="1"/>
    </row>
    <row r="937">
      <c r="G937" s="1"/>
      <c r="H937" s="1"/>
      <c r="I937" s="1"/>
    </row>
    <row r="938">
      <c r="G938" s="1"/>
      <c r="H938" s="1"/>
      <c r="I938" s="1"/>
    </row>
    <row r="939">
      <c r="G939" s="1"/>
      <c r="H939" s="1"/>
      <c r="I939" s="1"/>
    </row>
    <row r="940">
      <c r="G940" s="1"/>
      <c r="H940" s="1"/>
      <c r="I940" s="1"/>
    </row>
    <row r="941">
      <c r="G941" s="1"/>
      <c r="H941" s="1"/>
      <c r="I941" s="1"/>
    </row>
    <row r="942">
      <c r="G942" s="1"/>
      <c r="H942" s="1"/>
      <c r="I942" s="1"/>
    </row>
    <row r="943">
      <c r="G943" s="1"/>
      <c r="H943" s="1"/>
      <c r="I943" s="1"/>
    </row>
    <row r="944">
      <c r="G944" s="1"/>
      <c r="H944" s="1"/>
      <c r="I944" s="1"/>
    </row>
    <row r="945">
      <c r="G945" s="1"/>
      <c r="H945" s="1"/>
      <c r="I945" s="1"/>
    </row>
    <row r="946">
      <c r="G946" s="1"/>
      <c r="H946" s="1"/>
      <c r="I946" s="1"/>
    </row>
    <row r="947">
      <c r="G947" s="1"/>
      <c r="H947" s="1"/>
      <c r="I947" s="1"/>
    </row>
    <row r="948">
      <c r="G948" s="1"/>
      <c r="H948" s="1"/>
      <c r="I948" s="1"/>
    </row>
    <row r="949">
      <c r="G949" s="1"/>
      <c r="H949" s="1"/>
      <c r="I949" s="1"/>
    </row>
    <row r="950">
      <c r="G950" s="1"/>
      <c r="H950" s="1"/>
      <c r="I950" s="1"/>
    </row>
    <row r="951">
      <c r="G951" s="1"/>
      <c r="H951" s="1"/>
      <c r="I951" s="1"/>
    </row>
    <row r="952">
      <c r="G952" s="1"/>
      <c r="H952" s="1"/>
      <c r="I952" s="1"/>
    </row>
    <row r="953">
      <c r="G953" s="1"/>
      <c r="H953" s="1"/>
      <c r="I953" s="1"/>
    </row>
    <row r="954">
      <c r="G954" s="1"/>
      <c r="H954" s="1"/>
      <c r="I954" s="1"/>
    </row>
    <row r="955">
      <c r="G955" s="1"/>
      <c r="H955" s="1"/>
      <c r="I955" s="1"/>
    </row>
    <row r="956">
      <c r="G956" s="1"/>
      <c r="H956" s="1"/>
      <c r="I956" s="1"/>
    </row>
    <row r="957">
      <c r="G957" s="1"/>
      <c r="H957" s="1"/>
      <c r="I957" s="1"/>
    </row>
    <row r="958">
      <c r="G958" s="1"/>
      <c r="H958" s="1"/>
      <c r="I958" s="1"/>
    </row>
    <row r="959">
      <c r="G959" s="1"/>
      <c r="H959" s="1"/>
      <c r="I959" s="1"/>
    </row>
    <row r="960">
      <c r="G960" s="1"/>
      <c r="H960" s="1"/>
      <c r="I960" s="1"/>
    </row>
    <row r="961">
      <c r="G961" s="1"/>
      <c r="H961" s="1"/>
      <c r="I961" s="1"/>
    </row>
    <row r="962">
      <c r="G962" s="1"/>
      <c r="H962" s="1"/>
      <c r="I962" s="1"/>
    </row>
    <row r="963">
      <c r="G963" s="1"/>
      <c r="H963" s="1"/>
      <c r="I963" s="1"/>
    </row>
    <row r="964">
      <c r="G964" s="1"/>
      <c r="H964" s="1"/>
      <c r="I964" s="1"/>
    </row>
    <row r="965">
      <c r="G965" s="1"/>
      <c r="H965" s="1"/>
      <c r="I965" s="1"/>
    </row>
    <row r="966">
      <c r="G966" s="1"/>
      <c r="H966" s="1"/>
      <c r="I966" s="1"/>
    </row>
    <row r="967">
      <c r="G967" s="1"/>
      <c r="H967" s="1"/>
      <c r="I967" s="1"/>
    </row>
    <row r="968">
      <c r="G968" s="1"/>
      <c r="H968" s="1"/>
      <c r="I968" s="1"/>
    </row>
    <row r="969">
      <c r="G969" s="1"/>
      <c r="H969" s="1"/>
      <c r="I969" s="1"/>
    </row>
    <row r="970">
      <c r="G970" s="1"/>
      <c r="H970" s="1"/>
      <c r="I970" s="1"/>
    </row>
    <row r="971">
      <c r="G971" s="1"/>
      <c r="H971" s="1"/>
      <c r="I971" s="1"/>
    </row>
    <row r="972">
      <c r="G972" s="1"/>
      <c r="H972" s="1"/>
      <c r="I972" s="1"/>
    </row>
    <row r="973">
      <c r="G973" s="1"/>
      <c r="H973" s="1"/>
      <c r="I973" s="1"/>
    </row>
    <row r="974">
      <c r="G974" s="1"/>
      <c r="H974" s="1"/>
      <c r="I974" s="1"/>
    </row>
    <row r="975">
      <c r="G975" s="1"/>
      <c r="H975" s="1"/>
      <c r="I975" s="1"/>
    </row>
    <row r="976">
      <c r="G976" s="1"/>
      <c r="H976" s="1"/>
      <c r="I976" s="1"/>
    </row>
    <row r="977">
      <c r="G977" s="1"/>
      <c r="H977" s="1"/>
      <c r="I977" s="1"/>
    </row>
    <row r="978">
      <c r="G978" s="1"/>
      <c r="H978" s="1"/>
      <c r="I978" s="1"/>
    </row>
    <row r="979">
      <c r="G979" s="1"/>
      <c r="H979" s="1"/>
      <c r="I979" s="1"/>
    </row>
    <row r="980">
      <c r="G980" s="1"/>
      <c r="H980" s="1"/>
      <c r="I980" s="1"/>
    </row>
    <row r="981">
      <c r="G981" s="1"/>
      <c r="H981" s="1"/>
      <c r="I981" s="1"/>
    </row>
    <row r="982">
      <c r="G982" s="1"/>
      <c r="H982" s="1"/>
      <c r="I982" s="1"/>
    </row>
    <row r="983">
      <c r="G983" s="1"/>
      <c r="H983" s="1"/>
      <c r="I983" s="1"/>
    </row>
    <row r="984">
      <c r="G984" s="1"/>
      <c r="H984" s="1"/>
      <c r="I984" s="1"/>
    </row>
    <row r="985">
      <c r="G985" s="1"/>
      <c r="H985" s="1"/>
      <c r="I985" s="1"/>
    </row>
    <row r="986">
      <c r="G986" s="1"/>
      <c r="H986" s="1"/>
      <c r="I986" s="1"/>
    </row>
    <row r="987">
      <c r="G987" s="1"/>
      <c r="H987" s="1"/>
      <c r="I987" s="1"/>
    </row>
    <row r="988">
      <c r="G988" s="1"/>
      <c r="H988" s="1"/>
      <c r="I988" s="1"/>
    </row>
    <row r="989">
      <c r="G989" s="1"/>
      <c r="H989" s="1"/>
      <c r="I989" s="1"/>
    </row>
    <row r="990">
      <c r="G990" s="1"/>
      <c r="H990" s="1"/>
      <c r="I990" s="1"/>
    </row>
    <row r="991">
      <c r="G991" s="1"/>
      <c r="H991" s="1"/>
      <c r="I991" s="1"/>
    </row>
    <row r="992">
      <c r="G992" s="1"/>
      <c r="H992" s="1"/>
      <c r="I992" s="1"/>
    </row>
    <row r="993">
      <c r="G993" s="1"/>
      <c r="H993" s="1"/>
      <c r="I993" s="1"/>
    </row>
    <row r="994">
      <c r="G994" s="1"/>
      <c r="H994" s="1"/>
      <c r="I994" s="1"/>
    </row>
    <row r="995">
      <c r="G995" s="1"/>
      <c r="H995" s="1"/>
      <c r="I995" s="1"/>
    </row>
    <row r="996">
      <c r="G996" s="1"/>
      <c r="H996" s="1"/>
      <c r="I996" s="1"/>
    </row>
    <row r="997">
      <c r="G997" s="1"/>
      <c r="H997" s="1"/>
      <c r="I997" s="1"/>
    </row>
    <row r="998">
      <c r="G998" s="1"/>
      <c r="H998" s="1"/>
      <c r="I998" s="1"/>
    </row>
    <row r="999">
      <c r="G999" s="1"/>
      <c r="H999" s="1"/>
      <c r="I999" s="1"/>
    </row>
    <row r="1000">
      <c r="G1000" s="1"/>
      <c r="H1000" s="1"/>
      <c r="I1000" s="1"/>
    </row>
    <row r="1001">
      <c r="G1001" s="1"/>
      <c r="H1001" s="1"/>
      <c r="I1001" s="1"/>
    </row>
    <row r="1002">
      <c r="G1002" s="1"/>
      <c r="H1002" s="1"/>
      <c r="I1002" s="1"/>
    </row>
  </sheetData>
  <conditionalFormatting sqref="C3:C4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4.25"/>
    <col customWidth="1" min="10" max="10" width="16.88"/>
    <col customWidth="1" min="17" max="17" width="16.88"/>
  </cols>
  <sheetData>
    <row r="1">
      <c r="A1" s="5"/>
      <c r="B1" s="5"/>
      <c r="C1" s="5"/>
      <c r="D1" s="5"/>
      <c r="E1" s="5"/>
      <c r="F1" s="46" t="s">
        <v>140</v>
      </c>
      <c r="G1" s="47"/>
      <c r="H1" s="48"/>
      <c r="I1" s="46" t="s">
        <v>141</v>
      </c>
      <c r="J1" s="48"/>
      <c r="Q1" s="5" t="s">
        <v>142</v>
      </c>
      <c r="R1" s="5">
        <v>3.0</v>
      </c>
    </row>
    <row r="2">
      <c r="A2" s="49" t="s">
        <v>0</v>
      </c>
      <c r="B2" s="49" t="s">
        <v>1</v>
      </c>
      <c r="C2" s="50" t="s">
        <v>143</v>
      </c>
      <c r="D2" s="50" t="s">
        <v>9</v>
      </c>
      <c r="E2" s="51" t="s">
        <v>67</v>
      </c>
      <c r="F2" s="52" t="s">
        <v>144</v>
      </c>
      <c r="G2" s="49" t="s">
        <v>145</v>
      </c>
      <c r="H2" s="53" t="s">
        <v>146</v>
      </c>
      <c r="I2" s="52" t="s">
        <v>147</v>
      </c>
      <c r="J2" s="54" t="s">
        <v>148</v>
      </c>
      <c r="Q2" s="5" t="s">
        <v>149</v>
      </c>
      <c r="R2" s="5">
        <v>3.0</v>
      </c>
    </row>
    <row r="3">
      <c r="A3" s="55" t="s">
        <v>17</v>
      </c>
      <c r="B3" s="56" t="s">
        <v>18</v>
      </c>
      <c r="C3" s="57">
        <f t="shared" ref="C3:C4" si="1">(F3*$R$5)-(G3*$R$6)</f>
        <v>3.2</v>
      </c>
      <c r="D3" s="57">
        <f t="shared" ref="D3:D42" si="2">H3*$R$7</f>
        <v>0.4</v>
      </c>
      <c r="E3" s="58">
        <f t="shared" ref="E3:E42" si="3">IF(SUM(C3:D3)&gt;$R$4,$R$4,IF(SUM(C3:D3)&lt;$R$3,$R$3,ROUND(((F3*$R$5)-(G3*$R$6))+(H3*$R$7),0)))</f>
        <v>4</v>
      </c>
      <c r="F3" s="59">
        <v>5.0</v>
      </c>
      <c r="G3" s="60">
        <v>3.0</v>
      </c>
      <c r="H3" s="61">
        <v>1.0</v>
      </c>
      <c r="I3" s="59">
        <v>1.0</v>
      </c>
      <c r="J3" s="63">
        <f t="shared" ref="J3:J42" si="4">IF(E3+I3&gt;$R$4,$R$4,IF(E3+I3&lt;$R$3,$R$3,E3+I3))</f>
        <v>5</v>
      </c>
      <c r="Q3" s="5" t="s">
        <v>150</v>
      </c>
      <c r="R3" s="5">
        <v>1.0</v>
      </c>
    </row>
    <row r="4">
      <c r="A4" s="64" t="s">
        <v>32</v>
      </c>
      <c r="B4" s="65" t="s">
        <v>33</v>
      </c>
      <c r="C4" s="39">
        <f t="shared" si="1"/>
        <v>-0.3</v>
      </c>
      <c r="D4" s="39">
        <f t="shared" si="2"/>
        <v>0</v>
      </c>
      <c r="E4" s="66">
        <f t="shared" si="3"/>
        <v>1</v>
      </c>
      <c r="F4" s="67">
        <v>1.0</v>
      </c>
      <c r="G4" s="7">
        <v>10.0</v>
      </c>
      <c r="H4" s="68">
        <v>0.0</v>
      </c>
      <c r="I4" s="67">
        <v>1.0</v>
      </c>
      <c r="J4" s="63">
        <f t="shared" si="4"/>
        <v>2</v>
      </c>
      <c r="Q4" s="5" t="s">
        <v>151</v>
      </c>
      <c r="R4" s="5">
        <v>5.0</v>
      </c>
    </row>
    <row r="5">
      <c r="A5" s="64" t="s">
        <v>27</v>
      </c>
      <c r="B5" s="65" t="s">
        <v>28</v>
      </c>
      <c r="C5" s="39">
        <v>1.9</v>
      </c>
      <c r="D5" s="39">
        <f t="shared" si="2"/>
        <v>0.8</v>
      </c>
      <c r="E5" s="66">
        <f t="shared" si="3"/>
        <v>1</v>
      </c>
      <c r="F5" s="67">
        <v>0.0</v>
      </c>
      <c r="G5" s="7">
        <v>1.0</v>
      </c>
      <c r="H5" s="68">
        <v>2.0</v>
      </c>
      <c r="I5" s="67">
        <v>2.0</v>
      </c>
      <c r="J5" s="63">
        <f t="shared" si="4"/>
        <v>3</v>
      </c>
      <c r="Q5" s="49" t="s">
        <v>152</v>
      </c>
      <c r="R5" s="69">
        <v>0.7</v>
      </c>
    </row>
    <row r="6">
      <c r="A6" s="64" t="s">
        <v>47</v>
      </c>
      <c r="B6" s="65" t="s">
        <v>48</v>
      </c>
      <c r="C6" s="39">
        <f t="shared" ref="C6:C42" si="5">(F6*$R$5)-(G6*$R$6)</f>
        <v>-0.8</v>
      </c>
      <c r="D6" s="39">
        <f t="shared" si="2"/>
        <v>1.6</v>
      </c>
      <c r="E6" s="66">
        <f t="shared" si="3"/>
        <v>1</v>
      </c>
      <c r="F6" s="67">
        <v>1.0</v>
      </c>
      <c r="G6" s="7">
        <v>15.0</v>
      </c>
      <c r="H6" s="68">
        <v>4.0</v>
      </c>
      <c r="I6" s="67">
        <v>4.0</v>
      </c>
      <c r="J6" s="63">
        <f t="shared" si="4"/>
        <v>5</v>
      </c>
      <c r="Q6" s="49" t="s">
        <v>153</v>
      </c>
      <c r="R6" s="69">
        <v>0.1</v>
      </c>
    </row>
    <row r="7">
      <c r="A7" s="64" t="s">
        <v>22</v>
      </c>
      <c r="B7" s="65" t="s">
        <v>23</v>
      </c>
      <c r="C7" s="39">
        <f t="shared" si="5"/>
        <v>0.1</v>
      </c>
      <c r="D7" s="39">
        <f t="shared" si="2"/>
        <v>0</v>
      </c>
      <c r="E7" s="66">
        <f t="shared" si="3"/>
        <v>1</v>
      </c>
      <c r="F7" s="67">
        <v>1.0</v>
      </c>
      <c r="G7" s="7">
        <v>6.0</v>
      </c>
      <c r="H7" s="68">
        <v>0.0</v>
      </c>
      <c r="I7" s="67">
        <v>1.0</v>
      </c>
      <c r="J7" s="63">
        <f t="shared" si="4"/>
        <v>2</v>
      </c>
      <c r="Q7" s="49" t="s">
        <v>154</v>
      </c>
      <c r="R7" s="69">
        <v>0.4</v>
      </c>
    </row>
    <row r="8">
      <c r="A8" s="64" t="s">
        <v>35</v>
      </c>
      <c r="B8" s="65" t="s">
        <v>43</v>
      </c>
      <c r="C8" s="39">
        <f t="shared" si="5"/>
        <v>3.9</v>
      </c>
      <c r="D8" s="39">
        <f t="shared" si="2"/>
        <v>0</v>
      </c>
      <c r="E8" s="66">
        <f t="shared" si="3"/>
        <v>4</v>
      </c>
      <c r="F8" s="67">
        <v>6.0</v>
      </c>
      <c r="G8" s="7">
        <v>3.0</v>
      </c>
      <c r="H8" s="68">
        <v>0.0</v>
      </c>
      <c r="I8" s="67">
        <v>2.0</v>
      </c>
      <c r="J8" s="63">
        <f t="shared" si="4"/>
        <v>5</v>
      </c>
    </row>
    <row r="9">
      <c r="A9" s="64" t="s">
        <v>12</v>
      </c>
      <c r="B9" s="65" t="s">
        <v>13</v>
      </c>
      <c r="C9" s="39">
        <f t="shared" si="5"/>
        <v>-0.5</v>
      </c>
      <c r="D9" s="39">
        <f t="shared" si="2"/>
        <v>2</v>
      </c>
      <c r="E9" s="66">
        <f t="shared" si="3"/>
        <v>2</v>
      </c>
      <c r="F9" s="67">
        <v>0.0</v>
      </c>
      <c r="G9" s="7">
        <v>5.0</v>
      </c>
      <c r="H9" s="68">
        <v>5.0</v>
      </c>
      <c r="I9" s="67">
        <v>3.0</v>
      </c>
      <c r="J9" s="63">
        <f t="shared" si="4"/>
        <v>5</v>
      </c>
    </row>
    <row r="10">
      <c r="A10" s="64" t="s">
        <v>111</v>
      </c>
      <c r="B10" s="65"/>
      <c r="C10" s="39">
        <f t="shared" si="5"/>
        <v>2</v>
      </c>
      <c r="D10" s="39">
        <f t="shared" si="2"/>
        <v>0.4</v>
      </c>
      <c r="E10" s="66">
        <f t="shared" si="3"/>
        <v>2</v>
      </c>
      <c r="F10" s="67">
        <v>3.0</v>
      </c>
      <c r="G10" s="7">
        <v>1.0</v>
      </c>
      <c r="H10" s="68">
        <v>1.0</v>
      </c>
      <c r="I10" s="67">
        <v>4.0</v>
      </c>
      <c r="J10" s="63">
        <f t="shared" si="4"/>
        <v>5</v>
      </c>
    </row>
    <row r="11">
      <c r="A11" s="64" t="s">
        <v>63</v>
      </c>
      <c r="B11" s="65" t="s">
        <v>155</v>
      </c>
      <c r="C11" s="39">
        <f t="shared" si="5"/>
        <v>0.6</v>
      </c>
      <c r="D11" s="39">
        <f t="shared" si="2"/>
        <v>0.4</v>
      </c>
      <c r="E11" s="66">
        <f t="shared" si="3"/>
        <v>1</v>
      </c>
      <c r="F11" s="67">
        <v>1.0</v>
      </c>
      <c r="G11" s="7">
        <v>1.0</v>
      </c>
      <c r="H11" s="68">
        <v>1.0</v>
      </c>
      <c r="I11" s="67">
        <v>3.0</v>
      </c>
      <c r="J11" s="63">
        <f t="shared" si="4"/>
        <v>4</v>
      </c>
    </row>
    <row r="12">
      <c r="A12" s="64" t="s">
        <v>59</v>
      </c>
      <c r="B12" s="65" t="s">
        <v>60</v>
      </c>
      <c r="C12" s="39">
        <f t="shared" si="5"/>
        <v>0.7</v>
      </c>
      <c r="D12" s="39">
        <f t="shared" si="2"/>
        <v>0.4</v>
      </c>
      <c r="E12" s="66">
        <f t="shared" si="3"/>
        <v>1</v>
      </c>
      <c r="F12" s="67">
        <v>1.0</v>
      </c>
      <c r="G12" s="7">
        <v>0.0</v>
      </c>
      <c r="H12" s="68">
        <v>1.0</v>
      </c>
      <c r="I12" s="67">
        <v>3.0</v>
      </c>
      <c r="J12" s="63">
        <f t="shared" si="4"/>
        <v>4</v>
      </c>
    </row>
    <row r="13">
      <c r="A13" s="64" t="s">
        <v>101</v>
      </c>
      <c r="B13" s="65"/>
      <c r="C13" s="39">
        <f t="shared" si="5"/>
        <v>2.1</v>
      </c>
      <c r="D13" s="39">
        <f t="shared" si="2"/>
        <v>1.2</v>
      </c>
      <c r="E13" s="66">
        <f t="shared" si="3"/>
        <v>3</v>
      </c>
      <c r="F13" s="67">
        <v>3.0</v>
      </c>
      <c r="G13" s="7">
        <v>0.0</v>
      </c>
      <c r="H13" s="68">
        <v>3.0</v>
      </c>
      <c r="I13" s="67">
        <v>5.0</v>
      </c>
      <c r="J13" s="63">
        <f t="shared" si="4"/>
        <v>5</v>
      </c>
    </row>
    <row r="14">
      <c r="A14" s="64" t="s">
        <v>26</v>
      </c>
      <c r="B14" s="65" t="s">
        <v>85</v>
      </c>
      <c r="C14" s="39">
        <f t="shared" si="5"/>
        <v>2.6</v>
      </c>
      <c r="D14" s="39">
        <f t="shared" si="2"/>
        <v>2.8</v>
      </c>
      <c r="E14" s="66">
        <f t="shared" si="3"/>
        <v>5</v>
      </c>
      <c r="F14" s="67">
        <v>4.0</v>
      </c>
      <c r="G14" s="7">
        <v>2.0</v>
      </c>
      <c r="H14" s="68">
        <v>7.0</v>
      </c>
      <c r="I14" s="67">
        <v>8.0</v>
      </c>
      <c r="J14" s="63">
        <f t="shared" si="4"/>
        <v>5</v>
      </c>
    </row>
    <row r="15">
      <c r="A15" s="64" t="s">
        <v>31</v>
      </c>
      <c r="B15" s="65" t="s">
        <v>40</v>
      </c>
      <c r="C15" s="39">
        <f t="shared" si="5"/>
        <v>2.8</v>
      </c>
      <c r="D15" s="39">
        <f t="shared" si="2"/>
        <v>2.8</v>
      </c>
      <c r="E15" s="66">
        <f t="shared" si="3"/>
        <v>5</v>
      </c>
      <c r="F15" s="67">
        <v>4.0</v>
      </c>
      <c r="G15" s="7">
        <v>0.0</v>
      </c>
      <c r="H15" s="68">
        <v>7.0</v>
      </c>
      <c r="I15" s="67">
        <v>4.0</v>
      </c>
      <c r="J15" s="63">
        <f t="shared" si="4"/>
        <v>5</v>
      </c>
    </row>
    <row r="16">
      <c r="A16" s="64" t="s">
        <v>117</v>
      </c>
      <c r="B16" s="65"/>
      <c r="C16" s="39">
        <f t="shared" si="5"/>
        <v>2.8</v>
      </c>
      <c r="D16" s="39">
        <f t="shared" si="2"/>
        <v>1.2</v>
      </c>
      <c r="E16" s="66">
        <f t="shared" si="3"/>
        <v>4</v>
      </c>
      <c r="F16" s="67">
        <v>4.0</v>
      </c>
      <c r="G16" s="7">
        <v>0.0</v>
      </c>
      <c r="H16" s="68">
        <v>3.0</v>
      </c>
      <c r="I16" s="67">
        <v>3.0</v>
      </c>
      <c r="J16" s="63">
        <f t="shared" si="4"/>
        <v>5</v>
      </c>
    </row>
    <row r="17">
      <c r="A17" s="64" t="s">
        <v>21</v>
      </c>
      <c r="B17" s="65" t="s">
        <v>75</v>
      </c>
      <c r="C17" s="39">
        <f t="shared" si="5"/>
        <v>2</v>
      </c>
      <c r="D17" s="39">
        <f t="shared" si="2"/>
        <v>1.2</v>
      </c>
      <c r="E17" s="66">
        <f t="shared" si="3"/>
        <v>3</v>
      </c>
      <c r="F17" s="67">
        <v>3.0</v>
      </c>
      <c r="G17" s="7">
        <v>1.0</v>
      </c>
      <c r="H17" s="68">
        <v>3.0</v>
      </c>
      <c r="I17" s="67">
        <v>4.0</v>
      </c>
      <c r="J17" s="63">
        <f t="shared" si="4"/>
        <v>5</v>
      </c>
    </row>
    <row r="18">
      <c r="A18" s="64" t="s">
        <v>106</v>
      </c>
      <c r="B18" s="65" t="s">
        <v>107</v>
      </c>
      <c r="C18" s="39">
        <f t="shared" si="5"/>
        <v>0</v>
      </c>
      <c r="D18" s="39">
        <f t="shared" si="2"/>
        <v>0</v>
      </c>
      <c r="E18" s="66">
        <f t="shared" si="3"/>
        <v>1</v>
      </c>
      <c r="F18" s="67">
        <v>0.0</v>
      </c>
      <c r="G18" s="7">
        <v>0.0</v>
      </c>
      <c r="H18" s="68">
        <v>0.0</v>
      </c>
      <c r="I18" s="67">
        <v>2.0</v>
      </c>
      <c r="J18" s="63">
        <f t="shared" si="4"/>
        <v>3</v>
      </c>
    </row>
    <row r="19">
      <c r="A19" s="64" t="s">
        <v>56</v>
      </c>
      <c r="B19" s="65" t="s">
        <v>57</v>
      </c>
      <c r="C19" s="39">
        <f t="shared" si="5"/>
        <v>0</v>
      </c>
      <c r="D19" s="39">
        <f t="shared" si="2"/>
        <v>0</v>
      </c>
      <c r="E19" s="66">
        <f t="shared" si="3"/>
        <v>1</v>
      </c>
      <c r="F19" s="67">
        <v>0.0</v>
      </c>
      <c r="G19" s="7">
        <v>0.0</v>
      </c>
      <c r="H19" s="68">
        <v>0.0</v>
      </c>
      <c r="I19" s="67">
        <v>2.0</v>
      </c>
      <c r="J19" s="63">
        <f t="shared" si="4"/>
        <v>3</v>
      </c>
    </row>
    <row r="20">
      <c r="A20" s="64" t="s">
        <v>77</v>
      </c>
      <c r="B20" s="65"/>
      <c r="C20" s="39">
        <f t="shared" si="5"/>
        <v>0</v>
      </c>
      <c r="D20" s="39">
        <f t="shared" si="2"/>
        <v>0</v>
      </c>
      <c r="E20" s="66">
        <f t="shared" si="3"/>
        <v>1</v>
      </c>
      <c r="F20" s="67">
        <v>0.0</v>
      </c>
      <c r="G20" s="7">
        <v>0.0</v>
      </c>
      <c r="H20" s="68">
        <v>0.0</v>
      </c>
      <c r="I20" s="67">
        <v>5.0</v>
      </c>
      <c r="J20" s="63">
        <f t="shared" si="4"/>
        <v>5</v>
      </c>
    </row>
    <row r="21">
      <c r="A21" s="64" t="s">
        <v>55</v>
      </c>
      <c r="B21" s="65" t="s">
        <v>69</v>
      </c>
      <c r="C21" s="39">
        <f t="shared" si="5"/>
        <v>0</v>
      </c>
      <c r="D21" s="39">
        <f t="shared" si="2"/>
        <v>0</v>
      </c>
      <c r="E21" s="66">
        <f t="shared" si="3"/>
        <v>1</v>
      </c>
      <c r="F21" s="67">
        <v>0.0</v>
      </c>
      <c r="G21" s="7">
        <v>0.0</v>
      </c>
      <c r="H21" s="68">
        <v>0.0</v>
      </c>
      <c r="I21" s="67">
        <v>5.0</v>
      </c>
      <c r="J21" s="63">
        <f t="shared" si="4"/>
        <v>5</v>
      </c>
    </row>
    <row r="22">
      <c r="A22" s="64" t="s">
        <v>121</v>
      </c>
      <c r="B22" s="65"/>
      <c r="C22" s="39">
        <f t="shared" si="5"/>
        <v>0</v>
      </c>
      <c r="D22" s="39">
        <f t="shared" si="2"/>
        <v>0</v>
      </c>
      <c r="E22" s="66">
        <f t="shared" si="3"/>
        <v>1</v>
      </c>
      <c r="F22" s="67">
        <v>0.0</v>
      </c>
      <c r="G22" s="7">
        <v>0.0</v>
      </c>
      <c r="H22" s="68">
        <v>0.0</v>
      </c>
      <c r="I22" s="67">
        <v>3.0</v>
      </c>
      <c r="J22" s="63">
        <f t="shared" si="4"/>
        <v>4</v>
      </c>
    </row>
    <row r="23">
      <c r="A23" s="64" t="s">
        <v>36</v>
      </c>
      <c r="B23" s="65" t="s">
        <v>37</v>
      </c>
      <c r="C23" s="39">
        <f t="shared" si="5"/>
        <v>0</v>
      </c>
      <c r="D23" s="39">
        <f t="shared" si="2"/>
        <v>0</v>
      </c>
      <c r="E23" s="66">
        <f t="shared" si="3"/>
        <v>1</v>
      </c>
      <c r="F23" s="67">
        <v>0.0</v>
      </c>
      <c r="G23" s="7">
        <v>0.0</v>
      </c>
      <c r="H23" s="68">
        <v>0.0</v>
      </c>
      <c r="I23" s="67">
        <v>4.0</v>
      </c>
      <c r="J23" s="63">
        <f t="shared" si="4"/>
        <v>5</v>
      </c>
    </row>
    <row r="24">
      <c r="A24" s="64" t="s">
        <v>88</v>
      </c>
      <c r="B24" s="65"/>
      <c r="C24" s="39">
        <f t="shared" si="5"/>
        <v>0</v>
      </c>
      <c r="D24" s="39">
        <f t="shared" si="2"/>
        <v>0</v>
      </c>
      <c r="E24" s="66">
        <f t="shared" si="3"/>
        <v>1</v>
      </c>
      <c r="F24" s="67">
        <v>0.0</v>
      </c>
      <c r="G24" s="7">
        <v>0.0</v>
      </c>
      <c r="H24" s="68">
        <v>0.0</v>
      </c>
      <c r="I24" s="67">
        <v>3.0</v>
      </c>
      <c r="J24" s="63">
        <f t="shared" si="4"/>
        <v>4</v>
      </c>
    </row>
    <row r="25">
      <c r="A25" s="64" t="s">
        <v>109</v>
      </c>
      <c r="B25" s="65"/>
      <c r="C25" s="39">
        <f t="shared" si="5"/>
        <v>0</v>
      </c>
      <c r="D25" s="39">
        <f t="shared" si="2"/>
        <v>0</v>
      </c>
      <c r="E25" s="66">
        <f t="shared" si="3"/>
        <v>1</v>
      </c>
      <c r="F25" s="67">
        <v>0.0</v>
      </c>
      <c r="G25" s="7">
        <v>0.0</v>
      </c>
      <c r="H25" s="68">
        <v>0.0</v>
      </c>
      <c r="I25" s="67">
        <v>3.0</v>
      </c>
      <c r="J25" s="63">
        <f t="shared" si="4"/>
        <v>4</v>
      </c>
    </row>
    <row r="26">
      <c r="A26" s="64" t="s">
        <v>49</v>
      </c>
      <c r="B26" s="65" t="s">
        <v>50</v>
      </c>
      <c r="C26" s="39">
        <f t="shared" si="5"/>
        <v>0.6</v>
      </c>
      <c r="D26" s="39">
        <f t="shared" si="2"/>
        <v>0.8</v>
      </c>
      <c r="E26" s="66">
        <f t="shared" si="3"/>
        <v>1</v>
      </c>
      <c r="F26" s="67">
        <v>1.0</v>
      </c>
      <c r="G26" s="7">
        <v>1.0</v>
      </c>
      <c r="H26" s="68">
        <v>2.0</v>
      </c>
      <c r="I26" s="67">
        <v>3.0</v>
      </c>
      <c r="J26" s="63">
        <f t="shared" si="4"/>
        <v>4</v>
      </c>
    </row>
    <row r="27">
      <c r="A27" s="64" t="s">
        <v>52</v>
      </c>
      <c r="B27" s="65" t="s">
        <v>53</v>
      </c>
      <c r="C27" s="39">
        <f t="shared" si="5"/>
        <v>0</v>
      </c>
      <c r="D27" s="39">
        <f t="shared" si="2"/>
        <v>0</v>
      </c>
      <c r="E27" s="66">
        <f t="shared" si="3"/>
        <v>1</v>
      </c>
      <c r="F27" s="67">
        <v>0.0</v>
      </c>
      <c r="G27" s="7">
        <v>0.0</v>
      </c>
      <c r="H27" s="68">
        <v>0.0</v>
      </c>
      <c r="I27" s="67">
        <v>3.0</v>
      </c>
      <c r="J27" s="63">
        <f t="shared" si="4"/>
        <v>4</v>
      </c>
    </row>
    <row r="28">
      <c r="A28" s="64" t="s">
        <v>82</v>
      </c>
      <c r="B28" s="65" t="s">
        <v>83</v>
      </c>
      <c r="C28" s="39">
        <f t="shared" si="5"/>
        <v>0</v>
      </c>
      <c r="D28" s="39">
        <f t="shared" si="2"/>
        <v>0</v>
      </c>
      <c r="E28" s="66">
        <f t="shared" si="3"/>
        <v>1</v>
      </c>
      <c r="F28" s="67">
        <v>0.0</v>
      </c>
      <c r="G28" s="7">
        <v>0.0</v>
      </c>
      <c r="H28" s="68">
        <v>0.0</v>
      </c>
      <c r="I28" s="67">
        <v>3.0</v>
      </c>
      <c r="J28" s="63">
        <f t="shared" si="4"/>
        <v>4</v>
      </c>
    </row>
    <row r="29">
      <c r="A29" s="64" t="s">
        <v>80</v>
      </c>
      <c r="B29" s="65" t="s">
        <v>81</v>
      </c>
      <c r="C29" s="39">
        <f t="shared" si="5"/>
        <v>0</v>
      </c>
      <c r="D29" s="39">
        <f t="shared" si="2"/>
        <v>0.4</v>
      </c>
      <c r="E29" s="66">
        <f t="shared" si="3"/>
        <v>1</v>
      </c>
      <c r="F29" s="67">
        <v>0.0</v>
      </c>
      <c r="G29" s="7">
        <v>0.0</v>
      </c>
      <c r="H29" s="68">
        <v>1.0</v>
      </c>
      <c r="I29" s="67">
        <v>3.0</v>
      </c>
      <c r="J29" s="63">
        <f t="shared" si="4"/>
        <v>4</v>
      </c>
    </row>
    <row r="30">
      <c r="A30" s="64" t="s">
        <v>91</v>
      </c>
      <c r="B30" s="65" t="s">
        <v>92</v>
      </c>
      <c r="C30" s="39">
        <f t="shared" si="5"/>
        <v>0</v>
      </c>
      <c r="D30" s="39">
        <f t="shared" si="2"/>
        <v>0</v>
      </c>
      <c r="E30" s="66">
        <f t="shared" si="3"/>
        <v>1</v>
      </c>
      <c r="F30" s="67">
        <v>0.0</v>
      </c>
      <c r="G30" s="7">
        <v>0.0</v>
      </c>
      <c r="H30" s="68">
        <v>0.0</v>
      </c>
      <c r="I30" s="67">
        <v>3.0</v>
      </c>
      <c r="J30" s="63">
        <f t="shared" si="4"/>
        <v>4</v>
      </c>
    </row>
    <row r="31">
      <c r="A31" s="64" t="s">
        <v>94</v>
      </c>
      <c r="B31" s="65"/>
      <c r="C31" s="39">
        <f t="shared" si="5"/>
        <v>0</v>
      </c>
      <c r="D31" s="39">
        <f t="shared" si="2"/>
        <v>0</v>
      </c>
      <c r="E31" s="66">
        <f t="shared" si="3"/>
        <v>1</v>
      </c>
      <c r="F31" s="67">
        <v>0.0</v>
      </c>
      <c r="G31" s="7">
        <v>0.0</v>
      </c>
      <c r="H31" s="68">
        <v>0.0</v>
      </c>
      <c r="I31" s="67">
        <v>3.0</v>
      </c>
      <c r="J31" s="63">
        <f t="shared" si="4"/>
        <v>4</v>
      </c>
    </row>
    <row r="32">
      <c r="A32" s="64" t="s">
        <v>97</v>
      </c>
      <c r="B32" s="65" t="s">
        <v>98</v>
      </c>
      <c r="C32" s="39">
        <f t="shared" si="5"/>
        <v>0</v>
      </c>
      <c r="D32" s="39">
        <f t="shared" si="2"/>
        <v>0</v>
      </c>
      <c r="E32" s="66">
        <f t="shared" si="3"/>
        <v>1</v>
      </c>
      <c r="F32" s="67">
        <v>0.0</v>
      </c>
      <c r="G32" s="7">
        <v>0.0</v>
      </c>
      <c r="H32" s="68">
        <v>0.0</v>
      </c>
      <c r="I32" s="67">
        <v>3.0</v>
      </c>
      <c r="J32" s="63">
        <f t="shared" si="4"/>
        <v>4</v>
      </c>
    </row>
    <row r="33">
      <c r="A33" s="64" t="s">
        <v>99</v>
      </c>
      <c r="B33" s="65"/>
      <c r="C33" s="39">
        <f t="shared" si="5"/>
        <v>0</v>
      </c>
      <c r="D33" s="39">
        <f t="shared" si="2"/>
        <v>0</v>
      </c>
      <c r="E33" s="66">
        <f t="shared" si="3"/>
        <v>1</v>
      </c>
      <c r="F33" s="67">
        <v>0.0</v>
      </c>
      <c r="G33" s="7">
        <v>0.0</v>
      </c>
      <c r="H33" s="68">
        <v>0.0</v>
      </c>
      <c r="I33" s="67">
        <v>3.0</v>
      </c>
      <c r="J33" s="63">
        <f t="shared" si="4"/>
        <v>4</v>
      </c>
    </row>
    <row r="34">
      <c r="A34" s="64" t="s">
        <v>113</v>
      </c>
      <c r="B34" s="65" t="s">
        <v>114</v>
      </c>
      <c r="C34" s="39">
        <f t="shared" si="5"/>
        <v>0</v>
      </c>
      <c r="D34" s="39">
        <f t="shared" si="2"/>
        <v>0</v>
      </c>
      <c r="E34" s="66">
        <f t="shared" si="3"/>
        <v>1</v>
      </c>
      <c r="F34" s="67">
        <v>0.0</v>
      </c>
      <c r="G34" s="7">
        <v>0.0</v>
      </c>
      <c r="H34" s="68">
        <v>0.0</v>
      </c>
      <c r="I34" s="67">
        <v>3.0</v>
      </c>
      <c r="J34" s="63">
        <f t="shared" si="4"/>
        <v>4</v>
      </c>
    </row>
    <row r="35">
      <c r="A35" s="64" t="s">
        <v>103</v>
      </c>
      <c r="B35" s="65" t="s">
        <v>104</v>
      </c>
      <c r="C35" s="39">
        <f t="shared" si="5"/>
        <v>0</v>
      </c>
      <c r="D35" s="39">
        <f t="shared" si="2"/>
        <v>0</v>
      </c>
      <c r="E35" s="66">
        <f t="shared" si="3"/>
        <v>1</v>
      </c>
      <c r="F35" s="67">
        <v>0.0</v>
      </c>
      <c r="G35" s="7">
        <v>0.0</v>
      </c>
      <c r="H35" s="68">
        <v>0.0</v>
      </c>
      <c r="I35" s="67">
        <v>3.0</v>
      </c>
      <c r="J35" s="63">
        <f t="shared" si="4"/>
        <v>4</v>
      </c>
    </row>
    <row r="36">
      <c r="A36" s="64" t="s">
        <v>115</v>
      </c>
      <c r="B36" s="65" t="s">
        <v>116</v>
      </c>
      <c r="C36" s="39">
        <f t="shared" si="5"/>
        <v>0</v>
      </c>
      <c r="D36" s="39">
        <f t="shared" si="2"/>
        <v>0</v>
      </c>
      <c r="E36" s="66">
        <f t="shared" si="3"/>
        <v>1</v>
      </c>
      <c r="F36" s="67">
        <v>0.0</v>
      </c>
      <c r="G36" s="7">
        <v>0.0</v>
      </c>
      <c r="H36" s="68">
        <v>0.0</v>
      </c>
      <c r="I36" s="67">
        <v>3.0</v>
      </c>
      <c r="J36" s="63">
        <f t="shared" si="4"/>
        <v>4</v>
      </c>
    </row>
    <row r="37">
      <c r="A37" s="64" t="s">
        <v>42</v>
      </c>
      <c r="B37" s="65" t="s">
        <v>124</v>
      </c>
      <c r="C37" s="39">
        <f t="shared" si="5"/>
        <v>0</v>
      </c>
      <c r="D37" s="39">
        <f t="shared" si="2"/>
        <v>0</v>
      </c>
      <c r="E37" s="66">
        <f t="shared" si="3"/>
        <v>1</v>
      </c>
      <c r="F37" s="67">
        <v>0.0</v>
      </c>
      <c r="G37" s="7">
        <v>0.0</v>
      </c>
      <c r="H37" s="68">
        <v>0.0</v>
      </c>
      <c r="I37" s="67">
        <v>2.0</v>
      </c>
      <c r="J37" s="63">
        <f t="shared" si="4"/>
        <v>3</v>
      </c>
    </row>
    <row r="38">
      <c r="A38" s="64" t="s">
        <v>126</v>
      </c>
      <c r="B38" s="65"/>
      <c r="C38" s="39">
        <f t="shared" si="5"/>
        <v>0</v>
      </c>
      <c r="D38" s="39">
        <f t="shared" si="2"/>
        <v>0</v>
      </c>
      <c r="E38" s="66">
        <f t="shared" si="3"/>
        <v>1</v>
      </c>
      <c r="F38" s="67">
        <v>0.0</v>
      </c>
      <c r="G38" s="7">
        <v>0.0</v>
      </c>
      <c r="H38" s="68">
        <v>0.0</v>
      </c>
      <c r="I38" s="67">
        <v>3.0</v>
      </c>
      <c r="J38" s="63">
        <f t="shared" si="4"/>
        <v>4</v>
      </c>
    </row>
    <row r="39">
      <c r="A39" s="64" t="s">
        <v>128</v>
      </c>
      <c r="B39" s="65"/>
      <c r="C39" s="39">
        <f t="shared" si="5"/>
        <v>0</v>
      </c>
      <c r="D39" s="39">
        <f t="shared" si="2"/>
        <v>0</v>
      </c>
      <c r="E39" s="66">
        <f t="shared" si="3"/>
        <v>1</v>
      </c>
      <c r="F39" s="67">
        <v>0.0</v>
      </c>
      <c r="G39" s="7">
        <v>0.0</v>
      </c>
      <c r="H39" s="68">
        <v>0.0</v>
      </c>
      <c r="I39" s="67">
        <v>3.0</v>
      </c>
      <c r="J39" s="63">
        <f t="shared" si="4"/>
        <v>4</v>
      </c>
    </row>
    <row r="40">
      <c r="A40" s="64" t="s">
        <v>156</v>
      </c>
      <c r="B40" s="65"/>
      <c r="C40" s="39">
        <f t="shared" si="5"/>
        <v>0</v>
      </c>
      <c r="D40" s="39">
        <f t="shared" si="2"/>
        <v>0</v>
      </c>
      <c r="E40" s="66">
        <f t="shared" si="3"/>
        <v>1</v>
      </c>
      <c r="F40" s="67">
        <v>0.0</v>
      </c>
      <c r="G40" s="7">
        <v>0.0</v>
      </c>
      <c r="H40" s="68">
        <v>0.0</v>
      </c>
      <c r="I40" s="67">
        <v>3.0</v>
      </c>
      <c r="J40" s="63">
        <f t="shared" si="4"/>
        <v>4</v>
      </c>
    </row>
    <row r="41">
      <c r="A41" s="64" t="s">
        <v>129</v>
      </c>
      <c r="B41" s="65"/>
      <c r="C41" s="39">
        <f t="shared" si="5"/>
        <v>0</v>
      </c>
      <c r="D41" s="39">
        <f t="shared" si="2"/>
        <v>0</v>
      </c>
      <c r="E41" s="66">
        <f t="shared" si="3"/>
        <v>1</v>
      </c>
      <c r="F41" s="67">
        <v>0.0</v>
      </c>
      <c r="G41" s="7">
        <v>0.0</v>
      </c>
      <c r="H41" s="68">
        <v>0.0</v>
      </c>
      <c r="I41" s="67">
        <v>3.0</v>
      </c>
      <c r="J41" s="63">
        <f t="shared" si="4"/>
        <v>4</v>
      </c>
    </row>
    <row r="42">
      <c r="A42" s="70" t="s">
        <v>130</v>
      </c>
      <c r="B42" s="71"/>
      <c r="C42" s="72">
        <f t="shared" si="5"/>
        <v>0</v>
      </c>
      <c r="D42" s="72">
        <f t="shared" si="2"/>
        <v>0</v>
      </c>
      <c r="E42" s="73">
        <f t="shared" si="3"/>
        <v>1</v>
      </c>
      <c r="F42" s="74">
        <v>0.0</v>
      </c>
      <c r="G42" s="75">
        <v>0.0</v>
      </c>
      <c r="H42" s="76">
        <v>0.0</v>
      </c>
      <c r="I42" s="67">
        <v>3.0</v>
      </c>
      <c r="J42" s="77">
        <f t="shared" si="4"/>
        <v>4</v>
      </c>
    </row>
  </sheetData>
  <mergeCells count="2">
    <mergeCell ref="F1:H1"/>
    <mergeCell ref="I1:J1"/>
  </mergeCells>
  <conditionalFormatting sqref="E3:E42 J3:J42">
    <cfRule type="cellIs" dxfId="0" priority="1" operator="equal">
      <formula>1</formula>
    </cfRule>
  </conditionalFormatting>
  <conditionalFormatting sqref="E3:E42 J3:J42">
    <cfRule type="cellIs" dxfId="1" priority="2" operator="equal">
      <formula>3</formula>
    </cfRule>
  </conditionalFormatting>
  <conditionalFormatting sqref="E3:E42 J3:J42">
    <cfRule type="cellIs" dxfId="2" priority="3" operator="equal">
      <formula>4</formula>
    </cfRule>
  </conditionalFormatting>
  <conditionalFormatting sqref="E3:E42 J3:J42">
    <cfRule type="cellIs" dxfId="3" priority="4" operator="equal">
      <formula>2</formula>
    </cfRule>
  </conditionalFormatting>
  <conditionalFormatting sqref="E3:E42 J3:J42">
    <cfRule type="cellIs" dxfId="4" priority="5" operator="equal">
      <formula>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88"/>
    <col customWidth="1" min="2" max="2" width="11.13"/>
    <col customWidth="1" min="3" max="3" width="6.88"/>
    <col customWidth="1" min="4" max="8" width="7.25"/>
    <col customWidth="1" min="9" max="9" width="9.38"/>
    <col customWidth="1" min="10" max="17" width="7.25"/>
    <col customWidth="1" min="18" max="18" width="7.13"/>
    <col customWidth="1" min="19" max="19" width="7.25"/>
    <col customWidth="1" min="20" max="24" width="8.63"/>
    <col customWidth="1" min="25" max="36" width="7.25"/>
    <col customWidth="1" min="37" max="37" width="9.63"/>
    <col customWidth="1" min="40" max="41" width="9.38"/>
    <col customWidth="1" min="42" max="43" width="15.13"/>
  </cols>
  <sheetData>
    <row r="1">
      <c r="A1" s="5"/>
      <c r="B1" s="5"/>
      <c r="C1" s="5"/>
      <c r="D1" s="78"/>
      <c r="E1" s="78" t="s">
        <v>157</v>
      </c>
      <c r="T1" s="79"/>
      <c r="U1" s="79" t="s">
        <v>158</v>
      </c>
      <c r="AC1" s="80" t="s">
        <v>159</v>
      </c>
      <c r="AK1" s="81" t="s">
        <v>160</v>
      </c>
      <c r="AL1" s="82" t="s">
        <v>161</v>
      </c>
      <c r="AM1" s="12"/>
      <c r="AN1" s="83" t="s">
        <v>162</v>
      </c>
      <c r="AO1" s="12"/>
      <c r="AP1" s="84" t="s">
        <v>163</v>
      </c>
      <c r="AQ1" s="12"/>
    </row>
    <row r="2">
      <c r="A2" s="2" t="s">
        <v>0</v>
      </c>
      <c r="B2" s="3" t="s">
        <v>1</v>
      </c>
      <c r="C2" s="49" t="s">
        <v>3</v>
      </c>
      <c r="D2" s="2">
        <v>2025.0</v>
      </c>
      <c r="E2" s="2">
        <v>2024.0</v>
      </c>
      <c r="F2" s="2">
        <v>2023.0</v>
      </c>
      <c r="G2" s="2">
        <v>2022.0</v>
      </c>
      <c r="H2" s="2">
        <v>2021.0</v>
      </c>
      <c r="I2" s="2">
        <v>2020.0</v>
      </c>
      <c r="J2" s="2">
        <v>2019.0</v>
      </c>
      <c r="K2" s="2">
        <v>2018.0</v>
      </c>
      <c r="L2" s="2">
        <v>2017.0</v>
      </c>
      <c r="M2" s="2">
        <v>2016.0</v>
      </c>
      <c r="N2" s="2">
        <v>2015.0</v>
      </c>
      <c r="O2" s="2">
        <v>2014.0</v>
      </c>
      <c r="P2" s="2">
        <v>2013.0</v>
      </c>
      <c r="Q2" s="2">
        <v>2012.0</v>
      </c>
      <c r="R2" s="2">
        <v>2011.0</v>
      </c>
      <c r="S2" s="49">
        <v>2010.0</v>
      </c>
      <c r="T2" s="85">
        <v>2026.0</v>
      </c>
      <c r="U2" s="85">
        <v>2025.0</v>
      </c>
      <c r="V2" s="85">
        <v>2024.0</v>
      </c>
      <c r="W2" s="85">
        <v>2023.0</v>
      </c>
      <c r="X2" s="85">
        <v>2022.0</v>
      </c>
      <c r="Y2" s="85">
        <v>2021.0</v>
      </c>
      <c r="Z2" s="85">
        <v>2019.0</v>
      </c>
      <c r="AA2" s="85">
        <v>2018.0</v>
      </c>
      <c r="AB2" s="86">
        <v>2017.0</v>
      </c>
      <c r="AC2" s="87">
        <v>2025.0</v>
      </c>
      <c r="AD2" s="87">
        <v>2024.0</v>
      </c>
      <c r="AE2" s="87">
        <v>2023.0</v>
      </c>
      <c r="AF2" s="88">
        <v>2022.0</v>
      </c>
      <c r="AG2" s="88">
        <v>2021.0</v>
      </c>
      <c r="AH2" s="88">
        <v>2019.0</v>
      </c>
      <c r="AI2" s="88">
        <v>2018.0</v>
      </c>
      <c r="AJ2" s="89">
        <v>2017.0</v>
      </c>
      <c r="AK2" s="49"/>
      <c r="AL2" s="90">
        <v>2025.0</v>
      </c>
      <c r="AM2" s="90">
        <v>2024.0</v>
      </c>
      <c r="AN2" s="91">
        <v>2025.0</v>
      </c>
      <c r="AO2" s="91">
        <v>2024.0</v>
      </c>
      <c r="AP2" s="92" t="s">
        <v>164</v>
      </c>
      <c r="AQ2" s="92" t="s">
        <v>165</v>
      </c>
    </row>
    <row r="3">
      <c r="A3" s="20" t="s">
        <v>12</v>
      </c>
      <c r="B3" s="21" t="s">
        <v>13</v>
      </c>
      <c r="C3" s="94">
        <f t="shared" ref="C3:C46" si="1">sum(D3:S3)*$B$49+sum(T3:AB3)*$B$50+sum(AC3:AJ3)*$B$51+sum(AK3)*$B$52+sum(AL3:AM3)*$B$53+sum(AN3:AO3)*$B$54+sum(AP3:AQ3)*$B$54</f>
        <v>0.56</v>
      </c>
      <c r="D3" s="7">
        <v>1.0</v>
      </c>
      <c r="E3" s="7">
        <v>1.0</v>
      </c>
      <c r="F3" s="7">
        <v>1.0</v>
      </c>
      <c r="G3" s="7">
        <v>1.0</v>
      </c>
      <c r="H3" s="7">
        <v>1.0</v>
      </c>
      <c r="I3" s="7">
        <v>1.0</v>
      </c>
      <c r="J3" s="7">
        <v>1.0</v>
      </c>
      <c r="K3" s="7">
        <v>1.0</v>
      </c>
      <c r="L3" s="7">
        <v>1.0</v>
      </c>
      <c r="M3" s="7">
        <v>1.0</v>
      </c>
      <c r="N3" s="7">
        <v>1.0</v>
      </c>
      <c r="O3" s="7">
        <v>1.0</v>
      </c>
      <c r="P3" s="7">
        <v>1.0</v>
      </c>
      <c r="Q3" s="7">
        <v>1.0</v>
      </c>
      <c r="R3" s="7">
        <v>1.0</v>
      </c>
      <c r="S3" s="95">
        <v>1.0</v>
      </c>
      <c r="T3" s="96">
        <v>1.0</v>
      </c>
      <c r="U3" s="96">
        <v>1.0</v>
      </c>
      <c r="V3" s="96">
        <v>1.0</v>
      </c>
      <c r="W3" s="96">
        <v>1.0</v>
      </c>
      <c r="X3" s="96">
        <v>1.0</v>
      </c>
      <c r="Y3" s="96">
        <v>1.0</v>
      </c>
      <c r="Z3" s="96">
        <v>1.0</v>
      </c>
      <c r="AA3" s="96">
        <v>1.0</v>
      </c>
      <c r="AB3" s="97">
        <v>1.0</v>
      </c>
      <c r="AC3" s="98">
        <v>1.0</v>
      </c>
      <c r="AD3" s="98">
        <v>1.0</v>
      </c>
      <c r="AE3" s="98">
        <v>1.0</v>
      </c>
      <c r="AF3" s="98">
        <v>1.0</v>
      </c>
      <c r="AG3" s="98">
        <v>1.0</v>
      </c>
      <c r="AH3" s="98">
        <v>1.0</v>
      </c>
      <c r="AI3" s="98">
        <v>1.0</v>
      </c>
      <c r="AJ3" s="99">
        <v>1.0</v>
      </c>
      <c r="AK3" s="39">
        <v>1.0</v>
      </c>
      <c r="AL3" s="100">
        <v>1.0</v>
      </c>
      <c r="AM3" s="101">
        <v>1.0</v>
      </c>
      <c r="AN3" s="102">
        <v>1.0</v>
      </c>
      <c r="AO3" s="103"/>
      <c r="AP3" s="104">
        <v>1.0</v>
      </c>
      <c r="AQ3" s="104">
        <v>1.0</v>
      </c>
    </row>
    <row r="4">
      <c r="A4" s="20" t="s">
        <v>17</v>
      </c>
      <c r="B4" s="21" t="s">
        <v>18</v>
      </c>
      <c r="C4" s="94">
        <f t="shared" si="1"/>
        <v>0.54</v>
      </c>
      <c r="D4" s="7">
        <v>1.0</v>
      </c>
      <c r="E4" s="7">
        <v>1.0</v>
      </c>
      <c r="F4" s="7">
        <v>1.0</v>
      </c>
      <c r="G4" s="7">
        <v>1.0</v>
      </c>
      <c r="H4" s="7">
        <v>1.0</v>
      </c>
      <c r="I4" s="7">
        <v>1.0</v>
      </c>
      <c r="J4" s="7">
        <v>1.0</v>
      </c>
      <c r="K4" s="7">
        <v>1.0</v>
      </c>
      <c r="L4" s="7">
        <v>1.0</v>
      </c>
      <c r="M4" s="7">
        <v>1.0</v>
      </c>
      <c r="N4" s="7">
        <v>1.0</v>
      </c>
      <c r="O4" s="7">
        <v>1.0</v>
      </c>
      <c r="P4" s="7">
        <v>1.0</v>
      </c>
      <c r="Q4" s="7">
        <v>1.0</v>
      </c>
      <c r="R4" s="7">
        <v>1.0</v>
      </c>
      <c r="S4" s="95">
        <v>1.0</v>
      </c>
      <c r="T4" s="96">
        <v>1.0</v>
      </c>
      <c r="U4" s="96">
        <v>1.0</v>
      </c>
      <c r="V4" s="96">
        <v>1.0</v>
      </c>
      <c r="W4" s="96">
        <v>1.0</v>
      </c>
      <c r="X4" s="96">
        <v>1.0</v>
      </c>
      <c r="Y4" s="96"/>
      <c r="Z4" s="96">
        <v>1.0</v>
      </c>
      <c r="AA4" s="96">
        <v>1.0</v>
      </c>
      <c r="AB4" s="97">
        <v>1.0</v>
      </c>
      <c r="AC4" s="98">
        <v>1.0</v>
      </c>
      <c r="AD4" s="98">
        <v>1.0</v>
      </c>
      <c r="AE4" s="98">
        <v>1.0</v>
      </c>
      <c r="AF4" s="98">
        <v>1.0</v>
      </c>
      <c r="AG4" s="98">
        <v>1.0</v>
      </c>
      <c r="AH4" s="98">
        <v>1.0</v>
      </c>
      <c r="AI4" s="98">
        <v>1.0</v>
      </c>
      <c r="AJ4" s="99">
        <v>1.0</v>
      </c>
      <c r="AK4" s="39">
        <v>1.0</v>
      </c>
      <c r="AL4" s="100">
        <v>1.0</v>
      </c>
      <c r="AM4" s="100">
        <v>1.0</v>
      </c>
      <c r="AN4" s="105"/>
      <c r="AO4" s="105"/>
      <c r="AP4" s="106">
        <v>1.0</v>
      </c>
      <c r="AQ4" s="106">
        <v>1.0</v>
      </c>
    </row>
    <row r="5">
      <c r="A5" s="20" t="s">
        <v>22</v>
      </c>
      <c r="B5" s="21" t="s">
        <v>23</v>
      </c>
      <c r="C5" s="94">
        <f t="shared" si="1"/>
        <v>0.51</v>
      </c>
      <c r="D5" s="7">
        <v>1.0</v>
      </c>
      <c r="E5" s="7">
        <v>1.0</v>
      </c>
      <c r="F5" s="7">
        <v>1.0</v>
      </c>
      <c r="G5" s="7">
        <v>1.0</v>
      </c>
      <c r="H5" s="7">
        <v>1.0</v>
      </c>
      <c r="I5" s="7">
        <v>1.0</v>
      </c>
      <c r="J5" s="7">
        <v>1.0</v>
      </c>
      <c r="K5" s="7">
        <v>1.0</v>
      </c>
      <c r="L5" s="7">
        <v>1.0</v>
      </c>
      <c r="M5" s="7">
        <v>1.0</v>
      </c>
      <c r="N5" s="7">
        <v>1.0</v>
      </c>
      <c r="O5" s="7">
        <v>1.0</v>
      </c>
      <c r="P5" s="7">
        <v>1.0</v>
      </c>
      <c r="Q5" s="7">
        <v>1.0</v>
      </c>
      <c r="R5" s="7">
        <v>1.0</v>
      </c>
      <c r="S5" s="95">
        <v>1.0</v>
      </c>
      <c r="T5" s="96"/>
      <c r="U5" s="96">
        <v>1.0</v>
      </c>
      <c r="V5" s="96">
        <v>1.0</v>
      </c>
      <c r="W5" s="96">
        <v>1.0</v>
      </c>
      <c r="X5" s="96">
        <v>1.0</v>
      </c>
      <c r="Y5" s="96">
        <v>1.0</v>
      </c>
      <c r="Z5" s="96">
        <v>1.0</v>
      </c>
      <c r="AA5" s="96">
        <v>1.0</v>
      </c>
      <c r="AB5" s="97">
        <v>1.0</v>
      </c>
      <c r="AC5" s="98">
        <v>1.0</v>
      </c>
      <c r="AD5" s="98"/>
      <c r="AE5" s="98">
        <v>1.0</v>
      </c>
      <c r="AF5" s="98">
        <v>1.0</v>
      </c>
      <c r="AG5" s="98"/>
      <c r="AH5" s="98">
        <v>1.0</v>
      </c>
      <c r="AI5" s="98">
        <v>1.0</v>
      </c>
      <c r="AJ5" s="99">
        <v>1.0</v>
      </c>
      <c r="AK5" s="39">
        <v>1.0</v>
      </c>
      <c r="AL5" s="100">
        <v>1.0</v>
      </c>
      <c r="AM5" s="108"/>
      <c r="AN5" s="105"/>
      <c r="AO5" s="105"/>
      <c r="AP5" s="106">
        <v>1.0</v>
      </c>
      <c r="AQ5" s="106">
        <v>1.0</v>
      </c>
    </row>
    <row r="6">
      <c r="A6" s="20" t="s">
        <v>27</v>
      </c>
      <c r="B6" s="21" t="s">
        <v>28</v>
      </c>
      <c r="C6" s="94">
        <f t="shared" si="1"/>
        <v>0.46</v>
      </c>
      <c r="D6" s="7">
        <v>1.0</v>
      </c>
      <c r="E6" s="7">
        <v>1.0</v>
      </c>
      <c r="F6" s="7">
        <v>1.0</v>
      </c>
      <c r="G6" s="7">
        <v>1.0</v>
      </c>
      <c r="H6" s="7">
        <v>1.0</v>
      </c>
      <c r="I6" s="7">
        <v>1.0</v>
      </c>
      <c r="J6" s="7">
        <v>1.0</v>
      </c>
      <c r="K6" s="7">
        <v>1.0</v>
      </c>
      <c r="L6" s="7">
        <v>1.0</v>
      </c>
      <c r="M6" s="7">
        <v>1.0</v>
      </c>
      <c r="N6" s="7">
        <v>1.0</v>
      </c>
      <c r="O6" s="7">
        <v>1.0</v>
      </c>
      <c r="P6" s="7">
        <v>1.0</v>
      </c>
      <c r="Q6" s="7">
        <v>1.0</v>
      </c>
      <c r="R6" s="7"/>
      <c r="S6" s="95"/>
      <c r="T6" s="96"/>
      <c r="U6" s="96">
        <v>1.0</v>
      </c>
      <c r="V6" s="96">
        <v>1.0</v>
      </c>
      <c r="W6" s="96">
        <v>1.0</v>
      </c>
      <c r="X6" s="96">
        <v>1.0</v>
      </c>
      <c r="Y6" s="96">
        <v>1.0</v>
      </c>
      <c r="Z6" s="96">
        <v>1.0</v>
      </c>
      <c r="AA6" s="96">
        <v>1.0</v>
      </c>
      <c r="AB6" s="97">
        <v>1.0</v>
      </c>
      <c r="AC6" s="98">
        <v>1.0</v>
      </c>
      <c r="AD6" s="98">
        <v>1.0</v>
      </c>
      <c r="AE6" s="98">
        <v>1.0</v>
      </c>
      <c r="AF6" s="98">
        <v>1.0</v>
      </c>
      <c r="AG6" s="98">
        <v>1.0</v>
      </c>
      <c r="AH6" s="98">
        <v>1.0</v>
      </c>
      <c r="AI6" s="98">
        <v>1.0</v>
      </c>
      <c r="AJ6" s="99">
        <v>1.0</v>
      </c>
      <c r="AK6" s="109"/>
      <c r="AL6" s="108"/>
      <c r="AM6" s="108"/>
      <c r="AN6" s="105"/>
      <c r="AO6" s="105"/>
      <c r="AP6" s="106">
        <v>1.0</v>
      </c>
      <c r="AQ6" s="106">
        <v>1.0</v>
      </c>
    </row>
    <row r="7">
      <c r="A7" s="20" t="s">
        <v>36</v>
      </c>
      <c r="B7" s="21" t="s">
        <v>37</v>
      </c>
      <c r="C7" s="94">
        <f t="shared" si="1"/>
        <v>0.37</v>
      </c>
      <c r="D7" s="7">
        <v>1.0</v>
      </c>
      <c r="E7" s="7">
        <v>1.0</v>
      </c>
      <c r="F7" s="7">
        <v>1.0</v>
      </c>
      <c r="G7" s="7">
        <v>1.0</v>
      </c>
      <c r="H7" s="7">
        <v>1.0</v>
      </c>
      <c r="I7" s="7">
        <v>1.0</v>
      </c>
      <c r="J7" s="7">
        <v>1.0</v>
      </c>
      <c r="K7" s="7">
        <v>1.0</v>
      </c>
      <c r="L7" s="7">
        <v>1.0</v>
      </c>
      <c r="M7" s="7">
        <v>1.0</v>
      </c>
      <c r="N7" s="7">
        <v>1.0</v>
      </c>
      <c r="O7" s="7">
        <v>1.0</v>
      </c>
      <c r="P7" s="1"/>
      <c r="Q7" s="1"/>
      <c r="R7" s="1"/>
      <c r="S7" s="110"/>
      <c r="T7" s="96"/>
      <c r="U7" s="96"/>
      <c r="V7" s="96">
        <v>1.0</v>
      </c>
      <c r="W7" s="96"/>
      <c r="X7" s="96">
        <v>1.0</v>
      </c>
      <c r="Y7" s="96">
        <v>1.0</v>
      </c>
      <c r="Z7" s="96">
        <v>1.0</v>
      </c>
      <c r="AA7" s="96">
        <v>1.0</v>
      </c>
      <c r="AB7" s="97">
        <v>1.0</v>
      </c>
      <c r="AC7" s="98">
        <v>1.0</v>
      </c>
      <c r="AD7" s="98">
        <v>1.0</v>
      </c>
      <c r="AE7" s="98">
        <v>1.0</v>
      </c>
      <c r="AF7" s="98">
        <v>1.0</v>
      </c>
      <c r="AG7" s="98">
        <v>1.0</v>
      </c>
      <c r="AH7" s="111"/>
      <c r="AI7" s="98">
        <v>1.0</v>
      </c>
      <c r="AJ7" s="99">
        <v>1.0</v>
      </c>
      <c r="AK7" s="109"/>
      <c r="AL7" s="108"/>
      <c r="AM7" s="108"/>
      <c r="AN7" s="105"/>
      <c r="AO7" s="105"/>
      <c r="AP7" s="112"/>
      <c r="AQ7" s="112"/>
    </row>
    <row r="8">
      <c r="A8" s="20" t="s">
        <v>32</v>
      </c>
      <c r="B8" s="21" t="s">
        <v>33</v>
      </c>
      <c r="C8" s="94">
        <f t="shared" si="1"/>
        <v>0.39</v>
      </c>
      <c r="D8" s="7">
        <v>1.0</v>
      </c>
      <c r="E8" s="7">
        <v>1.0</v>
      </c>
      <c r="F8" s="7">
        <v>1.0</v>
      </c>
      <c r="G8" s="7">
        <v>1.0</v>
      </c>
      <c r="H8" s="7">
        <v>1.0</v>
      </c>
      <c r="I8" s="7">
        <v>1.0</v>
      </c>
      <c r="J8" s="7">
        <v>1.0</v>
      </c>
      <c r="K8" s="7">
        <v>1.0</v>
      </c>
      <c r="L8" s="7">
        <v>1.0</v>
      </c>
      <c r="M8" s="7">
        <v>1.0</v>
      </c>
      <c r="N8" s="7">
        <v>1.0</v>
      </c>
      <c r="O8" s="7">
        <v>1.0</v>
      </c>
      <c r="P8" s="7">
        <v>1.0</v>
      </c>
      <c r="Q8" s="7">
        <v>1.0</v>
      </c>
      <c r="R8" s="1"/>
      <c r="S8" s="110"/>
      <c r="T8" s="113">
        <v>1.0</v>
      </c>
      <c r="U8" s="113">
        <v>1.0</v>
      </c>
      <c r="V8" s="96"/>
      <c r="W8" s="96">
        <v>1.0</v>
      </c>
      <c r="X8" s="96">
        <v>1.0</v>
      </c>
      <c r="Y8" s="114"/>
      <c r="Z8" s="114"/>
      <c r="AA8" s="114"/>
      <c r="AB8" s="115"/>
      <c r="AC8" s="98">
        <v>1.0</v>
      </c>
      <c r="AD8" s="98">
        <v>1.0</v>
      </c>
      <c r="AE8" s="98">
        <v>1.0</v>
      </c>
      <c r="AF8" s="98">
        <v>1.0</v>
      </c>
      <c r="AG8" s="111">
        <v>1.0</v>
      </c>
      <c r="AH8" s="111"/>
      <c r="AI8" s="98">
        <v>1.0</v>
      </c>
      <c r="AJ8" s="116"/>
      <c r="AK8" s="109"/>
      <c r="AL8" s="108"/>
      <c r="AM8" s="108"/>
      <c r="AN8" s="117"/>
      <c r="AO8" s="117">
        <v>1.0</v>
      </c>
      <c r="AP8" s="106"/>
      <c r="AQ8" s="106"/>
    </row>
    <row r="9">
      <c r="A9" s="20" t="s">
        <v>31</v>
      </c>
      <c r="B9" s="21" t="s">
        <v>40</v>
      </c>
      <c r="C9" s="94">
        <f t="shared" si="1"/>
        <v>0.39</v>
      </c>
      <c r="D9" s="7">
        <v>1.0</v>
      </c>
      <c r="E9" s="7">
        <v>1.0</v>
      </c>
      <c r="F9" s="7">
        <v>1.0</v>
      </c>
      <c r="G9" s="7">
        <v>1.0</v>
      </c>
      <c r="H9" s="7">
        <v>1.0</v>
      </c>
      <c r="I9" s="7">
        <v>1.0</v>
      </c>
      <c r="J9" s="7">
        <v>1.0</v>
      </c>
      <c r="K9" s="7">
        <v>1.0</v>
      </c>
      <c r="L9" s="7">
        <v>1.0</v>
      </c>
      <c r="M9" s="7">
        <v>1.0</v>
      </c>
      <c r="N9" s="7">
        <v>1.0</v>
      </c>
      <c r="O9" s="7"/>
      <c r="P9" s="1"/>
      <c r="Q9" s="1"/>
      <c r="R9" s="1"/>
      <c r="S9" s="110"/>
      <c r="T9" s="96">
        <v>1.0</v>
      </c>
      <c r="U9" s="96"/>
      <c r="V9" s="96">
        <v>1.0</v>
      </c>
      <c r="W9" s="96">
        <v>1.0</v>
      </c>
      <c r="X9" s="96"/>
      <c r="Y9" s="96">
        <v>1.0</v>
      </c>
      <c r="Z9" s="96">
        <v>1.0</v>
      </c>
      <c r="AA9" s="96">
        <v>1.0</v>
      </c>
      <c r="AB9" s="97">
        <v>1.0</v>
      </c>
      <c r="AC9" s="98">
        <v>1.0</v>
      </c>
      <c r="AD9" s="98">
        <v>1.0</v>
      </c>
      <c r="AE9" s="98">
        <v>1.0</v>
      </c>
      <c r="AF9" s="98">
        <v>1.0</v>
      </c>
      <c r="AG9" s="98">
        <v>1.0</v>
      </c>
      <c r="AH9" s="98">
        <v>1.0</v>
      </c>
      <c r="AI9" s="98">
        <v>1.0</v>
      </c>
      <c r="AJ9" s="99">
        <v>1.0</v>
      </c>
      <c r="AK9" s="109"/>
      <c r="AL9" s="100">
        <v>1.0</v>
      </c>
      <c r="AM9" s="108"/>
      <c r="AN9" s="105"/>
      <c r="AO9" s="105"/>
      <c r="AP9" s="106">
        <v>1.0</v>
      </c>
      <c r="AQ9" s="112"/>
    </row>
    <row r="10">
      <c r="A10" s="20" t="s">
        <v>35</v>
      </c>
      <c r="B10" s="21" t="s">
        <v>166</v>
      </c>
      <c r="C10" s="94">
        <f t="shared" si="1"/>
        <v>0.41</v>
      </c>
      <c r="D10" s="7">
        <v>1.0</v>
      </c>
      <c r="E10" s="7">
        <v>1.0</v>
      </c>
      <c r="F10" s="7">
        <v>1.0</v>
      </c>
      <c r="G10" s="7">
        <v>1.0</v>
      </c>
      <c r="H10" s="7">
        <v>1.0</v>
      </c>
      <c r="I10" s="7">
        <v>1.0</v>
      </c>
      <c r="J10" s="7">
        <v>1.0</v>
      </c>
      <c r="K10" s="7">
        <v>1.0</v>
      </c>
      <c r="L10" s="7">
        <v>1.0</v>
      </c>
      <c r="M10" s="7">
        <v>1.0</v>
      </c>
      <c r="N10" s="7">
        <v>1.0</v>
      </c>
      <c r="O10" s="1"/>
      <c r="P10" s="1"/>
      <c r="Q10" s="1"/>
      <c r="R10" s="1"/>
      <c r="S10" s="110"/>
      <c r="T10" s="96">
        <v>1.0</v>
      </c>
      <c r="U10" s="96">
        <v>1.0</v>
      </c>
      <c r="V10" s="96">
        <v>1.0</v>
      </c>
      <c r="W10" s="96">
        <v>1.0</v>
      </c>
      <c r="X10" s="96">
        <v>1.0</v>
      </c>
      <c r="Y10" s="96">
        <v>1.0</v>
      </c>
      <c r="Z10" s="96">
        <v>1.0</v>
      </c>
      <c r="AA10" s="96">
        <v>1.0</v>
      </c>
      <c r="AB10" s="115"/>
      <c r="AC10" s="98">
        <v>1.0</v>
      </c>
      <c r="AD10" s="98">
        <v>1.0</v>
      </c>
      <c r="AE10" s="98">
        <v>1.0</v>
      </c>
      <c r="AF10" s="98">
        <v>1.0</v>
      </c>
      <c r="AG10" s="98">
        <v>1.0</v>
      </c>
      <c r="AH10" s="98">
        <v>1.0</v>
      </c>
      <c r="AI10" s="98">
        <v>1.0</v>
      </c>
      <c r="AJ10" s="116"/>
      <c r="AK10" s="109"/>
      <c r="AL10" s="100">
        <v>1.0</v>
      </c>
      <c r="AM10" s="100">
        <v>1.0</v>
      </c>
      <c r="AN10" s="105"/>
      <c r="AO10" s="105"/>
      <c r="AP10" s="106">
        <v>1.0</v>
      </c>
      <c r="AQ10" s="106">
        <v>1.0</v>
      </c>
    </row>
    <row r="11">
      <c r="A11" s="20" t="s">
        <v>47</v>
      </c>
      <c r="B11" s="21" t="s">
        <v>167</v>
      </c>
      <c r="C11" s="94">
        <f t="shared" si="1"/>
        <v>0.37</v>
      </c>
      <c r="D11" s="7">
        <v>1.0</v>
      </c>
      <c r="E11" s="7">
        <v>1.0</v>
      </c>
      <c r="F11" s="7">
        <v>1.0</v>
      </c>
      <c r="G11" s="7">
        <v>1.0</v>
      </c>
      <c r="H11" s="7">
        <v>1.0</v>
      </c>
      <c r="I11" s="7">
        <v>1.0</v>
      </c>
      <c r="J11" s="7">
        <v>1.0</v>
      </c>
      <c r="K11" s="7">
        <v>1.0</v>
      </c>
      <c r="L11" s="7">
        <v>1.0</v>
      </c>
      <c r="M11" s="7">
        <v>1.0</v>
      </c>
      <c r="N11" s="7">
        <v>1.0</v>
      </c>
      <c r="O11" s="7">
        <v>1.0</v>
      </c>
      <c r="P11" s="7">
        <v>1.0</v>
      </c>
      <c r="Q11" s="7"/>
      <c r="R11" s="1"/>
      <c r="S11" s="110"/>
      <c r="T11" s="96">
        <v>1.0</v>
      </c>
      <c r="U11" s="96">
        <v>1.0</v>
      </c>
      <c r="V11" s="96"/>
      <c r="W11" s="96">
        <v>1.0</v>
      </c>
      <c r="X11" s="96">
        <v>1.0</v>
      </c>
      <c r="Y11" s="114"/>
      <c r="Z11" s="114"/>
      <c r="AA11" s="114"/>
      <c r="AB11" s="115"/>
      <c r="AC11" s="98">
        <v>1.0</v>
      </c>
      <c r="AD11" s="98">
        <v>1.0</v>
      </c>
      <c r="AE11" s="98">
        <v>1.0</v>
      </c>
      <c r="AF11" s="98">
        <v>1.0</v>
      </c>
      <c r="AG11" s="111">
        <v>1.0</v>
      </c>
      <c r="AH11" s="111"/>
      <c r="AI11" s="98">
        <v>1.0</v>
      </c>
      <c r="AJ11" s="116"/>
      <c r="AK11" s="109"/>
      <c r="AL11" s="108"/>
      <c r="AM11" s="108"/>
      <c r="AN11" s="117"/>
      <c r="AO11" s="117">
        <v>1.0</v>
      </c>
      <c r="AP11" s="106"/>
      <c r="AQ11" s="106"/>
    </row>
    <row r="12">
      <c r="A12" s="20" t="s">
        <v>52</v>
      </c>
      <c r="B12" s="21" t="s">
        <v>53</v>
      </c>
      <c r="C12" s="94">
        <f t="shared" si="1"/>
        <v>0.35</v>
      </c>
      <c r="D12" s="7">
        <v>1.0</v>
      </c>
      <c r="E12" s="7">
        <v>1.0</v>
      </c>
      <c r="F12" s="7">
        <v>1.0</v>
      </c>
      <c r="G12" s="7">
        <v>1.0</v>
      </c>
      <c r="H12" s="7">
        <v>1.0</v>
      </c>
      <c r="I12" s="7">
        <v>1.0</v>
      </c>
      <c r="J12" s="7">
        <v>1.0</v>
      </c>
      <c r="K12" s="7">
        <v>1.0</v>
      </c>
      <c r="L12" s="7">
        <v>1.0</v>
      </c>
      <c r="M12" s="7">
        <v>1.0</v>
      </c>
      <c r="N12" s="1"/>
      <c r="O12" s="1"/>
      <c r="P12" s="1"/>
      <c r="Q12" s="1"/>
      <c r="R12" s="1"/>
      <c r="S12" s="110"/>
      <c r="T12" s="96">
        <v>1.0</v>
      </c>
      <c r="U12" s="96"/>
      <c r="V12" s="96">
        <v>1.0</v>
      </c>
      <c r="W12" s="96">
        <v>1.0</v>
      </c>
      <c r="X12" s="96">
        <v>1.0</v>
      </c>
      <c r="Y12" s="96">
        <v>1.0</v>
      </c>
      <c r="Z12" s="96">
        <v>1.0</v>
      </c>
      <c r="AA12" s="96">
        <v>1.0</v>
      </c>
      <c r="AB12" s="97"/>
      <c r="AC12" s="98">
        <v>1.0</v>
      </c>
      <c r="AD12" s="98">
        <v>1.0</v>
      </c>
      <c r="AE12" s="98">
        <v>1.0</v>
      </c>
      <c r="AF12" s="98">
        <v>1.0</v>
      </c>
      <c r="AG12" s="98">
        <v>1.0</v>
      </c>
      <c r="AH12" s="98">
        <v>1.0</v>
      </c>
      <c r="AI12" s="98">
        <v>1.0</v>
      </c>
      <c r="AJ12" s="99">
        <v>1.0</v>
      </c>
      <c r="AK12" s="109"/>
      <c r="AL12" s="108"/>
      <c r="AM12" s="108"/>
      <c r="AN12" s="105"/>
      <c r="AO12" s="105"/>
      <c r="AP12" s="112"/>
      <c r="AQ12" s="112"/>
    </row>
    <row r="13">
      <c r="A13" s="20" t="s">
        <v>49</v>
      </c>
      <c r="B13" s="21" t="s">
        <v>50</v>
      </c>
      <c r="C13" s="94">
        <f t="shared" si="1"/>
        <v>0.38</v>
      </c>
      <c r="D13" s="7">
        <v>1.0</v>
      </c>
      <c r="E13" s="7">
        <v>1.0</v>
      </c>
      <c r="F13" s="7">
        <v>1.0</v>
      </c>
      <c r="G13" s="7">
        <v>1.0</v>
      </c>
      <c r="H13" s="7">
        <v>1.0</v>
      </c>
      <c r="I13" s="7">
        <v>1.0</v>
      </c>
      <c r="J13" s="7">
        <v>1.0</v>
      </c>
      <c r="K13" s="7">
        <v>1.0</v>
      </c>
      <c r="L13" s="7">
        <v>1.0</v>
      </c>
      <c r="M13" s="7">
        <v>1.0</v>
      </c>
      <c r="N13" s="1"/>
      <c r="O13" s="1"/>
      <c r="P13" s="1"/>
      <c r="Q13" s="1"/>
      <c r="R13" s="1"/>
      <c r="S13" s="110"/>
      <c r="T13" s="96">
        <v>1.0</v>
      </c>
      <c r="U13" s="96">
        <v>1.0</v>
      </c>
      <c r="V13" s="96">
        <v>1.0</v>
      </c>
      <c r="W13" s="96">
        <v>1.0</v>
      </c>
      <c r="X13" s="96">
        <v>1.0</v>
      </c>
      <c r="Y13" s="96">
        <v>1.0</v>
      </c>
      <c r="Z13" s="96">
        <v>1.0</v>
      </c>
      <c r="AA13" s="96">
        <v>1.0</v>
      </c>
      <c r="AB13" s="97"/>
      <c r="AC13" s="98">
        <v>1.0</v>
      </c>
      <c r="AD13" s="98">
        <v>1.0</v>
      </c>
      <c r="AE13" s="98">
        <v>1.0</v>
      </c>
      <c r="AF13" s="98">
        <v>1.0</v>
      </c>
      <c r="AG13" s="98">
        <v>1.0</v>
      </c>
      <c r="AH13" s="98">
        <v>1.0</v>
      </c>
      <c r="AI13" s="98">
        <v>1.0</v>
      </c>
      <c r="AJ13" s="99">
        <v>1.0</v>
      </c>
      <c r="AK13" s="109"/>
      <c r="AL13" s="100">
        <v>1.0</v>
      </c>
      <c r="AM13" s="108"/>
      <c r="AN13" s="105"/>
      <c r="AO13" s="105"/>
      <c r="AP13" s="106"/>
      <c r="AQ13" s="106">
        <v>1.0</v>
      </c>
    </row>
    <row r="14">
      <c r="A14" s="20" t="s">
        <v>56</v>
      </c>
      <c r="B14" s="21" t="s">
        <v>57</v>
      </c>
      <c r="C14" s="94">
        <f t="shared" si="1"/>
        <v>0.3</v>
      </c>
      <c r="D14" s="7">
        <v>1.0</v>
      </c>
      <c r="E14" s="7">
        <v>1.0</v>
      </c>
      <c r="F14" s="7">
        <v>1.0</v>
      </c>
      <c r="G14" s="7">
        <v>1.0</v>
      </c>
      <c r="H14" s="7">
        <v>1.0</v>
      </c>
      <c r="I14" s="7">
        <v>1.0</v>
      </c>
      <c r="J14" s="7">
        <v>1.0</v>
      </c>
      <c r="K14" s="7">
        <v>1.0</v>
      </c>
      <c r="L14" s="7">
        <v>1.0</v>
      </c>
      <c r="M14" s="7">
        <v>1.0</v>
      </c>
      <c r="N14" s="7">
        <v>1.0</v>
      </c>
      <c r="O14" s="7">
        <v>1.0</v>
      </c>
      <c r="P14" s="1"/>
      <c r="Q14" s="1"/>
      <c r="R14" s="1"/>
      <c r="S14" s="110"/>
      <c r="T14" s="96"/>
      <c r="U14" s="96"/>
      <c r="V14" s="96"/>
      <c r="W14" s="96"/>
      <c r="X14" s="96"/>
      <c r="Y14" s="114">
        <v>1.0</v>
      </c>
      <c r="Z14" s="114"/>
      <c r="AA14" s="114"/>
      <c r="AB14" s="97">
        <v>1.0</v>
      </c>
      <c r="AC14" s="98">
        <v>1.0</v>
      </c>
      <c r="AD14" s="98">
        <v>1.0</v>
      </c>
      <c r="AE14" s="98"/>
      <c r="AF14" s="98">
        <v>1.0</v>
      </c>
      <c r="AG14" s="111"/>
      <c r="AH14" s="111"/>
      <c r="AI14" s="111"/>
      <c r="AJ14" s="99">
        <v>1.0</v>
      </c>
      <c r="AK14" s="109"/>
      <c r="AL14" s="108"/>
      <c r="AM14" s="108"/>
      <c r="AN14" s="105"/>
      <c r="AO14" s="105"/>
      <c r="AP14" s="112"/>
      <c r="AQ14" s="112"/>
    </row>
    <row r="15">
      <c r="A15" s="20" t="s">
        <v>55</v>
      </c>
      <c r="B15" s="118"/>
      <c r="C15" s="94">
        <f t="shared" si="1"/>
        <v>0.3</v>
      </c>
      <c r="D15" s="7">
        <v>1.0</v>
      </c>
      <c r="E15" s="7">
        <v>1.0</v>
      </c>
      <c r="F15" s="7">
        <v>1.0</v>
      </c>
      <c r="G15" s="7">
        <v>1.0</v>
      </c>
      <c r="H15" s="7">
        <v>1.0</v>
      </c>
      <c r="I15" s="7">
        <v>1.0</v>
      </c>
      <c r="J15" s="7">
        <v>1.0</v>
      </c>
      <c r="K15" s="7">
        <v>1.0</v>
      </c>
      <c r="L15" s="7">
        <v>1.0</v>
      </c>
      <c r="M15" s="1"/>
      <c r="N15" s="1"/>
      <c r="O15" s="1"/>
      <c r="P15" s="1"/>
      <c r="Q15" s="1"/>
      <c r="R15" s="1"/>
      <c r="S15" s="110"/>
      <c r="T15" s="96"/>
      <c r="U15" s="96"/>
      <c r="V15" s="96">
        <v>1.0</v>
      </c>
      <c r="W15" s="96">
        <v>1.0</v>
      </c>
      <c r="X15" s="96">
        <v>1.0</v>
      </c>
      <c r="Y15" s="114">
        <v>1.0</v>
      </c>
      <c r="Z15" s="114"/>
      <c r="AA15" s="114"/>
      <c r="AB15" s="115"/>
      <c r="AC15" s="98">
        <v>1.0</v>
      </c>
      <c r="AD15" s="98">
        <v>1.0</v>
      </c>
      <c r="AE15" s="98">
        <v>1.0</v>
      </c>
      <c r="AF15" s="98">
        <v>1.0</v>
      </c>
      <c r="AG15" s="111">
        <v>1.0</v>
      </c>
      <c r="AH15" s="98">
        <v>1.0</v>
      </c>
      <c r="AI15" s="111"/>
      <c r="AJ15" s="116"/>
      <c r="AK15" s="109"/>
      <c r="AL15" s="100"/>
      <c r="AM15" s="100">
        <v>1.0</v>
      </c>
      <c r="AN15" s="105"/>
      <c r="AO15" s="105"/>
      <c r="AP15" s="106"/>
      <c r="AQ15" s="106">
        <v>1.0</v>
      </c>
    </row>
    <row r="16">
      <c r="A16" s="20" t="s">
        <v>59</v>
      </c>
      <c r="B16" s="21" t="s">
        <v>60</v>
      </c>
      <c r="C16" s="94">
        <f t="shared" si="1"/>
        <v>0.27</v>
      </c>
      <c r="D16" s="7">
        <v>1.0</v>
      </c>
      <c r="E16" s="7">
        <v>1.0</v>
      </c>
      <c r="F16" s="7">
        <v>1.0</v>
      </c>
      <c r="G16" s="7">
        <v>1.0</v>
      </c>
      <c r="H16" s="7">
        <v>1.0</v>
      </c>
      <c r="I16" s="7">
        <v>1.0</v>
      </c>
      <c r="J16" s="7">
        <v>1.0</v>
      </c>
      <c r="K16" s="7">
        <v>1.0</v>
      </c>
      <c r="L16" s="7">
        <v>1.0</v>
      </c>
      <c r="M16" s="7">
        <v>1.0</v>
      </c>
      <c r="N16" s="1"/>
      <c r="O16" s="1"/>
      <c r="P16" s="1"/>
      <c r="Q16" s="1"/>
      <c r="R16" s="1"/>
      <c r="S16" s="110"/>
      <c r="T16" s="96"/>
      <c r="U16" s="96"/>
      <c r="V16" s="96">
        <v>1.0</v>
      </c>
      <c r="W16" s="96"/>
      <c r="X16" s="96"/>
      <c r="Y16" s="96">
        <v>1.0</v>
      </c>
      <c r="Z16" s="96"/>
      <c r="AA16" s="96"/>
      <c r="AB16" s="97"/>
      <c r="AC16" s="98"/>
      <c r="AD16" s="98"/>
      <c r="AE16" s="98"/>
      <c r="AF16" s="98">
        <v>1.0</v>
      </c>
      <c r="AG16" s="98">
        <v>1.0</v>
      </c>
      <c r="AH16" s="98">
        <v>1.0</v>
      </c>
      <c r="AI16" s="98">
        <v>1.0</v>
      </c>
      <c r="AJ16" s="99">
        <v>1.0</v>
      </c>
      <c r="AK16" s="109"/>
      <c r="AL16" s="108"/>
      <c r="AM16" s="108"/>
      <c r="AN16" s="105"/>
      <c r="AO16" s="105"/>
      <c r="AP16" s="112"/>
      <c r="AQ16" s="112"/>
    </row>
    <row r="17">
      <c r="A17" s="4" t="s">
        <v>63</v>
      </c>
      <c r="B17" s="7" t="s">
        <v>155</v>
      </c>
      <c r="C17" s="94">
        <f t="shared" si="1"/>
        <v>0.29</v>
      </c>
      <c r="D17" s="7">
        <v>1.0</v>
      </c>
      <c r="E17" s="7">
        <v>1.0</v>
      </c>
      <c r="F17" s="7">
        <v>1.0</v>
      </c>
      <c r="G17" s="7">
        <v>1.0</v>
      </c>
      <c r="H17" s="7">
        <v>1.0</v>
      </c>
      <c r="I17" s="7">
        <v>1.0</v>
      </c>
      <c r="J17" s="7">
        <v>1.0</v>
      </c>
      <c r="K17" s="7">
        <v>1.0</v>
      </c>
      <c r="L17" s="7">
        <v>1.0</v>
      </c>
      <c r="M17" s="1"/>
      <c r="N17" s="1"/>
      <c r="O17" s="1"/>
      <c r="P17" s="1"/>
      <c r="Q17" s="1"/>
      <c r="R17" s="1"/>
      <c r="S17" s="110"/>
      <c r="T17" s="96"/>
      <c r="U17" s="96"/>
      <c r="V17" s="96">
        <v>1.0</v>
      </c>
      <c r="W17" s="96">
        <v>1.0</v>
      </c>
      <c r="X17" s="96">
        <v>1.0</v>
      </c>
      <c r="Y17" s="114">
        <v>1.0</v>
      </c>
      <c r="Z17" s="114"/>
      <c r="AA17" s="96">
        <v>1.0</v>
      </c>
      <c r="AB17" s="115"/>
      <c r="AC17" s="98">
        <v>1.0</v>
      </c>
      <c r="AD17" s="98">
        <v>1.0</v>
      </c>
      <c r="AE17" s="98">
        <v>1.0</v>
      </c>
      <c r="AF17" s="98">
        <v>1.0</v>
      </c>
      <c r="AG17" s="111">
        <v>1.0</v>
      </c>
      <c r="AH17" s="98"/>
      <c r="AI17" s="111"/>
      <c r="AJ17" s="116"/>
      <c r="AK17" s="109"/>
      <c r="AL17" s="108"/>
      <c r="AM17" s="108"/>
      <c r="AN17" s="105"/>
      <c r="AO17" s="105"/>
      <c r="AP17" s="106"/>
      <c r="AQ17" s="106">
        <v>1.0</v>
      </c>
    </row>
    <row r="18">
      <c r="A18" s="20" t="s">
        <v>21</v>
      </c>
      <c r="B18" s="21" t="s">
        <v>75</v>
      </c>
      <c r="C18" s="94">
        <f t="shared" si="1"/>
        <v>0.31</v>
      </c>
      <c r="D18" s="7">
        <v>1.0</v>
      </c>
      <c r="E18" s="7">
        <v>1.0</v>
      </c>
      <c r="F18" s="7">
        <v>1.0</v>
      </c>
      <c r="G18" s="7">
        <v>1.0</v>
      </c>
      <c r="H18" s="7">
        <v>1.0</v>
      </c>
      <c r="I18" s="7">
        <v>1.0</v>
      </c>
      <c r="J18" s="7">
        <v>1.0</v>
      </c>
      <c r="K18" s="7">
        <v>1.0</v>
      </c>
      <c r="L18" s="7">
        <v>1.0</v>
      </c>
      <c r="M18" s="1"/>
      <c r="N18" s="1"/>
      <c r="O18" s="1"/>
      <c r="P18" s="1"/>
      <c r="Q18" s="1"/>
      <c r="R18" s="1"/>
      <c r="S18" s="110"/>
      <c r="T18" s="96">
        <v>1.0</v>
      </c>
      <c r="U18" s="96">
        <v>1.0</v>
      </c>
      <c r="V18" s="96">
        <v>1.0</v>
      </c>
      <c r="W18" s="96">
        <v>1.0</v>
      </c>
      <c r="X18" s="96">
        <v>1.0</v>
      </c>
      <c r="Y18" s="114">
        <v>1.0</v>
      </c>
      <c r="Z18" s="114"/>
      <c r="AA18" s="114"/>
      <c r="AB18" s="115"/>
      <c r="AC18" s="98">
        <v>1.0</v>
      </c>
      <c r="AD18" s="98">
        <v>1.0</v>
      </c>
      <c r="AE18" s="98">
        <v>1.0</v>
      </c>
      <c r="AF18" s="98">
        <v>1.0</v>
      </c>
      <c r="AG18" s="111">
        <v>1.0</v>
      </c>
      <c r="AH18" s="111"/>
      <c r="AI18" s="111"/>
      <c r="AJ18" s="116"/>
      <c r="AK18" s="109"/>
      <c r="AL18" s="100">
        <v>1.0</v>
      </c>
      <c r="AM18" s="108"/>
      <c r="AN18" s="105"/>
      <c r="AO18" s="105"/>
      <c r="AP18" s="106">
        <v>1.0</v>
      </c>
      <c r="AQ18" s="112"/>
    </row>
    <row r="19">
      <c r="A19" s="20" t="s">
        <v>77</v>
      </c>
      <c r="B19" s="118"/>
      <c r="C19" s="94">
        <f t="shared" si="1"/>
        <v>0.25</v>
      </c>
      <c r="D19" s="7">
        <v>1.0</v>
      </c>
      <c r="E19" s="7">
        <v>1.0</v>
      </c>
      <c r="F19" s="7">
        <v>1.0</v>
      </c>
      <c r="G19" s="7">
        <v>1.0</v>
      </c>
      <c r="H19" s="7">
        <v>1.0</v>
      </c>
      <c r="I19" s="7">
        <v>1.0</v>
      </c>
      <c r="J19" s="7">
        <v>1.0</v>
      </c>
      <c r="K19" s="7">
        <v>1.0</v>
      </c>
      <c r="L19" s="7">
        <v>1.0</v>
      </c>
      <c r="M19" s="1"/>
      <c r="N19" s="1"/>
      <c r="O19" s="1"/>
      <c r="P19" s="1"/>
      <c r="Q19" s="1"/>
      <c r="R19" s="1"/>
      <c r="S19" s="110"/>
      <c r="T19" s="96"/>
      <c r="U19" s="96">
        <v>1.0</v>
      </c>
      <c r="V19" s="96"/>
      <c r="W19" s="96"/>
      <c r="X19" s="96">
        <v>1.0</v>
      </c>
      <c r="Y19" s="114"/>
      <c r="Z19" s="114"/>
      <c r="AA19" s="114"/>
      <c r="AB19" s="115"/>
      <c r="AC19" s="98">
        <v>1.0</v>
      </c>
      <c r="AD19" s="98">
        <v>1.0</v>
      </c>
      <c r="AE19" s="98">
        <v>1.0</v>
      </c>
      <c r="AF19" s="98"/>
      <c r="AG19" s="111"/>
      <c r="AH19" s="98">
        <v>1.0</v>
      </c>
      <c r="AI19" s="98"/>
      <c r="AJ19" s="99">
        <v>1.0</v>
      </c>
      <c r="AK19" s="109"/>
      <c r="AL19" s="108"/>
      <c r="AM19" s="108"/>
      <c r="AN19" s="105"/>
      <c r="AO19" s="105"/>
      <c r="AP19" s="112"/>
      <c r="AQ19" s="112"/>
    </row>
    <row r="20">
      <c r="A20" s="20" t="s">
        <v>26</v>
      </c>
      <c r="B20" s="21" t="s">
        <v>85</v>
      </c>
      <c r="C20" s="94">
        <f t="shared" si="1"/>
        <v>0.27</v>
      </c>
      <c r="D20" s="7">
        <v>1.0</v>
      </c>
      <c r="E20" s="7">
        <v>1.0</v>
      </c>
      <c r="F20" s="7">
        <v>1.0</v>
      </c>
      <c r="G20" s="7">
        <v>1.0</v>
      </c>
      <c r="H20" s="7">
        <v>1.0</v>
      </c>
      <c r="I20" s="7">
        <v>1.0</v>
      </c>
      <c r="J20" s="7">
        <v>1.0</v>
      </c>
      <c r="K20" s="1"/>
      <c r="L20" s="1"/>
      <c r="M20" s="1"/>
      <c r="N20" s="1"/>
      <c r="O20" s="1"/>
      <c r="P20" s="1"/>
      <c r="Q20" s="1"/>
      <c r="R20" s="1"/>
      <c r="S20" s="110"/>
      <c r="T20" s="96">
        <v>1.0</v>
      </c>
      <c r="U20" s="96"/>
      <c r="V20" s="96">
        <v>1.0</v>
      </c>
      <c r="W20" s="96"/>
      <c r="X20" s="96">
        <v>1.0</v>
      </c>
      <c r="Y20" s="96">
        <v>1.0</v>
      </c>
      <c r="Z20" s="96">
        <v>1.0</v>
      </c>
      <c r="AA20" s="114"/>
      <c r="AB20" s="115"/>
      <c r="AC20" s="98">
        <v>1.0</v>
      </c>
      <c r="AD20" s="98">
        <v>1.0</v>
      </c>
      <c r="AE20" s="98">
        <v>1.0</v>
      </c>
      <c r="AF20" s="98">
        <v>1.0</v>
      </c>
      <c r="AG20" s="98">
        <v>1.0</v>
      </c>
      <c r="AH20" s="98">
        <v>1.0</v>
      </c>
      <c r="AI20" s="111"/>
      <c r="AJ20" s="116"/>
      <c r="AK20" s="109"/>
      <c r="AL20" s="100">
        <v>1.0</v>
      </c>
      <c r="AM20" s="108"/>
      <c r="AN20" s="105"/>
      <c r="AO20" s="105"/>
      <c r="AP20" s="106"/>
      <c r="AQ20" s="106">
        <v>1.0</v>
      </c>
    </row>
    <row r="21">
      <c r="A21" s="20" t="s">
        <v>91</v>
      </c>
      <c r="B21" s="21" t="s">
        <v>92</v>
      </c>
      <c r="C21" s="94">
        <f t="shared" si="1"/>
        <v>0.25</v>
      </c>
      <c r="D21" s="7">
        <v>1.0</v>
      </c>
      <c r="E21" s="7">
        <v>1.0</v>
      </c>
      <c r="F21" s="7">
        <v>1.0</v>
      </c>
      <c r="G21" s="7">
        <v>1.0</v>
      </c>
      <c r="H21" s="7">
        <v>1.0</v>
      </c>
      <c r="I21" s="7">
        <v>1.0</v>
      </c>
      <c r="J21" s="7">
        <v>1.0</v>
      </c>
      <c r="K21" s="7">
        <v>1.0</v>
      </c>
      <c r="L21" s="1"/>
      <c r="M21" s="1"/>
      <c r="N21" s="1"/>
      <c r="O21" s="1"/>
      <c r="P21" s="1"/>
      <c r="Q21" s="1"/>
      <c r="R21" s="1"/>
      <c r="S21" s="110"/>
      <c r="T21" s="96">
        <v>1.0</v>
      </c>
      <c r="U21" s="96"/>
      <c r="V21" s="96">
        <v>1.0</v>
      </c>
      <c r="W21" s="114"/>
      <c r="X21" s="114"/>
      <c r="Y21" s="114"/>
      <c r="Z21" s="114"/>
      <c r="AA21" s="96">
        <v>1.0</v>
      </c>
      <c r="AB21" s="115"/>
      <c r="AC21" s="98"/>
      <c r="AD21" s="98">
        <v>1.0</v>
      </c>
      <c r="AE21" s="111">
        <v>1.0</v>
      </c>
      <c r="AF21" s="111">
        <v>1.0</v>
      </c>
      <c r="AG21" s="111"/>
      <c r="AH21" s="98">
        <v>1.0</v>
      </c>
      <c r="AI21" s="111"/>
      <c r="AJ21" s="116"/>
      <c r="AK21" s="109"/>
      <c r="AL21" s="100">
        <v>1.0</v>
      </c>
      <c r="AM21" s="100">
        <v>1.0</v>
      </c>
      <c r="AN21" s="105"/>
      <c r="AO21" s="105"/>
      <c r="AP21" s="112"/>
      <c r="AQ21" s="112"/>
    </row>
    <row r="22">
      <c r="A22" s="20" t="s">
        <v>80</v>
      </c>
      <c r="B22" s="21" t="s">
        <v>81</v>
      </c>
      <c r="C22" s="94">
        <f t="shared" si="1"/>
        <v>0.22</v>
      </c>
      <c r="D22" s="7"/>
      <c r="E22" s="7">
        <v>1.0</v>
      </c>
      <c r="F22" s="7">
        <v>1.0</v>
      </c>
      <c r="G22" s="7">
        <v>1.0</v>
      </c>
      <c r="H22" s="7">
        <v>1.0</v>
      </c>
      <c r="I22" s="7">
        <v>1.0</v>
      </c>
      <c r="J22" s="7">
        <v>1.0</v>
      </c>
      <c r="K22" s="7">
        <v>1.0</v>
      </c>
      <c r="L22" s="7">
        <v>1.0</v>
      </c>
      <c r="M22" s="1"/>
      <c r="N22" s="1"/>
      <c r="O22" s="1"/>
      <c r="P22" s="1"/>
      <c r="Q22" s="1"/>
      <c r="R22" s="1"/>
      <c r="S22" s="110"/>
      <c r="T22" s="96"/>
      <c r="U22" s="96"/>
      <c r="V22" s="96"/>
      <c r="W22" s="96">
        <v>1.0</v>
      </c>
      <c r="X22" s="96"/>
      <c r="Y22" s="114">
        <v>1.0</v>
      </c>
      <c r="Z22" s="114"/>
      <c r="AA22" s="114"/>
      <c r="AB22" s="97">
        <v>1.0</v>
      </c>
      <c r="AC22" s="98">
        <v>1.0</v>
      </c>
      <c r="AD22" s="98"/>
      <c r="AE22" s="98"/>
      <c r="AF22" s="98"/>
      <c r="AG22" s="111"/>
      <c r="AH22" s="111"/>
      <c r="AI22" s="111"/>
      <c r="AJ22" s="116"/>
      <c r="AK22" s="109"/>
      <c r="AL22" s="100"/>
      <c r="AM22" s="100">
        <v>1.0</v>
      </c>
      <c r="AN22" s="117">
        <v>1.0</v>
      </c>
      <c r="AO22" s="105"/>
      <c r="AP22" s="112"/>
      <c r="AQ22" s="112"/>
    </row>
    <row r="23">
      <c r="A23" s="20" t="s">
        <v>82</v>
      </c>
      <c r="B23" s="21" t="s">
        <v>83</v>
      </c>
      <c r="C23" s="94">
        <f t="shared" si="1"/>
        <v>0.25</v>
      </c>
      <c r="D23" s="7">
        <v>1.0</v>
      </c>
      <c r="E23" s="7">
        <v>1.0</v>
      </c>
      <c r="F23" s="7">
        <v>1.0</v>
      </c>
      <c r="G23" s="7">
        <v>1.0</v>
      </c>
      <c r="H23" s="7">
        <v>1.0</v>
      </c>
      <c r="I23" s="7">
        <v>1.0</v>
      </c>
      <c r="J23" s="7">
        <v>1.0</v>
      </c>
      <c r="K23" s="7">
        <v>1.0</v>
      </c>
      <c r="L23" s="7">
        <v>1.0</v>
      </c>
      <c r="M23" s="1"/>
      <c r="N23" s="1"/>
      <c r="O23" s="1"/>
      <c r="P23" s="1"/>
      <c r="Q23" s="1"/>
      <c r="R23" s="1"/>
      <c r="S23" s="110"/>
      <c r="T23" s="96"/>
      <c r="U23" s="96">
        <v>1.0</v>
      </c>
      <c r="V23" s="96"/>
      <c r="W23" s="96">
        <v>1.0</v>
      </c>
      <c r="X23" s="96"/>
      <c r="Y23" s="114">
        <v>1.0</v>
      </c>
      <c r="Z23" s="114"/>
      <c r="AA23" s="96">
        <v>1.0</v>
      </c>
      <c r="AB23" s="115"/>
      <c r="AC23" s="98">
        <v>1.0</v>
      </c>
      <c r="AD23" s="98"/>
      <c r="AE23" s="98"/>
      <c r="AF23" s="98"/>
      <c r="AG23" s="111"/>
      <c r="AH23" s="111"/>
      <c r="AI23" s="111"/>
      <c r="AJ23" s="116"/>
      <c r="AK23" s="109"/>
      <c r="AL23" s="100"/>
      <c r="AM23" s="100">
        <v>1.0</v>
      </c>
      <c r="AN23" s="117">
        <v>1.0</v>
      </c>
      <c r="AO23" s="105"/>
      <c r="AP23" s="112"/>
      <c r="AQ23" s="112"/>
    </row>
    <row r="24">
      <c r="A24" s="20" t="s">
        <v>169</v>
      </c>
      <c r="B24" s="118"/>
      <c r="C24" s="94">
        <f t="shared" si="1"/>
        <v>0.25</v>
      </c>
      <c r="D24" s="7">
        <v>1.0</v>
      </c>
      <c r="E24" s="7">
        <v>1.0</v>
      </c>
      <c r="F24" s="7">
        <v>1.0</v>
      </c>
      <c r="G24" s="7">
        <v>1.0</v>
      </c>
      <c r="H24" s="7">
        <v>1.0</v>
      </c>
      <c r="I24" s="7">
        <v>1.0</v>
      </c>
      <c r="J24" s="7">
        <v>1.0</v>
      </c>
      <c r="K24" s="7">
        <v>1.0</v>
      </c>
      <c r="L24" s="7">
        <v>1.0</v>
      </c>
      <c r="M24" s="1"/>
      <c r="N24" s="1"/>
      <c r="O24" s="1"/>
      <c r="P24" s="1"/>
      <c r="Q24" s="1"/>
      <c r="R24" s="1"/>
      <c r="S24" s="110"/>
      <c r="T24" s="96">
        <v>1.0</v>
      </c>
      <c r="U24" s="96">
        <v>1.0</v>
      </c>
      <c r="V24" s="96">
        <v>1.0</v>
      </c>
      <c r="W24" s="96"/>
      <c r="X24" s="96"/>
      <c r="Y24" s="114">
        <v>1.0</v>
      </c>
      <c r="Z24" s="114"/>
      <c r="AA24" s="96">
        <v>1.0</v>
      </c>
      <c r="AB24" s="115"/>
      <c r="AC24" s="98">
        <v>1.0</v>
      </c>
      <c r="AD24" s="98"/>
      <c r="AE24" s="98"/>
      <c r="AF24" s="98"/>
      <c r="AG24" s="111"/>
      <c r="AH24" s="111"/>
      <c r="AI24" s="111"/>
      <c r="AJ24" s="116"/>
      <c r="AK24" s="109"/>
      <c r="AL24" s="100">
        <v>1.0</v>
      </c>
      <c r="AM24" s="108"/>
      <c r="AN24" s="105"/>
      <c r="AO24" s="105"/>
      <c r="AP24" s="112"/>
      <c r="AQ24" s="112"/>
    </row>
    <row r="25">
      <c r="A25" s="20" t="s">
        <v>106</v>
      </c>
      <c r="B25" s="21" t="s">
        <v>107</v>
      </c>
      <c r="C25" s="94">
        <f t="shared" si="1"/>
        <v>0.19</v>
      </c>
      <c r="D25" s="7">
        <v>1.0</v>
      </c>
      <c r="E25" s="7">
        <v>1.0</v>
      </c>
      <c r="F25" s="7">
        <v>1.0</v>
      </c>
      <c r="G25" s="7">
        <v>1.0</v>
      </c>
      <c r="H25" s="7">
        <v>1.0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10"/>
      <c r="T25" s="96"/>
      <c r="U25" s="96"/>
      <c r="V25" s="96">
        <v>1.0</v>
      </c>
      <c r="W25" s="96"/>
      <c r="X25" s="96">
        <v>1.0</v>
      </c>
      <c r="Y25" s="114">
        <v>1.0</v>
      </c>
      <c r="Z25" s="114"/>
      <c r="AA25" s="114"/>
      <c r="AB25" s="115"/>
      <c r="AC25" s="98">
        <v>1.0</v>
      </c>
      <c r="AD25" s="98">
        <v>1.0</v>
      </c>
      <c r="AE25" s="98">
        <v>1.0</v>
      </c>
      <c r="AF25" s="98"/>
      <c r="AG25" s="111">
        <v>1.0</v>
      </c>
      <c r="AH25" s="111"/>
      <c r="AI25" s="111"/>
      <c r="AJ25" s="116"/>
      <c r="AK25" s="109"/>
      <c r="AL25" s="100">
        <v>1.0</v>
      </c>
      <c r="AM25" s="100">
        <v>1.0</v>
      </c>
      <c r="AN25" s="105"/>
      <c r="AO25" s="105"/>
      <c r="AP25" s="112"/>
      <c r="AQ25" s="112"/>
    </row>
    <row r="26">
      <c r="A26" s="20" t="s">
        <v>101</v>
      </c>
      <c r="B26" s="118"/>
      <c r="C26" s="94">
        <f t="shared" si="1"/>
        <v>0.19</v>
      </c>
      <c r="D26" s="7">
        <v>1.0</v>
      </c>
      <c r="E26" s="7">
        <v>1.0</v>
      </c>
      <c r="F26" s="7">
        <v>1.0</v>
      </c>
      <c r="G26" s="7">
        <v>1.0</v>
      </c>
      <c r="H26" s="7">
        <v>1.0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10"/>
      <c r="T26" s="96"/>
      <c r="U26" s="96"/>
      <c r="V26" s="96">
        <v>1.0</v>
      </c>
      <c r="W26" s="96">
        <v>1.0</v>
      </c>
      <c r="X26" s="96">
        <v>1.0</v>
      </c>
      <c r="Y26" s="114"/>
      <c r="Z26" s="114"/>
      <c r="AA26" s="114"/>
      <c r="AB26" s="115"/>
      <c r="AC26" s="98">
        <v>1.0</v>
      </c>
      <c r="AD26" s="98">
        <v>1.0</v>
      </c>
      <c r="AE26" s="98">
        <v>1.0</v>
      </c>
      <c r="AF26" s="98">
        <v>1.0</v>
      </c>
      <c r="AG26" s="111">
        <v>1.0</v>
      </c>
      <c r="AH26" s="111"/>
      <c r="AI26" s="111"/>
      <c r="AJ26" s="116"/>
      <c r="AK26" s="109"/>
      <c r="AL26" s="108"/>
      <c r="AM26" s="108"/>
      <c r="AN26" s="105"/>
      <c r="AO26" s="105"/>
      <c r="AP26" s="106"/>
      <c r="AQ26" s="106">
        <v>1.0</v>
      </c>
    </row>
    <row r="27">
      <c r="A27" s="20" t="s">
        <v>42</v>
      </c>
      <c r="B27" s="21" t="s">
        <v>124</v>
      </c>
      <c r="C27" s="94">
        <f t="shared" si="1"/>
        <v>0.17</v>
      </c>
      <c r="D27" s="7">
        <v>1.0</v>
      </c>
      <c r="E27" s="7">
        <v>1.0</v>
      </c>
      <c r="F27" s="7">
        <v>1.0</v>
      </c>
      <c r="G27" s="7">
        <v>1.0</v>
      </c>
      <c r="H27" s="7">
        <v>1.0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10"/>
      <c r="T27" s="96"/>
      <c r="U27" s="96"/>
      <c r="V27" s="96"/>
      <c r="W27" s="114"/>
      <c r="X27" s="114"/>
      <c r="Y27" s="114"/>
      <c r="Z27" s="114"/>
      <c r="AA27" s="114"/>
      <c r="AB27" s="115"/>
      <c r="AC27" s="98">
        <v>1.0</v>
      </c>
      <c r="AD27" s="98">
        <v>1.0</v>
      </c>
      <c r="AE27" s="98">
        <v>1.0</v>
      </c>
      <c r="AF27" s="98">
        <v>1.0</v>
      </c>
      <c r="AG27" s="111">
        <v>1.0</v>
      </c>
      <c r="AH27" s="111"/>
      <c r="AI27" s="111"/>
      <c r="AJ27" s="116"/>
      <c r="AK27" s="109"/>
      <c r="AL27" s="100"/>
      <c r="AM27" s="100">
        <v>1.0</v>
      </c>
      <c r="AN27" s="105"/>
      <c r="AO27" s="105"/>
      <c r="AP27" s="106"/>
      <c r="AQ27" s="106">
        <v>1.0</v>
      </c>
    </row>
    <row r="28">
      <c r="A28" s="20" t="s">
        <v>94</v>
      </c>
      <c r="B28" s="118"/>
      <c r="C28" s="94">
        <f t="shared" si="1"/>
        <v>0.12</v>
      </c>
      <c r="D28" s="7"/>
      <c r="E28" s="7"/>
      <c r="F28" s="7"/>
      <c r="G28" s="7"/>
      <c r="H28" s="1"/>
      <c r="I28" s="1"/>
      <c r="J28" s="1"/>
      <c r="K28" s="1"/>
      <c r="L28" s="1"/>
      <c r="M28" s="7">
        <v>1.0</v>
      </c>
      <c r="N28" s="7">
        <v>1.0</v>
      </c>
      <c r="O28" s="7">
        <v>1.0</v>
      </c>
      <c r="P28" s="7">
        <v>1.0</v>
      </c>
      <c r="Q28" s="7">
        <v>1.0</v>
      </c>
      <c r="R28" s="7"/>
      <c r="S28" s="95"/>
      <c r="T28" s="114"/>
      <c r="U28" s="114"/>
      <c r="V28" s="114"/>
      <c r="W28" s="114"/>
      <c r="X28" s="114"/>
      <c r="Y28" s="114"/>
      <c r="Z28" s="114"/>
      <c r="AA28" s="114"/>
      <c r="AB28" s="115"/>
      <c r="AC28" s="98"/>
      <c r="AD28" s="98"/>
      <c r="AE28" s="111"/>
      <c r="AF28" s="111"/>
      <c r="AG28" s="111"/>
      <c r="AH28" s="111"/>
      <c r="AI28" s="98" t="s">
        <v>170</v>
      </c>
      <c r="AJ28" s="116"/>
      <c r="AK28" s="39">
        <v>1.0</v>
      </c>
      <c r="AL28" s="108"/>
      <c r="AM28" s="108"/>
      <c r="AN28" s="105"/>
      <c r="AO28" s="105"/>
      <c r="AP28" s="112"/>
      <c r="AQ28" s="112"/>
    </row>
    <row r="29">
      <c r="A29" s="20" t="s">
        <v>111</v>
      </c>
      <c r="B29" s="118"/>
      <c r="C29" s="94">
        <f t="shared" si="1"/>
        <v>0.18</v>
      </c>
      <c r="D29" s="7">
        <v>1.0</v>
      </c>
      <c r="E29" s="7">
        <v>1.0</v>
      </c>
      <c r="F29" s="7">
        <v>1.0</v>
      </c>
      <c r="G29" s="7">
        <v>1.0</v>
      </c>
      <c r="H29" s="1"/>
      <c r="I29" s="1"/>
      <c r="J29" s="7">
        <v>1.0</v>
      </c>
      <c r="K29" s="7"/>
      <c r="L29" s="1"/>
      <c r="M29" s="1"/>
      <c r="N29" s="1"/>
      <c r="O29" s="1"/>
      <c r="P29" s="1"/>
      <c r="Q29" s="1"/>
      <c r="R29" s="1"/>
      <c r="S29" s="110"/>
      <c r="T29" s="96">
        <v>1.0</v>
      </c>
      <c r="U29" s="96">
        <v>1.0</v>
      </c>
      <c r="V29" s="96">
        <v>1.0</v>
      </c>
      <c r="W29" s="96">
        <v>1.0</v>
      </c>
      <c r="X29" s="114"/>
      <c r="Y29" s="114"/>
      <c r="Z29" s="114"/>
      <c r="AA29" s="114"/>
      <c r="AB29" s="115"/>
      <c r="AC29" s="98">
        <v>1.0</v>
      </c>
      <c r="AD29" s="98"/>
      <c r="AE29" s="111">
        <v>1.0</v>
      </c>
      <c r="AF29" s="111">
        <v>1.0</v>
      </c>
      <c r="AG29" s="111"/>
      <c r="AH29" s="111"/>
      <c r="AI29" s="111"/>
      <c r="AJ29" s="116"/>
      <c r="AK29" s="109"/>
      <c r="AL29" s="100">
        <v>1.0</v>
      </c>
      <c r="AM29" s="108"/>
      <c r="AN29" s="105"/>
      <c r="AO29" s="105"/>
      <c r="AP29" s="112"/>
      <c r="AQ29" s="112"/>
    </row>
    <row r="30">
      <c r="A30" s="20" t="s">
        <v>97</v>
      </c>
      <c r="B30" s="21" t="s">
        <v>98</v>
      </c>
      <c r="C30" s="94">
        <f t="shared" si="1"/>
        <v>0.13</v>
      </c>
      <c r="D30" s="7"/>
      <c r="E30" s="7"/>
      <c r="F30" s="7"/>
      <c r="G30" s="7">
        <v>1.0</v>
      </c>
      <c r="H30" s="1"/>
      <c r="I30" s="1"/>
      <c r="J30" s="1"/>
      <c r="K30" s="1"/>
      <c r="L30" s="7">
        <v>1.0</v>
      </c>
      <c r="M30" s="7">
        <v>1.0</v>
      </c>
      <c r="N30" s="7">
        <v>1.0</v>
      </c>
      <c r="O30" s="1"/>
      <c r="P30" s="1"/>
      <c r="Q30" s="1"/>
      <c r="R30" s="1"/>
      <c r="S30" s="110"/>
      <c r="T30" s="96"/>
      <c r="U30" s="96"/>
      <c r="V30" s="96">
        <v>1.0</v>
      </c>
      <c r="W30" s="96">
        <v>1.0</v>
      </c>
      <c r="X30" s="96"/>
      <c r="Y30" s="96"/>
      <c r="Z30" s="96">
        <v>1.0</v>
      </c>
      <c r="AA30" s="96">
        <v>1.0</v>
      </c>
      <c r="AB30" s="97">
        <v>1.0</v>
      </c>
      <c r="AC30" s="98"/>
      <c r="AD30" s="98"/>
      <c r="AE30" s="98"/>
      <c r="AF30" s="98"/>
      <c r="AG30" s="98"/>
      <c r="AH30" s="111"/>
      <c r="AI30" s="111"/>
      <c r="AJ30" s="116"/>
      <c r="AK30" s="109"/>
      <c r="AL30" s="108"/>
      <c r="AM30" s="108"/>
      <c r="AN30" s="105"/>
      <c r="AO30" s="105"/>
      <c r="AP30" s="112"/>
      <c r="AQ30" s="112"/>
    </row>
    <row r="31">
      <c r="A31" s="20" t="s">
        <v>103</v>
      </c>
      <c r="B31" s="21" t="s">
        <v>104</v>
      </c>
      <c r="C31" s="94">
        <f t="shared" si="1"/>
        <v>0.17</v>
      </c>
      <c r="D31" s="7">
        <v>1.0</v>
      </c>
      <c r="E31" s="7">
        <v>1.0</v>
      </c>
      <c r="F31" s="7">
        <v>1.0</v>
      </c>
      <c r="G31" s="7">
        <v>1.0</v>
      </c>
      <c r="H31" s="7">
        <v>1.0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10"/>
      <c r="T31" s="96"/>
      <c r="U31" s="96"/>
      <c r="V31" s="96"/>
      <c r="W31" s="96">
        <v>1.0</v>
      </c>
      <c r="X31" s="96">
        <v>1.0</v>
      </c>
      <c r="Y31" s="114"/>
      <c r="Z31" s="114"/>
      <c r="AA31" s="114"/>
      <c r="AB31" s="97">
        <v>1.0</v>
      </c>
      <c r="AC31" s="98">
        <v>1.0</v>
      </c>
      <c r="AD31" s="98"/>
      <c r="AE31" s="98"/>
      <c r="AF31" s="98"/>
      <c r="AG31" s="111"/>
      <c r="AH31" s="98"/>
      <c r="AI31" s="111"/>
      <c r="AJ31" s="116"/>
      <c r="AK31" s="109"/>
      <c r="AL31" s="100">
        <v>1.0</v>
      </c>
      <c r="AM31" s="100">
        <v>1.0</v>
      </c>
      <c r="AN31" s="117">
        <v>1.0</v>
      </c>
      <c r="AO31" s="105"/>
      <c r="AP31" s="112"/>
      <c r="AQ31" s="112"/>
    </row>
    <row r="32">
      <c r="A32" s="20" t="s">
        <v>117</v>
      </c>
      <c r="B32" s="118"/>
      <c r="C32" s="94">
        <f t="shared" si="1"/>
        <v>0.16</v>
      </c>
      <c r="D32" s="7">
        <v>1.0</v>
      </c>
      <c r="E32" s="7">
        <v>1.0</v>
      </c>
      <c r="F32" s="7">
        <v>1.0</v>
      </c>
      <c r="G32" s="7">
        <v>1.0</v>
      </c>
      <c r="H32" s="7">
        <v>1.0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10"/>
      <c r="T32" s="96"/>
      <c r="U32" s="96"/>
      <c r="V32" s="96">
        <v>1.0</v>
      </c>
      <c r="W32" s="96"/>
      <c r="X32" s="96"/>
      <c r="Y32" s="114"/>
      <c r="Z32" s="114"/>
      <c r="AA32" s="114"/>
      <c r="AB32" s="115"/>
      <c r="AC32" s="98">
        <v>1.0</v>
      </c>
      <c r="AD32" s="98">
        <v>1.0</v>
      </c>
      <c r="AE32" s="98">
        <v>1.0</v>
      </c>
      <c r="AF32" s="98">
        <v>1.0</v>
      </c>
      <c r="AG32" s="111"/>
      <c r="AH32" s="111"/>
      <c r="AI32" s="111"/>
      <c r="AJ32" s="116"/>
      <c r="AK32" s="109"/>
      <c r="AL32" s="108"/>
      <c r="AM32" s="108"/>
      <c r="AN32" s="105"/>
      <c r="AO32" s="105"/>
      <c r="AP32" s="106"/>
      <c r="AQ32" s="106">
        <v>1.0</v>
      </c>
    </row>
    <row r="33">
      <c r="A33" s="20" t="s">
        <v>113</v>
      </c>
      <c r="B33" s="21" t="s">
        <v>114</v>
      </c>
      <c r="C33" s="94">
        <f t="shared" si="1"/>
        <v>0.18</v>
      </c>
      <c r="D33" s="7">
        <v>1.0</v>
      </c>
      <c r="E33" s="7">
        <v>1.0</v>
      </c>
      <c r="F33" s="7">
        <v>1.0</v>
      </c>
      <c r="G33" s="7">
        <v>1.0</v>
      </c>
      <c r="H33" s="7">
        <v>1.0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10"/>
      <c r="T33" s="96"/>
      <c r="U33" s="96">
        <v>1.0</v>
      </c>
      <c r="V33" s="96">
        <v>1.0</v>
      </c>
      <c r="W33" s="96">
        <v>1.0</v>
      </c>
      <c r="X33" s="96">
        <v>1.0</v>
      </c>
      <c r="Y33" s="114"/>
      <c r="Z33" s="114"/>
      <c r="AA33" s="114"/>
      <c r="AB33" s="97">
        <v>1.0</v>
      </c>
      <c r="AC33" s="98">
        <v>1.0</v>
      </c>
      <c r="AD33" s="98"/>
      <c r="AE33" s="98"/>
      <c r="AF33" s="98"/>
      <c r="AG33" s="111"/>
      <c r="AH33" s="98"/>
      <c r="AI33" s="111"/>
      <c r="AJ33" s="116"/>
      <c r="AK33" s="109"/>
      <c r="AL33" s="100">
        <v>1.0</v>
      </c>
      <c r="AM33" s="100">
        <v>1.0</v>
      </c>
      <c r="AN33" s="105"/>
      <c r="AO33" s="105"/>
      <c r="AP33" s="112"/>
      <c r="AQ33" s="112"/>
    </row>
    <row r="34">
      <c r="A34" s="20" t="s">
        <v>99</v>
      </c>
      <c r="B34" s="118"/>
      <c r="C34" s="94">
        <f t="shared" si="1"/>
        <v>0.1</v>
      </c>
      <c r="D34" s="7"/>
      <c r="E34" s="7"/>
      <c r="F34" s="7"/>
      <c r="G34" s="7"/>
      <c r="H34" s="1"/>
      <c r="I34" s="1"/>
      <c r="J34" s="1"/>
      <c r="K34" s="1"/>
      <c r="L34" s="1"/>
      <c r="M34" s="1"/>
      <c r="N34" s="7">
        <v>1.0</v>
      </c>
      <c r="O34" s="7">
        <v>1.0</v>
      </c>
      <c r="P34" s="7">
        <v>1.0</v>
      </c>
      <c r="Q34" s="7">
        <v>1.0</v>
      </c>
      <c r="R34" s="7"/>
      <c r="S34" s="95"/>
      <c r="T34" s="114"/>
      <c r="U34" s="114"/>
      <c r="V34" s="114"/>
      <c r="W34" s="114"/>
      <c r="X34" s="114"/>
      <c r="Y34" s="114"/>
      <c r="Z34" s="114"/>
      <c r="AA34" s="114"/>
      <c r="AB34" s="115"/>
      <c r="AC34" s="98"/>
      <c r="AD34" s="98"/>
      <c r="AE34" s="111"/>
      <c r="AF34" s="111"/>
      <c r="AG34" s="111"/>
      <c r="AH34" s="111"/>
      <c r="AI34" s="111"/>
      <c r="AJ34" s="116"/>
      <c r="AK34" s="39">
        <v>1.0</v>
      </c>
      <c r="AL34" s="108"/>
      <c r="AM34" s="108"/>
      <c r="AN34" s="105"/>
      <c r="AO34" s="105"/>
      <c r="AP34" s="112"/>
      <c r="AQ34" s="112"/>
    </row>
    <row r="35">
      <c r="A35" s="4" t="s">
        <v>115</v>
      </c>
      <c r="B35" s="21" t="s">
        <v>116</v>
      </c>
      <c r="C35" s="94">
        <f t="shared" si="1"/>
        <v>0.08</v>
      </c>
      <c r="D35" s="7"/>
      <c r="E35" s="7"/>
      <c r="F35" s="7">
        <v>1.0</v>
      </c>
      <c r="G35" s="7"/>
      <c r="H35" s="1"/>
      <c r="I35" s="1"/>
      <c r="J35" s="7"/>
      <c r="K35" s="7">
        <v>1.0</v>
      </c>
      <c r="L35" s="7">
        <v>1.0</v>
      </c>
      <c r="M35" s="7">
        <v>1.0</v>
      </c>
      <c r="N35" s="1"/>
      <c r="O35" s="1"/>
      <c r="P35" s="1"/>
      <c r="Q35" s="1"/>
      <c r="R35" s="1"/>
      <c r="S35" s="110"/>
      <c r="T35" s="114"/>
      <c r="U35" s="114"/>
      <c r="V35" s="114"/>
      <c r="W35" s="114"/>
      <c r="X35" s="114"/>
      <c r="Y35" s="114"/>
      <c r="Z35" s="114"/>
      <c r="AA35" s="114"/>
      <c r="AB35" s="115"/>
      <c r="AC35" s="98"/>
      <c r="AD35" s="98"/>
      <c r="AE35" s="111"/>
      <c r="AF35" s="111"/>
      <c r="AG35" s="111"/>
      <c r="AH35" s="98"/>
      <c r="AI35" s="111"/>
      <c r="AJ35" s="116"/>
      <c r="AK35" s="109"/>
      <c r="AL35" s="108"/>
      <c r="AM35" s="108"/>
      <c r="AN35" s="105"/>
      <c r="AO35" s="105"/>
      <c r="AP35" s="112"/>
      <c r="AQ35" s="112"/>
    </row>
    <row r="36">
      <c r="A36" s="20" t="s">
        <v>126</v>
      </c>
      <c r="B36" s="118"/>
      <c r="C36" s="94">
        <f t="shared" si="1"/>
        <v>0.12</v>
      </c>
      <c r="D36" s="7">
        <v>1.0</v>
      </c>
      <c r="E36" s="7">
        <v>1.0</v>
      </c>
      <c r="F36" s="7"/>
      <c r="G36" s="7">
        <v>1.0</v>
      </c>
      <c r="H36" s="7">
        <v>1.0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10"/>
      <c r="T36" s="114"/>
      <c r="U36" s="114"/>
      <c r="V36" s="114"/>
      <c r="W36" s="114"/>
      <c r="X36" s="114"/>
      <c r="Y36" s="114"/>
      <c r="Z36" s="114"/>
      <c r="AA36" s="114"/>
      <c r="AB36" s="115"/>
      <c r="AC36" s="98">
        <v>1.0</v>
      </c>
      <c r="AD36" s="98">
        <v>1.0</v>
      </c>
      <c r="AE36" s="111"/>
      <c r="AF36" s="111"/>
      <c r="AG36" s="111">
        <v>1.0</v>
      </c>
      <c r="AH36" s="111"/>
      <c r="AI36" s="111"/>
      <c r="AJ36" s="116"/>
      <c r="AK36" s="109"/>
      <c r="AL36" s="108"/>
      <c r="AM36" s="108"/>
      <c r="AN36" s="105"/>
      <c r="AO36" s="105"/>
      <c r="AP36" s="106"/>
      <c r="AQ36" s="106">
        <v>1.0</v>
      </c>
    </row>
    <row r="37">
      <c r="A37" s="20" t="s">
        <v>121</v>
      </c>
      <c r="B37" s="118"/>
      <c r="C37" s="94">
        <f t="shared" si="1"/>
        <v>0.12</v>
      </c>
      <c r="D37" s="7">
        <v>1.0</v>
      </c>
      <c r="E37" s="7">
        <v>1.0</v>
      </c>
      <c r="F37" s="7">
        <v>1.0</v>
      </c>
      <c r="G37" s="7"/>
      <c r="H37" s="7">
        <v>1.0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10"/>
      <c r="T37" s="114"/>
      <c r="U37" s="114"/>
      <c r="V37" s="114"/>
      <c r="W37" s="114"/>
      <c r="X37" s="114"/>
      <c r="Y37" s="114"/>
      <c r="Z37" s="114"/>
      <c r="AA37" s="114"/>
      <c r="AB37" s="115"/>
      <c r="AC37" s="98">
        <v>1.0</v>
      </c>
      <c r="AD37" s="98"/>
      <c r="AE37" s="111">
        <v>1.0</v>
      </c>
      <c r="AF37" s="111">
        <v>1.0</v>
      </c>
      <c r="AG37" s="111">
        <v>1.0</v>
      </c>
      <c r="AH37" s="111"/>
      <c r="AI37" s="111"/>
      <c r="AJ37" s="116"/>
      <c r="AK37" s="109"/>
      <c r="AL37" s="108"/>
      <c r="AM37" s="108"/>
      <c r="AN37" s="105"/>
      <c r="AO37" s="105"/>
      <c r="AP37" s="112"/>
      <c r="AQ37" s="112"/>
    </row>
    <row r="38">
      <c r="A38" s="20" t="s">
        <v>109</v>
      </c>
      <c r="B38" s="118"/>
      <c r="C38" s="94">
        <f t="shared" si="1"/>
        <v>0.15</v>
      </c>
      <c r="D38" s="7">
        <v>1.0</v>
      </c>
      <c r="E38" s="7">
        <v>1.0</v>
      </c>
      <c r="F38" s="1"/>
      <c r="G38" s="1"/>
      <c r="H38" s="7">
        <v>1.0</v>
      </c>
      <c r="I38" s="7">
        <v>1.0</v>
      </c>
      <c r="J38" s="7">
        <v>1.0</v>
      </c>
      <c r="K38" s="7"/>
      <c r="L38" s="1"/>
      <c r="M38" s="1"/>
      <c r="N38" s="1"/>
      <c r="O38" s="1"/>
      <c r="P38" s="1"/>
      <c r="Q38" s="1"/>
      <c r="R38" s="1"/>
      <c r="S38" s="110"/>
      <c r="T38" s="96">
        <v>1.0</v>
      </c>
      <c r="U38" s="96">
        <v>1.0</v>
      </c>
      <c r="V38" s="114"/>
      <c r="W38" s="114">
        <v>1.0</v>
      </c>
      <c r="X38" s="114"/>
      <c r="Y38" s="114"/>
      <c r="Z38" s="114"/>
      <c r="AA38" s="114"/>
      <c r="AB38" s="115"/>
      <c r="AC38" s="98">
        <v>1.0</v>
      </c>
      <c r="AD38" s="98"/>
      <c r="AE38" s="111"/>
      <c r="AF38" s="111"/>
      <c r="AG38" s="111"/>
      <c r="AH38" s="111"/>
      <c r="AI38" s="111"/>
      <c r="AJ38" s="116"/>
      <c r="AK38" s="109"/>
      <c r="AL38" s="100">
        <v>1.0</v>
      </c>
      <c r="AM38" s="108"/>
      <c r="AN38" s="105"/>
      <c r="AO38" s="105"/>
      <c r="AP38" s="112"/>
      <c r="AQ38" s="112"/>
    </row>
    <row r="39">
      <c r="A39" s="20" t="s">
        <v>129</v>
      </c>
      <c r="B39" s="118"/>
      <c r="C39" s="94">
        <f t="shared" si="1"/>
        <v>0.1</v>
      </c>
      <c r="D39" s="7">
        <v>1.0</v>
      </c>
      <c r="E39" s="7">
        <v>1.0</v>
      </c>
      <c r="F39" s="7">
        <v>1.0</v>
      </c>
      <c r="G39" s="1"/>
      <c r="H39" s="1"/>
      <c r="I39" s="1"/>
      <c r="J39" s="1"/>
      <c r="K39" s="7">
        <v>1.0</v>
      </c>
      <c r="L39" s="7"/>
      <c r="M39" s="1"/>
      <c r="N39" s="1"/>
      <c r="O39" s="1"/>
      <c r="P39" s="1"/>
      <c r="Q39" s="1"/>
      <c r="R39" s="1"/>
      <c r="S39" s="110"/>
      <c r="T39" s="114"/>
      <c r="U39" s="114"/>
      <c r="V39" s="114"/>
      <c r="W39" s="114"/>
      <c r="X39" s="114"/>
      <c r="Y39" s="114"/>
      <c r="Z39" s="114"/>
      <c r="AA39" s="114"/>
      <c r="AB39" s="115"/>
      <c r="AC39" s="98"/>
      <c r="AD39" s="98"/>
      <c r="AE39" s="111"/>
      <c r="AF39" s="111"/>
      <c r="AG39" s="111"/>
      <c r="AH39" s="111"/>
      <c r="AI39" s="111"/>
      <c r="AJ39" s="116"/>
      <c r="AK39" s="109"/>
      <c r="AL39" s="100">
        <v>1.0</v>
      </c>
      <c r="AM39" s="100">
        <v>1.0</v>
      </c>
      <c r="AN39" s="105"/>
      <c r="AO39" s="105"/>
      <c r="AP39" s="112"/>
      <c r="AQ39" s="112"/>
    </row>
    <row r="40">
      <c r="A40" s="4" t="s">
        <v>171</v>
      </c>
      <c r="B40" s="1"/>
      <c r="C40" s="94">
        <f t="shared" si="1"/>
        <v>0.09</v>
      </c>
      <c r="D40" s="7">
        <v>1.0</v>
      </c>
      <c r="E40" s="7">
        <v>1.0</v>
      </c>
      <c r="F40" s="7">
        <v>1.0</v>
      </c>
      <c r="G40" s="7">
        <v>1.0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10"/>
      <c r="T40" s="114"/>
      <c r="U40" s="114"/>
      <c r="V40" s="114"/>
      <c r="W40" s="114"/>
      <c r="X40" s="114"/>
      <c r="Y40" s="114"/>
      <c r="Z40" s="114"/>
      <c r="AA40" s="114"/>
      <c r="AB40" s="115"/>
      <c r="AC40" s="98"/>
      <c r="AD40" s="98"/>
      <c r="AE40" s="111"/>
      <c r="AF40" s="111"/>
      <c r="AG40" s="111"/>
      <c r="AH40" s="98">
        <v>1.0</v>
      </c>
      <c r="AI40" s="111"/>
      <c r="AJ40" s="116"/>
      <c r="AK40" s="109"/>
      <c r="AL40" s="108"/>
      <c r="AM40" s="108"/>
      <c r="AN40" s="105"/>
      <c r="AO40" s="105"/>
      <c r="AP40" s="112"/>
      <c r="AQ40" s="112"/>
    </row>
    <row r="41">
      <c r="A41" s="4" t="s">
        <v>172</v>
      </c>
      <c r="B41" s="1"/>
      <c r="C41" s="94">
        <f t="shared" si="1"/>
        <v>0.06</v>
      </c>
      <c r="D41" s="7"/>
      <c r="E41" s="7">
        <v>1.0</v>
      </c>
      <c r="F41" s="1"/>
      <c r="G41" s="1"/>
      <c r="H41" s="1"/>
      <c r="I41" s="1"/>
      <c r="J41" s="7">
        <v>1.0</v>
      </c>
      <c r="K41" s="1"/>
      <c r="L41" s="1"/>
      <c r="M41" s="1"/>
      <c r="N41" s="1"/>
      <c r="O41" s="1"/>
      <c r="P41" s="1"/>
      <c r="Q41" s="1"/>
      <c r="R41" s="1"/>
      <c r="S41" s="110"/>
      <c r="T41" s="96"/>
      <c r="U41" s="96"/>
      <c r="V41" s="96">
        <v>1.0</v>
      </c>
      <c r="W41" s="114"/>
      <c r="X41" s="114"/>
      <c r="Y41" s="114"/>
      <c r="Z41" s="114"/>
      <c r="AA41" s="114"/>
      <c r="AB41" s="115"/>
      <c r="AC41" s="98"/>
      <c r="AD41" s="98"/>
      <c r="AE41" s="111"/>
      <c r="AF41" s="111"/>
      <c r="AG41" s="111"/>
      <c r="AH41" s="98">
        <v>1.0</v>
      </c>
      <c r="AI41" s="111"/>
      <c r="AJ41" s="116"/>
      <c r="AK41" s="109"/>
      <c r="AL41" s="108"/>
      <c r="AM41" s="108"/>
      <c r="AN41" s="105"/>
      <c r="AO41" s="105"/>
      <c r="AP41" s="112"/>
      <c r="AQ41" s="112"/>
    </row>
    <row r="42">
      <c r="A42" s="4" t="s">
        <v>88</v>
      </c>
      <c r="B42" s="1"/>
      <c r="C42" s="94">
        <f t="shared" si="1"/>
        <v>0.05</v>
      </c>
      <c r="D42" s="7">
        <v>1.0</v>
      </c>
      <c r="E42" s="7">
        <v>1.0</v>
      </c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10"/>
      <c r="T42" s="96"/>
      <c r="U42" s="114"/>
      <c r="V42" s="114"/>
      <c r="W42" s="114"/>
      <c r="X42" s="114"/>
      <c r="Y42" s="114"/>
      <c r="Z42" s="114"/>
      <c r="AA42" s="114"/>
      <c r="AB42" s="115"/>
      <c r="AC42" s="98">
        <v>1.0</v>
      </c>
      <c r="AD42" s="98"/>
      <c r="AE42" s="111"/>
      <c r="AF42" s="111"/>
      <c r="AG42" s="111"/>
      <c r="AH42" s="98"/>
      <c r="AI42" s="111"/>
      <c r="AJ42" s="116"/>
      <c r="AK42" s="109"/>
      <c r="AL42" s="108"/>
      <c r="AM42" s="108"/>
      <c r="AN42" s="105"/>
      <c r="AO42" s="105"/>
      <c r="AP42" s="112"/>
      <c r="AQ42" s="112"/>
    </row>
    <row r="43">
      <c r="A43" s="4" t="s">
        <v>173</v>
      </c>
      <c r="B43" s="1"/>
      <c r="C43" s="94">
        <f t="shared" si="1"/>
        <v>0.08</v>
      </c>
      <c r="D43" s="7">
        <v>1.0</v>
      </c>
      <c r="E43" s="7">
        <v>1.0</v>
      </c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10"/>
      <c r="T43" s="96">
        <v>1.0</v>
      </c>
      <c r="U43" s="96">
        <v>1.0</v>
      </c>
      <c r="V43" s="114"/>
      <c r="W43" s="114"/>
      <c r="X43" s="114"/>
      <c r="Y43" s="114"/>
      <c r="Z43" s="114"/>
      <c r="AA43" s="114"/>
      <c r="AB43" s="115"/>
      <c r="AC43" s="98">
        <v>1.0</v>
      </c>
      <c r="AD43" s="98"/>
      <c r="AE43" s="111"/>
      <c r="AF43" s="111"/>
      <c r="AG43" s="111"/>
      <c r="AH43" s="98"/>
      <c r="AI43" s="111"/>
      <c r="AJ43" s="116"/>
      <c r="AK43" s="109"/>
      <c r="AL43" s="100">
        <v>1.0</v>
      </c>
      <c r="AM43" s="108"/>
      <c r="AN43" s="105"/>
      <c r="AO43" s="105"/>
      <c r="AP43" s="112"/>
      <c r="AQ43" s="112"/>
    </row>
    <row r="44">
      <c r="A44" s="4" t="s">
        <v>174</v>
      </c>
      <c r="B44" s="7"/>
      <c r="C44" s="94">
        <f t="shared" si="1"/>
        <v>0.02</v>
      </c>
      <c r="D44" s="7"/>
      <c r="E44" s="7">
        <v>1.0</v>
      </c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10"/>
      <c r="T44" s="114"/>
      <c r="U44" s="114"/>
      <c r="V44" s="114"/>
      <c r="W44" s="114"/>
      <c r="X44" s="114"/>
      <c r="Y44" s="114"/>
      <c r="Z44" s="114"/>
      <c r="AA44" s="114"/>
      <c r="AB44" s="115"/>
      <c r="AC44" s="98"/>
      <c r="AD44" s="98"/>
      <c r="AE44" s="111"/>
      <c r="AF44" s="111"/>
      <c r="AG44" s="111"/>
      <c r="AH44" s="98"/>
      <c r="AI44" s="111"/>
      <c r="AJ44" s="116"/>
      <c r="AK44" s="109"/>
      <c r="AL44" s="108"/>
      <c r="AM44" s="108"/>
      <c r="AN44" s="105"/>
      <c r="AO44" s="105"/>
      <c r="AP44" s="106"/>
      <c r="AQ44" s="106"/>
    </row>
    <row r="45">
      <c r="A45" s="4" t="s">
        <v>175</v>
      </c>
      <c r="B45" s="7" t="s">
        <v>176</v>
      </c>
      <c r="C45" s="94">
        <f t="shared" si="1"/>
        <v>0.02</v>
      </c>
      <c r="D45" s="7">
        <v>1.0</v>
      </c>
      <c r="E45" s="7"/>
      <c r="F45" s="7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10"/>
      <c r="T45" s="114"/>
      <c r="U45" s="114"/>
      <c r="V45" s="114"/>
      <c r="W45" s="114"/>
      <c r="X45" s="114"/>
      <c r="Y45" s="114"/>
      <c r="Z45" s="114"/>
      <c r="AA45" s="114"/>
      <c r="AB45" s="115"/>
      <c r="AC45" s="98"/>
      <c r="AD45" s="98"/>
      <c r="AE45" s="111"/>
      <c r="AF45" s="111"/>
      <c r="AG45" s="111"/>
      <c r="AH45" s="98"/>
      <c r="AI45" s="111"/>
      <c r="AJ45" s="116"/>
      <c r="AK45" s="109"/>
      <c r="AL45" s="108"/>
      <c r="AM45" s="108"/>
      <c r="AN45" s="105"/>
      <c r="AO45" s="105"/>
      <c r="AP45" s="106"/>
      <c r="AQ45" s="106"/>
    </row>
    <row r="46">
      <c r="A46" s="119" t="s">
        <v>177</v>
      </c>
      <c r="B46" s="120"/>
      <c r="C46" s="121">
        <f t="shared" si="1"/>
        <v>0.04</v>
      </c>
      <c r="D46" s="120">
        <v>1.0</v>
      </c>
      <c r="E46" s="120"/>
      <c r="F46" s="120"/>
      <c r="G46" s="120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122"/>
      <c r="T46" s="123"/>
      <c r="U46" s="123"/>
      <c r="V46" s="123"/>
      <c r="W46" s="123"/>
      <c r="X46" s="123"/>
      <c r="Y46" s="123"/>
      <c r="Z46" s="123"/>
      <c r="AA46" s="123"/>
      <c r="AB46" s="124"/>
      <c r="AC46" s="125">
        <v>1.0</v>
      </c>
      <c r="AD46" s="125"/>
      <c r="AE46" s="126"/>
      <c r="AF46" s="126"/>
      <c r="AG46" s="126"/>
      <c r="AH46" s="125"/>
      <c r="AI46" s="126"/>
      <c r="AJ46" s="127"/>
      <c r="AK46" s="128"/>
      <c r="AL46" s="129"/>
      <c r="AM46" s="129"/>
      <c r="AN46" s="130"/>
      <c r="AO46" s="130"/>
      <c r="AP46" s="131"/>
      <c r="AQ46" s="131">
        <v>1.0</v>
      </c>
      <c r="AR46" s="132"/>
      <c r="AS46" s="132"/>
    </row>
    <row r="47">
      <c r="A47" s="1"/>
      <c r="B47" s="1"/>
      <c r="S47" s="133"/>
      <c r="AB47" s="133"/>
    </row>
    <row r="48">
      <c r="A48" s="134" t="s">
        <v>178</v>
      </c>
      <c r="B48" s="135" t="s">
        <v>179</v>
      </c>
      <c r="S48" s="133"/>
      <c r="AB48" s="133"/>
    </row>
    <row r="49">
      <c r="A49" s="4" t="s">
        <v>180</v>
      </c>
      <c r="B49" s="136">
        <v>0.02</v>
      </c>
      <c r="S49" s="133"/>
      <c r="AB49" s="133"/>
    </row>
    <row r="50">
      <c r="A50" s="4" t="s">
        <v>181</v>
      </c>
      <c r="B50" s="136">
        <v>0.01</v>
      </c>
      <c r="S50" s="133"/>
      <c r="AB50" s="133"/>
    </row>
    <row r="51">
      <c r="A51" s="4" t="s">
        <v>182</v>
      </c>
      <c r="B51" s="136">
        <v>0.01</v>
      </c>
      <c r="S51" s="133"/>
      <c r="AB51" s="133"/>
    </row>
    <row r="52">
      <c r="A52" s="4" t="s">
        <v>183</v>
      </c>
      <c r="B52" s="136">
        <v>0.02</v>
      </c>
      <c r="S52" s="133"/>
      <c r="AB52" s="133"/>
    </row>
    <row r="53">
      <c r="A53" s="4" t="s">
        <v>184</v>
      </c>
      <c r="B53" s="136">
        <v>0.01</v>
      </c>
      <c r="S53" s="133"/>
      <c r="AB53" s="133"/>
    </row>
    <row r="54">
      <c r="A54" s="119" t="s">
        <v>185</v>
      </c>
      <c r="B54" s="137">
        <v>0.01</v>
      </c>
      <c r="S54" s="133"/>
      <c r="AB54" s="133"/>
    </row>
    <row r="55">
      <c r="S55" s="133"/>
      <c r="AB55" s="133"/>
    </row>
    <row r="56">
      <c r="A56" s="138" t="s">
        <v>186</v>
      </c>
      <c r="S56" s="133"/>
      <c r="AB56" s="133"/>
    </row>
    <row r="57">
      <c r="A57" s="139" t="s">
        <v>187</v>
      </c>
      <c r="S57" s="133"/>
      <c r="AB57" s="133"/>
    </row>
    <row r="58">
      <c r="A58" s="139" t="s">
        <v>188</v>
      </c>
      <c r="S58" s="133"/>
      <c r="AB58" s="133"/>
    </row>
    <row r="59">
      <c r="A59" s="139" t="s">
        <v>189</v>
      </c>
      <c r="S59" s="133"/>
      <c r="AB59" s="133"/>
    </row>
    <row r="60">
      <c r="A60" s="139" t="s">
        <v>190</v>
      </c>
      <c r="S60" s="133"/>
      <c r="AB60" s="133"/>
    </row>
    <row r="61">
      <c r="A61" s="140" t="s">
        <v>191</v>
      </c>
      <c r="S61" s="133"/>
      <c r="AB61" s="133"/>
    </row>
    <row r="62">
      <c r="S62" s="133"/>
      <c r="AB62" s="133"/>
    </row>
    <row r="63">
      <c r="A63" s="141" t="s">
        <v>192</v>
      </c>
      <c r="B63" s="142"/>
      <c r="C63" s="142"/>
      <c r="D63" s="142"/>
      <c r="E63" s="142"/>
      <c r="F63" s="142"/>
      <c r="G63" s="142"/>
      <c r="H63" s="142"/>
      <c r="I63" s="143"/>
      <c r="S63" s="133"/>
      <c r="AB63" s="133"/>
    </row>
    <row r="64">
      <c r="A64" s="134" t="s">
        <v>71</v>
      </c>
      <c r="B64" s="134" t="s">
        <v>72</v>
      </c>
      <c r="C64" s="134" t="s">
        <v>68</v>
      </c>
      <c r="D64" s="134"/>
      <c r="E64" s="134"/>
      <c r="F64" s="134"/>
      <c r="G64" s="134"/>
      <c r="H64" s="134" t="s">
        <v>70</v>
      </c>
      <c r="I64" s="134" t="s">
        <v>8</v>
      </c>
      <c r="S64" s="133"/>
      <c r="AB64" s="133"/>
    </row>
    <row r="65">
      <c r="A65" s="4">
        <v>1.0</v>
      </c>
      <c r="B65" s="7">
        <v>1.0</v>
      </c>
      <c r="C65" s="7">
        <v>1.0</v>
      </c>
      <c r="D65" s="7"/>
      <c r="E65" s="7"/>
      <c r="F65" s="7"/>
      <c r="G65" s="7"/>
      <c r="H65" s="57">
        <f t="shared" ref="H65:H72" si="2"> if( A65=1, if( B65=1, if( C65=1, 5, 3), if( C65=1, 1, -3 ) ), if(B65=1,if(C65=1, -1, -2 ), if(C65=1, 7, 0 ) ) )</f>
        <v>5</v>
      </c>
      <c r="I65" s="95" t="s">
        <v>133</v>
      </c>
      <c r="S65" s="133"/>
      <c r="AB65" s="133"/>
    </row>
    <row r="66">
      <c r="A66" s="4">
        <v>1.0</v>
      </c>
      <c r="B66" s="7">
        <v>1.0</v>
      </c>
      <c r="C66" s="7">
        <v>0.0</v>
      </c>
      <c r="D66" s="7"/>
      <c r="E66" s="7"/>
      <c r="F66" s="7"/>
      <c r="G66" s="7"/>
      <c r="H66" s="39">
        <f t="shared" si="2"/>
        <v>3</v>
      </c>
      <c r="I66" s="95" t="s">
        <v>134</v>
      </c>
      <c r="S66" s="133"/>
      <c r="AB66" s="133"/>
    </row>
    <row r="67">
      <c r="A67" s="4">
        <v>1.0</v>
      </c>
      <c r="B67" s="7">
        <v>0.0</v>
      </c>
      <c r="C67" s="7">
        <v>1.0</v>
      </c>
      <c r="D67" s="7"/>
      <c r="E67" s="7"/>
      <c r="F67" s="7"/>
      <c r="G67" s="7"/>
      <c r="H67" s="39">
        <f t="shared" si="2"/>
        <v>1</v>
      </c>
      <c r="I67" s="95" t="s">
        <v>135</v>
      </c>
      <c r="S67" s="133"/>
      <c r="AB67" s="133"/>
    </row>
    <row r="68">
      <c r="A68" s="4">
        <v>1.0</v>
      </c>
      <c r="B68" s="7">
        <v>0.0</v>
      </c>
      <c r="C68" s="7">
        <v>0.0</v>
      </c>
      <c r="D68" s="7"/>
      <c r="E68" s="7"/>
      <c r="F68" s="7"/>
      <c r="G68" s="7"/>
      <c r="H68" s="39">
        <f t="shared" si="2"/>
        <v>-3</v>
      </c>
      <c r="I68" s="95" t="s">
        <v>139</v>
      </c>
      <c r="S68" s="133"/>
      <c r="AB68" s="133"/>
    </row>
    <row r="69">
      <c r="A69" s="4">
        <v>0.0</v>
      </c>
      <c r="B69" s="7">
        <v>1.0</v>
      </c>
      <c r="C69" s="7">
        <v>1.0</v>
      </c>
      <c r="D69" s="7"/>
      <c r="E69" s="7"/>
      <c r="F69" s="7"/>
      <c r="G69" s="7"/>
      <c r="H69" s="39">
        <f t="shared" si="2"/>
        <v>-1</v>
      </c>
      <c r="I69" s="95" t="s">
        <v>137</v>
      </c>
      <c r="S69" s="133"/>
      <c r="AB69" s="133"/>
    </row>
    <row r="70">
      <c r="A70" s="4">
        <v>0.0</v>
      </c>
      <c r="B70" s="7">
        <v>1.0</v>
      </c>
      <c r="C70" s="7">
        <v>0.0</v>
      </c>
      <c r="D70" s="7"/>
      <c r="E70" s="7"/>
      <c r="F70" s="7"/>
      <c r="G70" s="7"/>
      <c r="H70" s="39">
        <f t="shared" si="2"/>
        <v>-2</v>
      </c>
      <c r="I70" s="95" t="s">
        <v>138</v>
      </c>
      <c r="S70" s="133"/>
      <c r="AB70" s="133"/>
    </row>
    <row r="71">
      <c r="A71" s="4">
        <v>0.0</v>
      </c>
      <c r="B71" s="7">
        <v>0.0</v>
      </c>
      <c r="C71" s="7">
        <v>1.0</v>
      </c>
      <c r="D71" s="7"/>
      <c r="E71" s="7"/>
      <c r="F71" s="7"/>
      <c r="G71" s="7"/>
      <c r="H71" s="39">
        <f t="shared" si="2"/>
        <v>7</v>
      </c>
      <c r="I71" s="95" t="s">
        <v>132</v>
      </c>
      <c r="S71" s="133"/>
      <c r="AB71" s="133"/>
    </row>
    <row r="72">
      <c r="A72" s="119">
        <v>0.0</v>
      </c>
      <c r="B72" s="120">
        <v>0.0</v>
      </c>
      <c r="C72" s="120">
        <v>0.0</v>
      </c>
      <c r="D72" s="120"/>
      <c r="E72" s="120"/>
      <c r="F72" s="120"/>
      <c r="G72" s="120"/>
      <c r="H72" s="72">
        <f t="shared" si="2"/>
        <v>0</v>
      </c>
      <c r="I72" s="144" t="s">
        <v>136</v>
      </c>
      <c r="S72" s="133"/>
      <c r="AB72" s="133"/>
    </row>
    <row r="73">
      <c r="S73" s="133"/>
      <c r="AB73" s="133"/>
    </row>
    <row r="74">
      <c r="S74" s="133"/>
      <c r="AB74" s="133"/>
    </row>
    <row r="75">
      <c r="S75" s="133"/>
      <c r="AB75" s="133"/>
    </row>
    <row r="76">
      <c r="S76" s="133"/>
      <c r="AB76" s="133"/>
    </row>
    <row r="77">
      <c r="S77" s="133"/>
      <c r="AB77" s="133"/>
    </row>
    <row r="78">
      <c r="S78" s="133"/>
      <c r="AB78" s="133"/>
    </row>
    <row r="79">
      <c r="S79" s="133"/>
      <c r="AB79" s="133"/>
    </row>
    <row r="80">
      <c r="S80" s="133"/>
      <c r="AB80" s="133"/>
    </row>
    <row r="81">
      <c r="S81" s="133"/>
      <c r="AB81" s="133"/>
    </row>
    <row r="82">
      <c r="S82" s="133"/>
      <c r="AB82" s="133"/>
    </row>
    <row r="83">
      <c r="S83" s="133"/>
      <c r="AB83" s="133"/>
    </row>
    <row r="84">
      <c r="S84" s="133"/>
      <c r="AB84" s="133"/>
    </row>
    <row r="85">
      <c r="S85" s="133"/>
      <c r="AB85" s="133"/>
    </row>
    <row r="86">
      <c r="S86" s="133"/>
      <c r="AB86" s="133"/>
    </row>
    <row r="87">
      <c r="S87" s="133"/>
      <c r="AB87" s="133"/>
    </row>
    <row r="88">
      <c r="S88" s="133"/>
      <c r="AB88" s="133"/>
    </row>
    <row r="89">
      <c r="S89" s="133"/>
      <c r="AB89" s="133"/>
    </row>
    <row r="90">
      <c r="S90" s="133"/>
      <c r="AB90" s="133"/>
    </row>
    <row r="91">
      <c r="S91" s="133"/>
      <c r="AB91" s="133"/>
    </row>
    <row r="92">
      <c r="S92" s="133"/>
      <c r="AB92" s="133"/>
    </row>
    <row r="93">
      <c r="S93" s="133"/>
      <c r="AB93" s="133"/>
    </row>
    <row r="94">
      <c r="S94" s="133"/>
      <c r="AB94" s="133"/>
    </row>
    <row r="95">
      <c r="S95" s="133"/>
      <c r="AB95" s="133"/>
    </row>
    <row r="96">
      <c r="S96" s="133"/>
      <c r="AB96" s="133"/>
    </row>
    <row r="97">
      <c r="S97" s="133"/>
      <c r="AB97" s="133"/>
    </row>
    <row r="98">
      <c r="S98" s="133"/>
      <c r="AB98" s="133"/>
    </row>
    <row r="99">
      <c r="S99" s="133"/>
      <c r="AB99" s="133"/>
    </row>
    <row r="100">
      <c r="S100" s="133"/>
      <c r="AB100" s="133"/>
    </row>
    <row r="101">
      <c r="S101" s="133"/>
      <c r="AB101" s="133"/>
    </row>
    <row r="102">
      <c r="S102" s="133"/>
      <c r="AB102" s="133"/>
    </row>
    <row r="103">
      <c r="S103" s="133"/>
      <c r="AB103" s="133"/>
    </row>
    <row r="104">
      <c r="S104" s="133"/>
      <c r="AB104" s="133"/>
    </row>
    <row r="105">
      <c r="S105" s="133"/>
      <c r="AB105" s="133"/>
    </row>
    <row r="106">
      <c r="S106" s="133"/>
      <c r="AB106" s="133"/>
    </row>
    <row r="107">
      <c r="S107" s="133"/>
      <c r="AB107" s="133"/>
    </row>
    <row r="108">
      <c r="S108" s="133"/>
      <c r="AB108" s="133"/>
    </row>
    <row r="109">
      <c r="S109" s="133"/>
      <c r="AB109" s="133"/>
    </row>
    <row r="110">
      <c r="S110" s="133"/>
      <c r="AB110" s="133"/>
    </row>
    <row r="111">
      <c r="S111" s="133"/>
      <c r="AB111" s="133"/>
    </row>
    <row r="112">
      <c r="S112" s="133"/>
      <c r="AB112" s="133"/>
    </row>
    <row r="113">
      <c r="S113" s="133"/>
      <c r="AB113" s="133"/>
    </row>
    <row r="114">
      <c r="S114" s="133"/>
      <c r="AB114" s="133"/>
    </row>
    <row r="115">
      <c r="S115" s="133"/>
      <c r="AB115" s="133"/>
    </row>
    <row r="116">
      <c r="S116" s="133"/>
      <c r="AB116" s="133"/>
    </row>
    <row r="117">
      <c r="S117" s="133"/>
      <c r="AB117" s="133"/>
    </row>
    <row r="118">
      <c r="S118" s="133"/>
      <c r="AB118" s="133"/>
    </row>
    <row r="119">
      <c r="S119" s="133"/>
      <c r="AB119" s="133"/>
    </row>
    <row r="120">
      <c r="S120" s="133"/>
      <c r="AB120" s="133"/>
    </row>
    <row r="121">
      <c r="S121" s="133"/>
      <c r="AB121" s="133"/>
    </row>
    <row r="122">
      <c r="S122" s="133"/>
      <c r="AB122" s="133"/>
    </row>
    <row r="123">
      <c r="S123" s="133"/>
      <c r="AB123" s="133"/>
    </row>
    <row r="124">
      <c r="S124" s="133"/>
      <c r="AB124" s="133"/>
    </row>
    <row r="125">
      <c r="S125" s="133"/>
      <c r="AB125" s="133"/>
    </row>
    <row r="126">
      <c r="S126" s="133"/>
      <c r="AB126" s="133"/>
    </row>
    <row r="127">
      <c r="S127" s="133"/>
      <c r="AB127" s="133"/>
    </row>
    <row r="128">
      <c r="S128" s="133"/>
      <c r="AB128" s="133"/>
    </row>
    <row r="129">
      <c r="S129" s="133"/>
      <c r="AB129" s="133"/>
    </row>
    <row r="130">
      <c r="S130" s="133"/>
      <c r="AB130" s="133"/>
    </row>
    <row r="131">
      <c r="S131" s="133"/>
      <c r="AB131" s="133"/>
    </row>
    <row r="132">
      <c r="S132" s="133"/>
      <c r="AB132" s="133"/>
    </row>
    <row r="133">
      <c r="S133" s="133"/>
      <c r="AB133" s="133"/>
    </row>
    <row r="134">
      <c r="S134" s="133"/>
      <c r="AB134" s="133"/>
    </row>
    <row r="135">
      <c r="S135" s="133"/>
      <c r="AB135" s="133"/>
    </row>
    <row r="136">
      <c r="S136" s="133"/>
      <c r="AB136" s="133"/>
    </row>
    <row r="137">
      <c r="S137" s="133"/>
      <c r="AB137" s="133"/>
    </row>
    <row r="138">
      <c r="S138" s="133"/>
      <c r="AB138" s="133"/>
    </row>
    <row r="139">
      <c r="S139" s="133"/>
      <c r="AB139" s="133"/>
    </row>
    <row r="140">
      <c r="S140" s="133"/>
      <c r="AB140" s="133"/>
    </row>
    <row r="141">
      <c r="S141" s="133"/>
      <c r="AB141" s="133"/>
    </row>
    <row r="142">
      <c r="S142" s="133"/>
      <c r="AB142" s="133"/>
    </row>
    <row r="143">
      <c r="S143" s="133"/>
      <c r="AB143" s="133"/>
    </row>
    <row r="144">
      <c r="S144" s="133"/>
      <c r="AB144" s="133"/>
    </row>
    <row r="145">
      <c r="S145" s="133"/>
      <c r="AB145" s="133"/>
    </row>
    <row r="146">
      <c r="S146" s="133"/>
      <c r="AB146" s="133"/>
    </row>
    <row r="147">
      <c r="S147" s="133"/>
      <c r="AB147" s="133"/>
    </row>
    <row r="148">
      <c r="S148" s="133"/>
      <c r="AB148" s="133"/>
    </row>
    <row r="149">
      <c r="S149" s="133"/>
      <c r="AB149" s="133"/>
    </row>
    <row r="150">
      <c r="S150" s="133"/>
      <c r="AB150" s="133"/>
    </row>
    <row r="151">
      <c r="S151" s="133"/>
      <c r="AB151" s="133"/>
    </row>
    <row r="152">
      <c r="S152" s="133"/>
      <c r="AB152" s="133"/>
    </row>
    <row r="153">
      <c r="S153" s="133"/>
      <c r="AB153" s="133"/>
    </row>
    <row r="154">
      <c r="S154" s="133"/>
      <c r="AB154" s="133"/>
    </row>
    <row r="155">
      <c r="S155" s="133"/>
      <c r="AB155" s="133"/>
    </row>
    <row r="156">
      <c r="S156" s="133"/>
      <c r="AB156" s="133"/>
    </row>
    <row r="157">
      <c r="S157" s="133"/>
      <c r="AB157" s="133"/>
    </row>
    <row r="158">
      <c r="S158" s="133"/>
      <c r="AB158" s="133"/>
    </row>
    <row r="159">
      <c r="S159" s="133"/>
      <c r="AB159" s="133"/>
    </row>
    <row r="160">
      <c r="S160" s="133"/>
      <c r="AB160" s="133"/>
    </row>
    <row r="161">
      <c r="S161" s="133"/>
      <c r="AB161" s="133"/>
    </row>
    <row r="162">
      <c r="S162" s="133"/>
      <c r="AB162" s="133"/>
    </row>
    <row r="163">
      <c r="S163" s="133"/>
      <c r="AB163" s="133"/>
    </row>
    <row r="164">
      <c r="S164" s="133"/>
      <c r="AB164" s="133"/>
    </row>
    <row r="165">
      <c r="S165" s="133"/>
      <c r="AB165" s="133"/>
    </row>
    <row r="166">
      <c r="S166" s="133"/>
      <c r="AB166" s="133"/>
    </row>
    <row r="167">
      <c r="S167" s="133"/>
      <c r="AB167" s="133"/>
    </row>
    <row r="168">
      <c r="S168" s="133"/>
      <c r="AB168" s="133"/>
    </row>
    <row r="169">
      <c r="S169" s="133"/>
      <c r="AB169" s="133"/>
    </row>
    <row r="170">
      <c r="S170" s="133"/>
      <c r="AB170" s="133"/>
    </row>
    <row r="171">
      <c r="S171" s="133"/>
      <c r="AB171" s="133"/>
    </row>
    <row r="172">
      <c r="S172" s="133"/>
      <c r="AB172" s="133"/>
    </row>
    <row r="173">
      <c r="S173" s="133"/>
      <c r="AB173" s="133"/>
    </row>
    <row r="174">
      <c r="S174" s="133"/>
      <c r="AB174" s="133"/>
    </row>
    <row r="175">
      <c r="S175" s="133"/>
      <c r="AB175" s="133"/>
    </row>
    <row r="176">
      <c r="S176" s="133"/>
      <c r="AB176" s="133"/>
    </row>
    <row r="177">
      <c r="S177" s="133"/>
      <c r="AB177" s="133"/>
    </row>
    <row r="178">
      <c r="S178" s="133"/>
      <c r="AB178" s="133"/>
    </row>
    <row r="179">
      <c r="S179" s="133"/>
      <c r="AB179" s="133"/>
    </row>
    <row r="180">
      <c r="S180" s="133"/>
      <c r="AB180" s="133"/>
    </row>
    <row r="181">
      <c r="S181" s="133"/>
      <c r="AB181" s="133"/>
    </row>
    <row r="182">
      <c r="S182" s="133"/>
      <c r="AB182" s="133"/>
    </row>
    <row r="183">
      <c r="S183" s="133"/>
      <c r="AB183" s="133"/>
    </row>
    <row r="184">
      <c r="S184" s="133"/>
      <c r="AB184" s="133"/>
    </row>
    <row r="185">
      <c r="S185" s="133"/>
      <c r="AB185" s="133"/>
    </row>
    <row r="186">
      <c r="S186" s="133"/>
      <c r="AB186" s="133"/>
    </row>
    <row r="187">
      <c r="S187" s="133"/>
      <c r="AB187" s="133"/>
    </row>
    <row r="188">
      <c r="S188" s="133"/>
      <c r="AB188" s="133"/>
    </row>
    <row r="189">
      <c r="S189" s="133"/>
      <c r="AB189" s="133"/>
    </row>
    <row r="190">
      <c r="S190" s="133"/>
      <c r="AB190" s="133"/>
    </row>
    <row r="191">
      <c r="S191" s="133"/>
      <c r="AB191" s="133"/>
    </row>
    <row r="192">
      <c r="S192" s="133"/>
      <c r="AB192" s="133"/>
    </row>
    <row r="193">
      <c r="S193" s="133"/>
      <c r="AB193" s="133"/>
    </row>
    <row r="194">
      <c r="S194" s="133"/>
      <c r="AB194" s="133"/>
    </row>
    <row r="195">
      <c r="S195" s="133"/>
      <c r="AB195" s="133"/>
    </row>
    <row r="196">
      <c r="S196" s="133"/>
      <c r="AB196" s="133"/>
    </row>
    <row r="197">
      <c r="S197" s="133"/>
      <c r="AB197" s="133"/>
    </row>
    <row r="198">
      <c r="S198" s="133"/>
      <c r="AB198" s="133"/>
    </row>
    <row r="199">
      <c r="S199" s="133"/>
      <c r="AB199" s="133"/>
    </row>
    <row r="200">
      <c r="S200" s="133"/>
      <c r="AB200" s="133"/>
    </row>
    <row r="201">
      <c r="S201" s="133"/>
      <c r="AB201" s="133"/>
    </row>
    <row r="202">
      <c r="S202" s="133"/>
      <c r="AB202" s="133"/>
    </row>
    <row r="203">
      <c r="S203" s="133"/>
      <c r="AB203" s="133"/>
    </row>
    <row r="204">
      <c r="S204" s="133"/>
      <c r="AB204" s="133"/>
    </row>
    <row r="205">
      <c r="S205" s="133"/>
      <c r="AB205" s="133"/>
    </row>
    <row r="206">
      <c r="S206" s="133"/>
      <c r="AB206" s="133"/>
    </row>
    <row r="207">
      <c r="S207" s="133"/>
      <c r="AB207" s="133"/>
    </row>
    <row r="208">
      <c r="S208" s="133"/>
      <c r="AB208" s="133"/>
    </row>
    <row r="209">
      <c r="S209" s="133"/>
      <c r="AB209" s="133"/>
    </row>
    <row r="210">
      <c r="S210" s="133"/>
      <c r="AB210" s="133"/>
    </row>
    <row r="211">
      <c r="S211" s="133"/>
      <c r="AB211" s="133"/>
    </row>
    <row r="212">
      <c r="S212" s="133"/>
      <c r="AB212" s="133"/>
    </row>
    <row r="213">
      <c r="S213" s="133"/>
      <c r="AB213" s="133"/>
    </row>
    <row r="214">
      <c r="S214" s="133"/>
      <c r="AB214" s="133"/>
    </row>
    <row r="215">
      <c r="S215" s="133"/>
      <c r="AB215" s="133"/>
    </row>
    <row r="216">
      <c r="S216" s="133"/>
      <c r="AB216" s="133"/>
    </row>
    <row r="217">
      <c r="S217" s="133"/>
      <c r="AB217" s="133"/>
    </row>
    <row r="218">
      <c r="S218" s="133"/>
      <c r="AB218" s="133"/>
    </row>
    <row r="219">
      <c r="S219" s="133"/>
      <c r="AB219" s="133"/>
    </row>
    <row r="220">
      <c r="S220" s="133"/>
      <c r="AB220" s="133"/>
    </row>
    <row r="221">
      <c r="S221" s="133"/>
      <c r="AB221" s="133"/>
    </row>
    <row r="222">
      <c r="S222" s="133"/>
      <c r="AB222" s="133"/>
    </row>
    <row r="223">
      <c r="S223" s="133"/>
      <c r="AB223" s="133"/>
    </row>
    <row r="224">
      <c r="S224" s="133"/>
      <c r="AB224" s="133"/>
    </row>
    <row r="225">
      <c r="S225" s="133"/>
      <c r="AB225" s="133"/>
    </row>
    <row r="226">
      <c r="S226" s="133"/>
      <c r="AB226" s="133"/>
    </row>
    <row r="227">
      <c r="S227" s="133"/>
      <c r="AB227" s="133"/>
    </row>
    <row r="228">
      <c r="S228" s="133"/>
      <c r="AB228" s="133"/>
    </row>
    <row r="229">
      <c r="S229" s="133"/>
      <c r="AB229" s="133"/>
    </row>
    <row r="230">
      <c r="S230" s="133"/>
      <c r="AB230" s="133"/>
    </row>
    <row r="231">
      <c r="S231" s="133"/>
      <c r="AB231" s="133"/>
    </row>
    <row r="232">
      <c r="S232" s="133"/>
      <c r="AB232" s="133"/>
    </row>
    <row r="233">
      <c r="S233" s="133"/>
      <c r="AB233" s="133"/>
    </row>
    <row r="234">
      <c r="S234" s="133"/>
      <c r="AB234" s="133"/>
    </row>
    <row r="235">
      <c r="S235" s="133"/>
      <c r="AB235" s="133"/>
    </row>
    <row r="236">
      <c r="S236" s="133"/>
      <c r="AB236" s="133"/>
    </row>
    <row r="237">
      <c r="S237" s="133"/>
      <c r="AB237" s="133"/>
    </row>
    <row r="238">
      <c r="S238" s="133"/>
      <c r="AB238" s="133"/>
    </row>
    <row r="239">
      <c r="S239" s="133"/>
      <c r="AB239" s="133"/>
    </row>
    <row r="240">
      <c r="S240" s="133"/>
      <c r="AB240" s="133"/>
    </row>
    <row r="241">
      <c r="S241" s="133"/>
      <c r="AB241" s="133"/>
    </row>
    <row r="242">
      <c r="S242" s="133"/>
      <c r="AB242" s="133"/>
    </row>
    <row r="243">
      <c r="S243" s="133"/>
      <c r="AB243" s="133"/>
    </row>
    <row r="244">
      <c r="S244" s="133"/>
      <c r="AB244" s="133"/>
    </row>
    <row r="245">
      <c r="S245" s="133"/>
      <c r="AB245" s="133"/>
    </row>
    <row r="246">
      <c r="S246" s="133"/>
      <c r="AB246" s="133"/>
    </row>
    <row r="247">
      <c r="S247" s="133"/>
      <c r="AB247" s="133"/>
    </row>
    <row r="248">
      <c r="S248" s="133"/>
      <c r="AB248" s="133"/>
    </row>
    <row r="249">
      <c r="S249" s="133"/>
      <c r="AB249" s="133"/>
    </row>
    <row r="250">
      <c r="S250" s="133"/>
      <c r="AB250" s="133"/>
    </row>
    <row r="251">
      <c r="S251" s="133"/>
      <c r="AB251" s="133"/>
    </row>
    <row r="252">
      <c r="S252" s="133"/>
      <c r="AB252" s="133"/>
    </row>
    <row r="253">
      <c r="S253" s="133"/>
      <c r="AB253" s="133"/>
    </row>
    <row r="254">
      <c r="S254" s="133"/>
      <c r="AB254" s="133"/>
    </row>
    <row r="255">
      <c r="S255" s="133"/>
      <c r="AB255" s="133"/>
    </row>
    <row r="256">
      <c r="S256" s="133"/>
      <c r="AB256" s="133"/>
    </row>
    <row r="257">
      <c r="S257" s="133"/>
      <c r="AB257" s="133"/>
    </row>
    <row r="258">
      <c r="S258" s="133"/>
      <c r="AB258" s="133"/>
    </row>
    <row r="259">
      <c r="S259" s="133"/>
      <c r="AB259" s="133"/>
    </row>
    <row r="260">
      <c r="S260" s="133"/>
      <c r="AB260" s="133"/>
    </row>
    <row r="261">
      <c r="S261" s="133"/>
      <c r="AB261" s="133"/>
    </row>
    <row r="262">
      <c r="S262" s="133"/>
      <c r="AB262" s="133"/>
    </row>
    <row r="263">
      <c r="S263" s="133"/>
      <c r="AB263" s="133"/>
    </row>
    <row r="264">
      <c r="S264" s="133"/>
      <c r="AB264" s="133"/>
    </row>
    <row r="265">
      <c r="S265" s="133"/>
      <c r="AB265" s="133"/>
    </row>
    <row r="266">
      <c r="S266" s="133"/>
      <c r="AB266" s="133"/>
    </row>
    <row r="267">
      <c r="S267" s="133"/>
      <c r="AB267" s="133"/>
    </row>
    <row r="268">
      <c r="S268" s="133"/>
      <c r="AB268" s="133"/>
    </row>
    <row r="269">
      <c r="S269" s="133"/>
      <c r="AB269" s="133"/>
    </row>
    <row r="270">
      <c r="S270" s="133"/>
      <c r="AB270" s="133"/>
    </row>
    <row r="271">
      <c r="S271" s="133"/>
      <c r="AB271" s="133"/>
    </row>
    <row r="272">
      <c r="S272" s="133"/>
      <c r="AB272" s="133"/>
    </row>
    <row r="273">
      <c r="S273" s="133"/>
      <c r="AB273" s="133"/>
    </row>
    <row r="274">
      <c r="S274" s="133"/>
      <c r="AB274" s="133"/>
    </row>
    <row r="275">
      <c r="S275" s="133"/>
      <c r="AB275" s="133"/>
    </row>
    <row r="276">
      <c r="S276" s="133"/>
      <c r="AB276" s="133"/>
    </row>
    <row r="277">
      <c r="S277" s="133"/>
      <c r="AB277" s="133"/>
    </row>
    <row r="278">
      <c r="S278" s="133"/>
      <c r="AB278" s="133"/>
    </row>
    <row r="279">
      <c r="S279" s="133"/>
      <c r="AB279" s="133"/>
    </row>
    <row r="280">
      <c r="S280" s="133"/>
      <c r="AB280" s="133"/>
    </row>
    <row r="281">
      <c r="S281" s="133"/>
      <c r="AB281" s="133"/>
    </row>
    <row r="282">
      <c r="S282" s="133"/>
      <c r="AB282" s="133"/>
    </row>
    <row r="283">
      <c r="S283" s="133"/>
      <c r="AB283" s="133"/>
    </row>
    <row r="284">
      <c r="S284" s="133"/>
      <c r="AB284" s="133"/>
    </row>
    <row r="285">
      <c r="S285" s="133"/>
      <c r="AB285" s="133"/>
    </row>
    <row r="286">
      <c r="S286" s="133"/>
      <c r="AB286" s="133"/>
    </row>
    <row r="287">
      <c r="S287" s="133"/>
      <c r="AB287" s="133"/>
    </row>
    <row r="288">
      <c r="S288" s="133"/>
      <c r="AB288" s="133"/>
    </row>
    <row r="289">
      <c r="S289" s="133"/>
      <c r="AB289" s="133"/>
    </row>
    <row r="290">
      <c r="S290" s="133"/>
      <c r="AB290" s="133"/>
    </row>
    <row r="291">
      <c r="S291" s="133"/>
      <c r="AB291" s="133"/>
    </row>
    <row r="292">
      <c r="S292" s="133"/>
      <c r="AB292" s="133"/>
    </row>
    <row r="293">
      <c r="S293" s="133"/>
      <c r="AB293" s="133"/>
    </row>
    <row r="294">
      <c r="S294" s="133"/>
      <c r="AB294" s="133"/>
    </row>
    <row r="295">
      <c r="S295" s="133"/>
      <c r="AB295" s="133"/>
    </row>
    <row r="296">
      <c r="S296" s="133"/>
      <c r="AB296" s="133"/>
    </row>
    <row r="297">
      <c r="S297" s="133"/>
      <c r="AB297" s="133"/>
    </row>
    <row r="298">
      <c r="S298" s="133"/>
      <c r="AB298" s="133"/>
    </row>
    <row r="299">
      <c r="S299" s="133"/>
      <c r="AB299" s="133"/>
    </row>
    <row r="300">
      <c r="S300" s="133"/>
      <c r="AB300" s="133"/>
    </row>
    <row r="301">
      <c r="S301" s="133"/>
      <c r="AB301" s="133"/>
    </row>
    <row r="302">
      <c r="S302" s="133"/>
      <c r="AB302" s="133"/>
    </row>
    <row r="303">
      <c r="S303" s="133"/>
      <c r="AB303" s="133"/>
    </row>
    <row r="304">
      <c r="S304" s="133"/>
      <c r="AB304" s="133"/>
    </row>
    <row r="305">
      <c r="S305" s="133"/>
      <c r="AB305" s="133"/>
    </row>
    <row r="306">
      <c r="S306" s="133"/>
      <c r="AB306" s="133"/>
    </row>
    <row r="307">
      <c r="S307" s="133"/>
      <c r="AB307" s="133"/>
    </row>
    <row r="308">
      <c r="S308" s="133"/>
      <c r="AB308" s="133"/>
    </row>
    <row r="309">
      <c r="S309" s="133"/>
      <c r="AB309" s="133"/>
    </row>
    <row r="310">
      <c r="S310" s="133"/>
      <c r="AB310" s="133"/>
    </row>
    <row r="311">
      <c r="S311" s="133"/>
      <c r="AB311" s="133"/>
    </row>
    <row r="312">
      <c r="S312" s="133"/>
      <c r="AB312" s="133"/>
    </row>
    <row r="313">
      <c r="S313" s="133"/>
      <c r="AB313" s="133"/>
    </row>
    <row r="314">
      <c r="S314" s="133"/>
      <c r="AB314" s="133"/>
    </row>
    <row r="315">
      <c r="S315" s="133"/>
      <c r="AB315" s="133"/>
    </row>
    <row r="316">
      <c r="S316" s="133"/>
      <c r="AB316" s="133"/>
    </row>
    <row r="317">
      <c r="S317" s="133"/>
      <c r="AB317" s="133"/>
    </row>
    <row r="318">
      <c r="S318" s="133"/>
      <c r="AB318" s="133"/>
    </row>
    <row r="319">
      <c r="S319" s="133"/>
      <c r="AB319" s="133"/>
    </row>
    <row r="320">
      <c r="S320" s="133"/>
      <c r="AB320" s="133"/>
    </row>
    <row r="321">
      <c r="S321" s="133"/>
      <c r="AB321" s="133"/>
    </row>
    <row r="322">
      <c r="S322" s="133"/>
      <c r="AB322" s="133"/>
    </row>
    <row r="323">
      <c r="S323" s="133"/>
      <c r="AB323" s="133"/>
    </row>
    <row r="324">
      <c r="S324" s="133"/>
      <c r="AB324" s="133"/>
    </row>
    <row r="325">
      <c r="S325" s="133"/>
      <c r="AB325" s="133"/>
    </row>
    <row r="326">
      <c r="S326" s="133"/>
      <c r="AB326" s="133"/>
    </row>
    <row r="327">
      <c r="S327" s="133"/>
      <c r="AB327" s="133"/>
    </row>
    <row r="328">
      <c r="S328" s="133"/>
      <c r="AB328" s="133"/>
    </row>
    <row r="329">
      <c r="S329" s="133"/>
      <c r="AB329" s="133"/>
    </row>
    <row r="330">
      <c r="S330" s="133"/>
      <c r="AB330" s="133"/>
    </row>
    <row r="331">
      <c r="S331" s="133"/>
      <c r="AB331" s="133"/>
    </row>
    <row r="332">
      <c r="S332" s="133"/>
      <c r="AB332" s="133"/>
    </row>
    <row r="333">
      <c r="S333" s="133"/>
      <c r="AB333" s="133"/>
    </row>
    <row r="334">
      <c r="S334" s="133"/>
      <c r="AB334" s="133"/>
    </row>
    <row r="335">
      <c r="S335" s="133"/>
      <c r="AB335" s="133"/>
    </row>
    <row r="336">
      <c r="S336" s="133"/>
      <c r="AB336" s="133"/>
    </row>
    <row r="337">
      <c r="S337" s="133"/>
      <c r="AB337" s="133"/>
    </row>
    <row r="338">
      <c r="S338" s="133"/>
      <c r="AB338" s="133"/>
    </row>
    <row r="339">
      <c r="S339" s="133"/>
      <c r="AB339" s="133"/>
    </row>
    <row r="340">
      <c r="S340" s="133"/>
      <c r="AB340" s="133"/>
    </row>
    <row r="341">
      <c r="S341" s="133"/>
      <c r="AB341" s="133"/>
    </row>
    <row r="342">
      <c r="S342" s="133"/>
      <c r="AB342" s="133"/>
    </row>
    <row r="343">
      <c r="S343" s="133"/>
      <c r="AB343" s="133"/>
    </row>
    <row r="344">
      <c r="S344" s="133"/>
      <c r="AB344" s="133"/>
    </row>
    <row r="345">
      <c r="S345" s="133"/>
      <c r="AB345" s="133"/>
    </row>
    <row r="346">
      <c r="S346" s="133"/>
      <c r="AB346" s="133"/>
    </row>
    <row r="347">
      <c r="S347" s="133"/>
      <c r="AB347" s="133"/>
    </row>
    <row r="348">
      <c r="S348" s="133"/>
      <c r="AB348" s="133"/>
    </row>
    <row r="349">
      <c r="S349" s="133"/>
      <c r="AB349" s="133"/>
    </row>
    <row r="350">
      <c r="S350" s="133"/>
      <c r="AB350" s="133"/>
    </row>
    <row r="351">
      <c r="S351" s="133"/>
      <c r="AB351" s="133"/>
    </row>
    <row r="352">
      <c r="S352" s="133"/>
      <c r="AB352" s="133"/>
    </row>
    <row r="353">
      <c r="S353" s="133"/>
      <c r="AB353" s="133"/>
    </row>
    <row r="354">
      <c r="S354" s="133"/>
      <c r="AB354" s="133"/>
    </row>
    <row r="355">
      <c r="S355" s="133"/>
      <c r="AB355" s="133"/>
    </row>
    <row r="356">
      <c r="S356" s="133"/>
      <c r="AB356" s="133"/>
    </row>
    <row r="357">
      <c r="S357" s="133"/>
      <c r="AB357" s="133"/>
    </row>
    <row r="358">
      <c r="S358" s="133"/>
      <c r="AB358" s="133"/>
    </row>
    <row r="359">
      <c r="S359" s="133"/>
      <c r="AB359" s="133"/>
    </row>
    <row r="360">
      <c r="S360" s="133"/>
      <c r="AB360" s="133"/>
    </row>
    <row r="361">
      <c r="S361" s="133"/>
      <c r="AB361" s="133"/>
    </row>
    <row r="362">
      <c r="S362" s="133"/>
      <c r="AB362" s="133"/>
    </row>
    <row r="363">
      <c r="S363" s="133"/>
      <c r="AB363" s="133"/>
    </row>
    <row r="364">
      <c r="S364" s="133"/>
      <c r="AB364" s="133"/>
    </row>
    <row r="365">
      <c r="S365" s="133"/>
      <c r="AB365" s="133"/>
    </row>
    <row r="366">
      <c r="S366" s="133"/>
      <c r="AB366" s="133"/>
    </row>
    <row r="367">
      <c r="S367" s="133"/>
      <c r="AB367" s="133"/>
    </row>
    <row r="368">
      <c r="S368" s="133"/>
      <c r="AB368" s="133"/>
    </row>
    <row r="369">
      <c r="S369" s="133"/>
      <c r="AB369" s="133"/>
    </row>
    <row r="370">
      <c r="S370" s="133"/>
      <c r="AB370" s="133"/>
    </row>
    <row r="371">
      <c r="S371" s="133"/>
      <c r="AB371" s="133"/>
    </row>
    <row r="372">
      <c r="S372" s="133"/>
      <c r="AB372" s="133"/>
    </row>
    <row r="373">
      <c r="S373" s="133"/>
      <c r="AB373" s="133"/>
    </row>
    <row r="374">
      <c r="S374" s="133"/>
      <c r="AB374" s="133"/>
    </row>
    <row r="375">
      <c r="S375" s="133"/>
      <c r="AB375" s="133"/>
    </row>
    <row r="376">
      <c r="S376" s="133"/>
      <c r="AB376" s="133"/>
    </row>
    <row r="377">
      <c r="S377" s="133"/>
      <c r="AB377" s="133"/>
    </row>
    <row r="378">
      <c r="S378" s="133"/>
      <c r="AB378" s="133"/>
    </row>
    <row r="379">
      <c r="S379" s="133"/>
      <c r="AB379" s="133"/>
    </row>
    <row r="380">
      <c r="S380" s="133"/>
      <c r="AB380" s="133"/>
    </row>
    <row r="381">
      <c r="S381" s="133"/>
      <c r="AB381" s="133"/>
    </row>
    <row r="382">
      <c r="S382" s="133"/>
      <c r="AB382" s="133"/>
    </row>
    <row r="383">
      <c r="S383" s="133"/>
      <c r="AB383" s="133"/>
    </row>
    <row r="384">
      <c r="S384" s="133"/>
      <c r="AB384" s="133"/>
    </row>
    <row r="385">
      <c r="S385" s="133"/>
      <c r="AB385" s="133"/>
    </row>
    <row r="386">
      <c r="S386" s="133"/>
      <c r="AB386" s="133"/>
    </row>
    <row r="387">
      <c r="S387" s="133"/>
      <c r="AB387" s="133"/>
    </row>
    <row r="388">
      <c r="S388" s="133"/>
      <c r="AB388" s="133"/>
    </row>
    <row r="389">
      <c r="S389" s="133"/>
      <c r="AB389" s="133"/>
    </row>
    <row r="390">
      <c r="S390" s="133"/>
      <c r="AB390" s="133"/>
    </row>
    <row r="391">
      <c r="S391" s="133"/>
      <c r="AB391" s="133"/>
    </row>
    <row r="392">
      <c r="S392" s="133"/>
      <c r="AB392" s="133"/>
    </row>
    <row r="393">
      <c r="S393" s="133"/>
      <c r="AB393" s="133"/>
    </row>
    <row r="394">
      <c r="S394" s="133"/>
      <c r="AB394" s="133"/>
    </row>
    <row r="395">
      <c r="S395" s="133"/>
      <c r="AB395" s="133"/>
    </row>
    <row r="396">
      <c r="S396" s="133"/>
      <c r="AB396" s="133"/>
    </row>
    <row r="397">
      <c r="S397" s="133"/>
      <c r="AB397" s="133"/>
    </row>
    <row r="398">
      <c r="S398" s="133"/>
      <c r="AB398" s="133"/>
    </row>
    <row r="399">
      <c r="S399" s="133"/>
      <c r="AB399" s="133"/>
    </row>
    <row r="400">
      <c r="S400" s="133"/>
      <c r="AB400" s="133"/>
    </row>
    <row r="401">
      <c r="S401" s="133"/>
      <c r="AB401" s="133"/>
    </row>
    <row r="402">
      <c r="S402" s="133"/>
      <c r="AB402" s="133"/>
    </row>
    <row r="403">
      <c r="S403" s="133"/>
      <c r="AB403" s="133"/>
    </row>
    <row r="404">
      <c r="S404" s="133"/>
      <c r="AB404" s="133"/>
    </row>
    <row r="405">
      <c r="S405" s="133"/>
      <c r="AB405" s="133"/>
    </row>
    <row r="406">
      <c r="S406" s="133"/>
      <c r="AB406" s="133"/>
    </row>
    <row r="407">
      <c r="S407" s="133"/>
      <c r="AB407" s="133"/>
    </row>
    <row r="408">
      <c r="S408" s="133"/>
      <c r="AB408" s="133"/>
    </row>
    <row r="409">
      <c r="S409" s="133"/>
      <c r="AB409" s="133"/>
    </row>
    <row r="410">
      <c r="S410" s="133"/>
      <c r="AB410" s="133"/>
    </row>
    <row r="411">
      <c r="S411" s="133"/>
      <c r="AB411" s="133"/>
    </row>
    <row r="412">
      <c r="S412" s="133"/>
      <c r="AB412" s="133"/>
    </row>
    <row r="413">
      <c r="S413" s="133"/>
      <c r="AB413" s="133"/>
    </row>
    <row r="414">
      <c r="S414" s="133"/>
      <c r="AB414" s="133"/>
    </row>
    <row r="415">
      <c r="S415" s="133"/>
      <c r="AB415" s="133"/>
    </row>
    <row r="416">
      <c r="S416" s="133"/>
      <c r="AB416" s="133"/>
    </row>
    <row r="417">
      <c r="S417" s="133"/>
      <c r="AB417" s="133"/>
    </row>
    <row r="418">
      <c r="S418" s="133"/>
      <c r="AB418" s="133"/>
    </row>
    <row r="419">
      <c r="S419" s="133"/>
      <c r="AB419" s="133"/>
    </row>
    <row r="420">
      <c r="S420" s="133"/>
      <c r="AB420" s="133"/>
    </row>
    <row r="421">
      <c r="S421" s="133"/>
      <c r="AB421" s="133"/>
    </row>
    <row r="422">
      <c r="S422" s="133"/>
      <c r="AB422" s="133"/>
    </row>
    <row r="423">
      <c r="S423" s="133"/>
      <c r="AB423" s="133"/>
    </row>
    <row r="424">
      <c r="S424" s="133"/>
      <c r="AB424" s="133"/>
    </row>
    <row r="425">
      <c r="S425" s="133"/>
      <c r="AB425" s="133"/>
    </row>
    <row r="426">
      <c r="S426" s="133"/>
      <c r="AB426" s="133"/>
    </row>
    <row r="427">
      <c r="S427" s="133"/>
      <c r="AB427" s="133"/>
    </row>
    <row r="428">
      <c r="S428" s="133"/>
      <c r="AB428" s="133"/>
    </row>
    <row r="429">
      <c r="S429" s="133"/>
      <c r="AB429" s="133"/>
    </row>
    <row r="430">
      <c r="S430" s="133"/>
      <c r="AB430" s="133"/>
    </row>
    <row r="431">
      <c r="S431" s="133"/>
      <c r="AB431" s="133"/>
    </row>
    <row r="432">
      <c r="S432" s="133"/>
      <c r="AB432" s="133"/>
    </row>
    <row r="433">
      <c r="S433" s="133"/>
      <c r="AB433" s="133"/>
    </row>
    <row r="434">
      <c r="S434" s="133"/>
      <c r="AB434" s="133"/>
    </row>
    <row r="435">
      <c r="S435" s="133"/>
      <c r="AB435" s="133"/>
    </row>
    <row r="436">
      <c r="S436" s="133"/>
      <c r="AB436" s="133"/>
    </row>
    <row r="437">
      <c r="S437" s="133"/>
      <c r="AB437" s="133"/>
    </row>
    <row r="438">
      <c r="S438" s="133"/>
      <c r="AB438" s="133"/>
    </row>
    <row r="439">
      <c r="S439" s="133"/>
      <c r="AB439" s="133"/>
    </row>
    <row r="440">
      <c r="S440" s="133"/>
      <c r="AB440" s="133"/>
    </row>
    <row r="441">
      <c r="S441" s="133"/>
      <c r="AB441" s="133"/>
    </row>
    <row r="442">
      <c r="S442" s="133"/>
      <c r="AB442" s="133"/>
    </row>
    <row r="443">
      <c r="S443" s="133"/>
      <c r="AB443" s="133"/>
    </row>
    <row r="444">
      <c r="S444" s="133"/>
      <c r="AB444" s="133"/>
    </row>
    <row r="445">
      <c r="S445" s="133"/>
      <c r="AB445" s="133"/>
    </row>
    <row r="446">
      <c r="S446" s="133"/>
      <c r="AB446" s="133"/>
    </row>
    <row r="447">
      <c r="S447" s="133"/>
      <c r="AB447" s="133"/>
    </row>
    <row r="448">
      <c r="S448" s="133"/>
      <c r="AB448" s="133"/>
    </row>
    <row r="449">
      <c r="S449" s="133"/>
      <c r="AB449" s="133"/>
    </row>
    <row r="450">
      <c r="S450" s="133"/>
      <c r="AB450" s="133"/>
    </row>
    <row r="451">
      <c r="S451" s="133"/>
      <c r="AB451" s="133"/>
    </row>
    <row r="452">
      <c r="S452" s="133"/>
      <c r="AB452" s="133"/>
    </row>
    <row r="453">
      <c r="S453" s="133"/>
      <c r="AB453" s="133"/>
    </row>
    <row r="454">
      <c r="S454" s="133"/>
      <c r="AB454" s="133"/>
    </row>
    <row r="455">
      <c r="S455" s="133"/>
      <c r="AB455" s="133"/>
    </row>
    <row r="456">
      <c r="S456" s="133"/>
      <c r="AB456" s="133"/>
    </row>
    <row r="457">
      <c r="S457" s="133"/>
      <c r="AB457" s="133"/>
    </row>
    <row r="458">
      <c r="S458" s="133"/>
      <c r="AB458" s="133"/>
    </row>
    <row r="459">
      <c r="S459" s="133"/>
      <c r="AB459" s="133"/>
    </row>
    <row r="460">
      <c r="S460" s="133"/>
      <c r="AB460" s="133"/>
    </row>
    <row r="461">
      <c r="S461" s="133"/>
      <c r="AB461" s="133"/>
    </row>
    <row r="462">
      <c r="S462" s="133"/>
      <c r="AB462" s="133"/>
    </row>
    <row r="463">
      <c r="S463" s="133"/>
      <c r="AB463" s="133"/>
    </row>
    <row r="464">
      <c r="S464" s="133"/>
      <c r="AB464" s="133"/>
    </row>
    <row r="465">
      <c r="S465" s="133"/>
      <c r="AB465" s="133"/>
    </row>
    <row r="466">
      <c r="S466" s="133"/>
      <c r="AB466" s="133"/>
    </row>
    <row r="467">
      <c r="S467" s="133"/>
      <c r="AB467" s="133"/>
    </row>
    <row r="468">
      <c r="S468" s="133"/>
      <c r="AB468" s="133"/>
    </row>
    <row r="469">
      <c r="S469" s="133"/>
      <c r="AB469" s="133"/>
    </row>
    <row r="470">
      <c r="S470" s="133"/>
      <c r="AB470" s="133"/>
    </row>
    <row r="471">
      <c r="S471" s="133"/>
      <c r="AB471" s="133"/>
    </row>
    <row r="472">
      <c r="S472" s="133"/>
      <c r="AB472" s="133"/>
    </row>
    <row r="473">
      <c r="S473" s="133"/>
      <c r="AB473" s="133"/>
    </row>
    <row r="474">
      <c r="S474" s="133"/>
      <c r="AB474" s="133"/>
    </row>
    <row r="475">
      <c r="S475" s="133"/>
      <c r="AB475" s="133"/>
    </row>
    <row r="476">
      <c r="S476" s="133"/>
      <c r="AB476" s="133"/>
    </row>
    <row r="477">
      <c r="S477" s="133"/>
      <c r="AB477" s="133"/>
    </row>
    <row r="478">
      <c r="S478" s="133"/>
      <c r="AB478" s="133"/>
    </row>
    <row r="479">
      <c r="S479" s="133"/>
      <c r="AB479" s="133"/>
    </row>
    <row r="480">
      <c r="S480" s="133"/>
      <c r="AB480" s="133"/>
    </row>
    <row r="481">
      <c r="S481" s="133"/>
      <c r="AB481" s="133"/>
    </row>
    <row r="482">
      <c r="S482" s="133"/>
      <c r="AB482" s="133"/>
    </row>
    <row r="483">
      <c r="S483" s="133"/>
      <c r="AB483" s="133"/>
    </row>
    <row r="484">
      <c r="S484" s="133"/>
      <c r="AB484" s="133"/>
    </row>
    <row r="485">
      <c r="S485" s="133"/>
      <c r="AB485" s="133"/>
    </row>
    <row r="486">
      <c r="S486" s="133"/>
      <c r="AB486" s="133"/>
    </row>
    <row r="487">
      <c r="S487" s="133"/>
      <c r="AB487" s="133"/>
    </row>
    <row r="488">
      <c r="S488" s="133"/>
      <c r="AB488" s="133"/>
    </row>
    <row r="489">
      <c r="S489" s="133"/>
      <c r="AB489" s="133"/>
    </row>
    <row r="490">
      <c r="S490" s="133"/>
      <c r="AB490" s="133"/>
    </row>
    <row r="491">
      <c r="S491" s="133"/>
      <c r="AB491" s="133"/>
    </row>
    <row r="492">
      <c r="S492" s="133"/>
      <c r="AB492" s="133"/>
    </row>
    <row r="493">
      <c r="S493" s="133"/>
      <c r="AB493" s="133"/>
    </row>
    <row r="494">
      <c r="S494" s="133"/>
      <c r="AB494" s="133"/>
    </row>
    <row r="495">
      <c r="S495" s="133"/>
      <c r="AB495" s="133"/>
    </row>
    <row r="496">
      <c r="S496" s="133"/>
      <c r="AB496" s="133"/>
    </row>
    <row r="497">
      <c r="S497" s="133"/>
      <c r="AB497" s="133"/>
    </row>
    <row r="498">
      <c r="S498" s="133"/>
      <c r="AB498" s="133"/>
    </row>
    <row r="499">
      <c r="S499" s="133"/>
      <c r="AB499" s="133"/>
    </row>
    <row r="500">
      <c r="S500" s="133"/>
      <c r="AB500" s="133"/>
    </row>
    <row r="501">
      <c r="S501" s="133"/>
      <c r="AB501" s="133"/>
    </row>
    <row r="502">
      <c r="S502" s="133"/>
      <c r="AB502" s="133"/>
    </row>
    <row r="503">
      <c r="S503" s="133"/>
      <c r="AB503" s="133"/>
    </row>
    <row r="504">
      <c r="S504" s="133"/>
      <c r="AB504" s="133"/>
    </row>
    <row r="505">
      <c r="S505" s="133"/>
      <c r="AB505" s="133"/>
    </row>
    <row r="506">
      <c r="S506" s="133"/>
      <c r="AB506" s="133"/>
    </row>
    <row r="507">
      <c r="S507" s="133"/>
      <c r="AB507" s="133"/>
    </row>
    <row r="508">
      <c r="S508" s="133"/>
      <c r="AB508" s="133"/>
    </row>
    <row r="509">
      <c r="S509" s="133"/>
      <c r="AB509" s="133"/>
    </row>
    <row r="510">
      <c r="S510" s="133"/>
      <c r="AB510" s="133"/>
    </row>
    <row r="511">
      <c r="S511" s="133"/>
      <c r="AB511" s="133"/>
    </row>
    <row r="512">
      <c r="S512" s="133"/>
      <c r="AB512" s="133"/>
    </row>
    <row r="513">
      <c r="S513" s="133"/>
      <c r="AB513" s="133"/>
    </row>
    <row r="514">
      <c r="S514" s="133"/>
      <c r="AB514" s="133"/>
    </row>
    <row r="515">
      <c r="S515" s="133"/>
      <c r="AB515" s="133"/>
    </row>
    <row r="516">
      <c r="S516" s="133"/>
      <c r="AB516" s="133"/>
    </row>
    <row r="517">
      <c r="S517" s="133"/>
      <c r="AB517" s="133"/>
    </row>
    <row r="518">
      <c r="S518" s="133"/>
      <c r="AB518" s="133"/>
    </row>
    <row r="519">
      <c r="S519" s="133"/>
      <c r="AB519" s="133"/>
    </row>
    <row r="520">
      <c r="S520" s="133"/>
      <c r="AB520" s="133"/>
    </row>
    <row r="521">
      <c r="S521" s="133"/>
      <c r="AB521" s="133"/>
    </row>
    <row r="522">
      <c r="S522" s="133"/>
      <c r="AB522" s="133"/>
    </row>
    <row r="523">
      <c r="S523" s="133"/>
      <c r="AB523" s="133"/>
    </row>
    <row r="524">
      <c r="S524" s="133"/>
      <c r="AB524" s="133"/>
    </row>
    <row r="525">
      <c r="S525" s="133"/>
      <c r="AB525" s="133"/>
    </row>
    <row r="526">
      <c r="S526" s="133"/>
      <c r="AB526" s="133"/>
    </row>
    <row r="527">
      <c r="S527" s="133"/>
      <c r="AB527" s="133"/>
    </row>
    <row r="528">
      <c r="S528" s="133"/>
      <c r="AB528" s="133"/>
    </row>
    <row r="529">
      <c r="S529" s="133"/>
      <c r="AB529" s="133"/>
    </row>
    <row r="530">
      <c r="S530" s="133"/>
      <c r="AB530" s="133"/>
    </row>
    <row r="531">
      <c r="S531" s="133"/>
      <c r="AB531" s="133"/>
    </row>
    <row r="532">
      <c r="S532" s="133"/>
      <c r="AB532" s="133"/>
    </row>
    <row r="533">
      <c r="S533" s="133"/>
      <c r="AB533" s="133"/>
    </row>
    <row r="534">
      <c r="S534" s="133"/>
      <c r="AB534" s="133"/>
    </row>
    <row r="535">
      <c r="S535" s="133"/>
      <c r="AB535" s="133"/>
    </row>
    <row r="536">
      <c r="S536" s="133"/>
      <c r="AB536" s="133"/>
    </row>
    <row r="537">
      <c r="S537" s="133"/>
      <c r="AB537" s="133"/>
    </row>
    <row r="538">
      <c r="S538" s="133"/>
      <c r="AB538" s="133"/>
    </row>
    <row r="539">
      <c r="S539" s="133"/>
      <c r="AB539" s="133"/>
    </row>
    <row r="540">
      <c r="S540" s="133"/>
      <c r="AB540" s="133"/>
    </row>
    <row r="541">
      <c r="S541" s="133"/>
      <c r="AB541" s="133"/>
    </row>
    <row r="542">
      <c r="S542" s="133"/>
      <c r="AB542" s="133"/>
    </row>
    <row r="543">
      <c r="S543" s="133"/>
      <c r="AB543" s="133"/>
    </row>
    <row r="544">
      <c r="S544" s="133"/>
      <c r="AB544" s="133"/>
    </row>
    <row r="545">
      <c r="S545" s="133"/>
      <c r="AB545" s="133"/>
    </row>
    <row r="546">
      <c r="S546" s="133"/>
      <c r="AB546" s="133"/>
    </row>
    <row r="547">
      <c r="S547" s="133"/>
      <c r="AB547" s="133"/>
    </row>
    <row r="548">
      <c r="S548" s="133"/>
      <c r="AB548" s="133"/>
    </row>
    <row r="549">
      <c r="S549" s="133"/>
      <c r="AB549" s="133"/>
    </row>
    <row r="550">
      <c r="S550" s="133"/>
      <c r="AB550" s="133"/>
    </row>
    <row r="551">
      <c r="S551" s="133"/>
      <c r="AB551" s="133"/>
    </row>
    <row r="552">
      <c r="S552" s="133"/>
      <c r="AB552" s="133"/>
    </row>
    <row r="553">
      <c r="S553" s="133"/>
      <c r="AB553" s="133"/>
    </row>
    <row r="554">
      <c r="S554" s="133"/>
      <c r="AB554" s="133"/>
    </row>
    <row r="555">
      <c r="S555" s="133"/>
      <c r="AB555" s="133"/>
    </row>
    <row r="556">
      <c r="S556" s="133"/>
      <c r="AB556" s="133"/>
    </row>
    <row r="557">
      <c r="S557" s="133"/>
      <c r="AB557" s="133"/>
    </row>
    <row r="558">
      <c r="S558" s="133"/>
      <c r="AB558" s="133"/>
    </row>
    <row r="559">
      <c r="S559" s="133"/>
      <c r="AB559" s="133"/>
    </row>
    <row r="560">
      <c r="S560" s="133"/>
      <c r="AB560" s="133"/>
    </row>
    <row r="561">
      <c r="S561" s="133"/>
      <c r="AB561" s="133"/>
    </row>
    <row r="562">
      <c r="S562" s="133"/>
      <c r="AB562" s="133"/>
    </row>
    <row r="563">
      <c r="S563" s="133"/>
      <c r="AB563" s="133"/>
    </row>
    <row r="564">
      <c r="S564" s="133"/>
      <c r="AB564" s="133"/>
    </row>
    <row r="565">
      <c r="S565" s="133"/>
      <c r="AB565" s="133"/>
    </row>
    <row r="566">
      <c r="S566" s="133"/>
      <c r="AB566" s="133"/>
    </row>
    <row r="567">
      <c r="S567" s="133"/>
      <c r="AB567" s="133"/>
    </row>
    <row r="568">
      <c r="S568" s="133"/>
      <c r="AB568" s="133"/>
    </row>
    <row r="569">
      <c r="S569" s="133"/>
      <c r="AB569" s="133"/>
    </row>
    <row r="570">
      <c r="S570" s="133"/>
      <c r="AB570" s="133"/>
    </row>
    <row r="571">
      <c r="S571" s="133"/>
      <c r="AB571" s="133"/>
    </row>
    <row r="572">
      <c r="S572" s="133"/>
      <c r="AB572" s="133"/>
    </row>
    <row r="573">
      <c r="S573" s="133"/>
      <c r="AB573" s="133"/>
    </row>
    <row r="574">
      <c r="S574" s="133"/>
      <c r="AB574" s="133"/>
    </row>
    <row r="575">
      <c r="S575" s="133"/>
      <c r="AB575" s="133"/>
    </row>
    <row r="576">
      <c r="S576" s="133"/>
      <c r="AB576" s="133"/>
    </row>
    <row r="577">
      <c r="S577" s="133"/>
      <c r="AB577" s="133"/>
    </row>
    <row r="578">
      <c r="S578" s="133"/>
      <c r="AB578" s="133"/>
    </row>
    <row r="579">
      <c r="S579" s="133"/>
      <c r="AB579" s="133"/>
    </row>
    <row r="580">
      <c r="S580" s="133"/>
      <c r="AB580" s="133"/>
    </row>
    <row r="581">
      <c r="S581" s="133"/>
      <c r="AB581" s="133"/>
    </row>
    <row r="582">
      <c r="S582" s="133"/>
      <c r="AB582" s="133"/>
    </row>
    <row r="583">
      <c r="S583" s="133"/>
      <c r="AB583" s="133"/>
    </row>
    <row r="584">
      <c r="S584" s="133"/>
      <c r="AB584" s="133"/>
    </row>
    <row r="585">
      <c r="S585" s="133"/>
      <c r="AB585" s="133"/>
    </row>
    <row r="586">
      <c r="S586" s="133"/>
      <c r="AB586" s="133"/>
    </row>
    <row r="587">
      <c r="S587" s="133"/>
      <c r="AB587" s="133"/>
    </row>
    <row r="588">
      <c r="S588" s="133"/>
      <c r="AB588" s="133"/>
    </row>
    <row r="589">
      <c r="S589" s="133"/>
      <c r="AB589" s="133"/>
    </row>
    <row r="590">
      <c r="S590" s="133"/>
      <c r="AB590" s="133"/>
    </row>
    <row r="591">
      <c r="S591" s="133"/>
      <c r="AB591" s="133"/>
    </row>
    <row r="592">
      <c r="S592" s="133"/>
      <c r="AB592" s="133"/>
    </row>
    <row r="593">
      <c r="S593" s="133"/>
      <c r="AB593" s="133"/>
    </row>
    <row r="594">
      <c r="S594" s="133"/>
      <c r="AB594" s="133"/>
    </row>
    <row r="595">
      <c r="S595" s="133"/>
      <c r="AB595" s="133"/>
    </row>
    <row r="596">
      <c r="S596" s="133"/>
      <c r="AB596" s="133"/>
    </row>
    <row r="597">
      <c r="S597" s="133"/>
      <c r="AB597" s="133"/>
    </row>
    <row r="598">
      <c r="S598" s="133"/>
      <c r="AB598" s="133"/>
    </row>
    <row r="599">
      <c r="S599" s="133"/>
      <c r="AB599" s="133"/>
    </row>
    <row r="600">
      <c r="S600" s="133"/>
      <c r="AB600" s="133"/>
    </row>
    <row r="601">
      <c r="S601" s="133"/>
      <c r="AB601" s="133"/>
    </row>
    <row r="602">
      <c r="S602" s="133"/>
      <c r="AB602" s="133"/>
    </row>
    <row r="603">
      <c r="S603" s="133"/>
      <c r="AB603" s="133"/>
    </row>
    <row r="604">
      <c r="S604" s="133"/>
      <c r="AB604" s="133"/>
    </row>
    <row r="605">
      <c r="S605" s="133"/>
      <c r="AB605" s="133"/>
    </row>
    <row r="606">
      <c r="S606" s="133"/>
      <c r="AB606" s="133"/>
    </row>
    <row r="607">
      <c r="S607" s="133"/>
      <c r="AB607" s="133"/>
    </row>
    <row r="608">
      <c r="S608" s="133"/>
      <c r="AB608" s="133"/>
    </row>
    <row r="609">
      <c r="S609" s="133"/>
      <c r="AB609" s="133"/>
    </row>
    <row r="610">
      <c r="S610" s="133"/>
      <c r="AB610" s="133"/>
    </row>
    <row r="611">
      <c r="S611" s="133"/>
      <c r="AB611" s="133"/>
    </row>
    <row r="612">
      <c r="S612" s="133"/>
      <c r="AB612" s="133"/>
    </row>
    <row r="613">
      <c r="S613" s="133"/>
      <c r="AB613" s="133"/>
    </row>
    <row r="614">
      <c r="S614" s="133"/>
      <c r="AB614" s="133"/>
    </row>
    <row r="615">
      <c r="S615" s="133"/>
      <c r="AB615" s="133"/>
    </row>
    <row r="616">
      <c r="S616" s="133"/>
      <c r="AB616" s="133"/>
    </row>
    <row r="617">
      <c r="S617" s="133"/>
      <c r="AB617" s="133"/>
    </row>
    <row r="618">
      <c r="S618" s="133"/>
      <c r="AB618" s="133"/>
    </row>
    <row r="619">
      <c r="S619" s="133"/>
      <c r="AB619" s="133"/>
    </row>
    <row r="620">
      <c r="S620" s="133"/>
      <c r="AB620" s="133"/>
    </row>
    <row r="621">
      <c r="S621" s="133"/>
      <c r="AB621" s="133"/>
    </row>
    <row r="622">
      <c r="S622" s="133"/>
      <c r="AB622" s="133"/>
    </row>
    <row r="623">
      <c r="S623" s="133"/>
      <c r="AB623" s="133"/>
    </row>
    <row r="624">
      <c r="S624" s="133"/>
      <c r="AB624" s="133"/>
    </row>
    <row r="625">
      <c r="S625" s="133"/>
      <c r="AB625" s="133"/>
    </row>
    <row r="626">
      <c r="S626" s="133"/>
      <c r="AB626" s="133"/>
    </row>
    <row r="627">
      <c r="S627" s="133"/>
      <c r="AB627" s="133"/>
    </row>
    <row r="628">
      <c r="S628" s="133"/>
      <c r="AB628" s="133"/>
    </row>
    <row r="629">
      <c r="S629" s="133"/>
      <c r="AB629" s="133"/>
    </row>
    <row r="630">
      <c r="S630" s="133"/>
      <c r="AB630" s="133"/>
    </row>
    <row r="631">
      <c r="S631" s="133"/>
      <c r="AB631" s="133"/>
    </row>
    <row r="632">
      <c r="S632" s="133"/>
      <c r="AB632" s="133"/>
    </row>
    <row r="633">
      <c r="S633" s="133"/>
      <c r="AB633" s="133"/>
    </row>
    <row r="634">
      <c r="S634" s="133"/>
      <c r="AB634" s="133"/>
    </row>
    <row r="635">
      <c r="S635" s="133"/>
      <c r="AB635" s="133"/>
    </row>
    <row r="636">
      <c r="S636" s="133"/>
      <c r="AB636" s="133"/>
    </row>
    <row r="637">
      <c r="S637" s="133"/>
      <c r="AB637" s="133"/>
    </row>
    <row r="638">
      <c r="S638" s="133"/>
      <c r="AB638" s="133"/>
    </row>
    <row r="639">
      <c r="S639" s="133"/>
      <c r="AB639" s="133"/>
    </row>
    <row r="640">
      <c r="S640" s="133"/>
      <c r="AB640" s="133"/>
    </row>
    <row r="641">
      <c r="S641" s="133"/>
      <c r="AB641" s="133"/>
    </row>
    <row r="642">
      <c r="S642" s="133"/>
      <c r="AB642" s="133"/>
    </row>
    <row r="643">
      <c r="S643" s="133"/>
      <c r="AB643" s="133"/>
    </row>
    <row r="644">
      <c r="S644" s="133"/>
      <c r="AB644" s="133"/>
    </row>
    <row r="645">
      <c r="S645" s="133"/>
      <c r="AB645" s="133"/>
    </row>
    <row r="646">
      <c r="S646" s="133"/>
      <c r="AB646" s="133"/>
    </row>
    <row r="647">
      <c r="S647" s="133"/>
      <c r="AB647" s="133"/>
    </row>
    <row r="648">
      <c r="S648" s="133"/>
      <c r="AB648" s="133"/>
    </row>
    <row r="649">
      <c r="S649" s="133"/>
      <c r="AB649" s="133"/>
    </row>
    <row r="650">
      <c r="S650" s="133"/>
      <c r="AB650" s="133"/>
    </row>
    <row r="651">
      <c r="S651" s="133"/>
      <c r="AB651" s="133"/>
    </row>
    <row r="652">
      <c r="S652" s="133"/>
      <c r="AB652" s="133"/>
    </row>
    <row r="653">
      <c r="S653" s="133"/>
      <c r="AB653" s="133"/>
    </row>
    <row r="654">
      <c r="S654" s="133"/>
      <c r="AB654" s="133"/>
    </row>
    <row r="655">
      <c r="S655" s="133"/>
      <c r="AB655" s="133"/>
    </row>
    <row r="656">
      <c r="S656" s="133"/>
      <c r="AB656" s="133"/>
    </row>
    <row r="657">
      <c r="S657" s="133"/>
      <c r="AB657" s="133"/>
    </row>
    <row r="658">
      <c r="S658" s="133"/>
      <c r="AB658" s="133"/>
    </row>
    <row r="659">
      <c r="S659" s="133"/>
      <c r="AB659" s="133"/>
    </row>
    <row r="660">
      <c r="S660" s="133"/>
      <c r="AB660" s="133"/>
    </row>
    <row r="661">
      <c r="S661" s="133"/>
      <c r="AB661" s="133"/>
    </row>
    <row r="662">
      <c r="S662" s="133"/>
      <c r="AB662" s="133"/>
    </row>
    <row r="663">
      <c r="S663" s="133"/>
      <c r="AB663" s="133"/>
    </row>
    <row r="664">
      <c r="S664" s="133"/>
      <c r="AB664" s="133"/>
    </row>
    <row r="665">
      <c r="S665" s="133"/>
      <c r="AB665" s="133"/>
    </row>
    <row r="666">
      <c r="S666" s="133"/>
      <c r="AB666" s="133"/>
    </row>
    <row r="667">
      <c r="S667" s="133"/>
      <c r="AB667" s="133"/>
    </row>
    <row r="668">
      <c r="S668" s="133"/>
      <c r="AB668" s="133"/>
    </row>
    <row r="669">
      <c r="S669" s="133"/>
      <c r="AB669" s="133"/>
    </row>
    <row r="670">
      <c r="S670" s="133"/>
      <c r="AB670" s="133"/>
    </row>
    <row r="671">
      <c r="S671" s="133"/>
      <c r="AB671" s="133"/>
    </row>
    <row r="672">
      <c r="S672" s="133"/>
      <c r="AB672" s="133"/>
    </row>
    <row r="673">
      <c r="S673" s="133"/>
      <c r="AB673" s="133"/>
    </row>
    <row r="674">
      <c r="S674" s="133"/>
      <c r="AB674" s="133"/>
    </row>
    <row r="675">
      <c r="S675" s="133"/>
      <c r="AB675" s="133"/>
    </row>
    <row r="676">
      <c r="S676" s="133"/>
      <c r="AB676" s="133"/>
    </row>
    <row r="677">
      <c r="S677" s="133"/>
      <c r="AB677" s="133"/>
    </row>
    <row r="678">
      <c r="S678" s="133"/>
      <c r="AB678" s="133"/>
    </row>
    <row r="679">
      <c r="S679" s="133"/>
      <c r="AB679" s="133"/>
    </row>
    <row r="680">
      <c r="S680" s="133"/>
      <c r="AB680" s="133"/>
    </row>
    <row r="681">
      <c r="S681" s="133"/>
      <c r="AB681" s="133"/>
    </row>
    <row r="682">
      <c r="S682" s="133"/>
      <c r="AB682" s="133"/>
    </row>
    <row r="683">
      <c r="S683" s="133"/>
      <c r="AB683" s="133"/>
    </row>
    <row r="684">
      <c r="S684" s="133"/>
      <c r="AB684" s="133"/>
    </row>
    <row r="685">
      <c r="S685" s="133"/>
      <c r="AB685" s="133"/>
    </row>
    <row r="686">
      <c r="S686" s="133"/>
      <c r="AB686" s="133"/>
    </row>
    <row r="687">
      <c r="S687" s="133"/>
      <c r="AB687" s="133"/>
    </row>
    <row r="688">
      <c r="S688" s="133"/>
      <c r="AB688" s="133"/>
    </row>
    <row r="689">
      <c r="S689" s="133"/>
      <c r="AB689" s="133"/>
    </row>
    <row r="690">
      <c r="S690" s="133"/>
      <c r="AB690" s="133"/>
    </row>
    <row r="691">
      <c r="S691" s="133"/>
      <c r="AB691" s="133"/>
    </row>
    <row r="692">
      <c r="S692" s="133"/>
      <c r="AB692" s="133"/>
    </row>
    <row r="693">
      <c r="S693" s="133"/>
      <c r="AB693" s="133"/>
    </row>
    <row r="694">
      <c r="S694" s="133"/>
      <c r="AB694" s="133"/>
    </row>
    <row r="695">
      <c r="S695" s="133"/>
      <c r="AB695" s="133"/>
    </row>
    <row r="696">
      <c r="S696" s="133"/>
      <c r="AB696" s="133"/>
    </row>
    <row r="697">
      <c r="S697" s="133"/>
      <c r="AB697" s="133"/>
    </row>
    <row r="698">
      <c r="S698" s="133"/>
      <c r="AB698" s="133"/>
    </row>
    <row r="699">
      <c r="S699" s="133"/>
      <c r="AB699" s="133"/>
    </row>
    <row r="700">
      <c r="S700" s="133"/>
      <c r="AB700" s="133"/>
    </row>
    <row r="701">
      <c r="S701" s="133"/>
      <c r="AB701" s="133"/>
    </row>
    <row r="702">
      <c r="S702" s="133"/>
      <c r="AB702" s="133"/>
    </row>
    <row r="703">
      <c r="S703" s="133"/>
      <c r="AB703" s="133"/>
    </row>
    <row r="704">
      <c r="S704" s="133"/>
      <c r="AB704" s="133"/>
    </row>
    <row r="705">
      <c r="S705" s="133"/>
      <c r="AB705" s="133"/>
    </row>
    <row r="706">
      <c r="S706" s="133"/>
      <c r="AB706" s="133"/>
    </row>
    <row r="707">
      <c r="S707" s="133"/>
      <c r="AB707" s="133"/>
    </row>
    <row r="708">
      <c r="S708" s="133"/>
      <c r="AB708" s="133"/>
    </row>
    <row r="709">
      <c r="S709" s="133"/>
      <c r="AB709" s="133"/>
    </row>
    <row r="710">
      <c r="S710" s="133"/>
      <c r="AB710" s="133"/>
    </row>
    <row r="711">
      <c r="S711" s="133"/>
      <c r="AB711" s="133"/>
    </row>
    <row r="712">
      <c r="S712" s="133"/>
      <c r="AB712" s="133"/>
    </row>
    <row r="713">
      <c r="S713" s="133"/>
      <c r="AB713" s="133"/>
    </row>
    <row r="714">
      <c r="S714" s="133"/>
      <c r="AB714" s="133"/>
    </row>
    <row r="715">
      <c r="S715" s="133"/>
      <c r="AB715" s="133"/>
    </row>
    <row r="716">
      <c r="S716" s="133"/>
      <c r="AB716" s="133"/>
    </row>
    <row r="717">
      <c r="S717" s="133"/>
      <c r="AB717" s="133"/>
    </row>
    <row r="718">
      <c r="S718" s="133"/>
      <c r="AB718" s="133"/>
    </row>
    <row r="719">
      <c r="S719" s="133"/>
      <c r="AB719" s="133"/>
    </row>
    <row r="720">
      <c r="S720" s="133"/>
      <c r="AB720" s="133"/>
    </row>
    <row r="721">
      <c r="S721" s="133"/>
      <c r="AB721" s="133"/>
    </row>
    <row r="722">
      <c r="S722" s="133"/>
      <c r="AB722" s="133"/>
    </row>
    <row r="723">
      <c r="S723" s="133"/>
      <c r="AB723" s="133"/>
    </row>
    <row r="724">
      <c r="S724" s="133"/>
      <c r="AB724" s="133"/>
    </row>
    <row r="725">
      <c r="S725" s="133"/>
      <c r="AB725" s="133"/>
    </row>
    <row r="726">
      <c r="S726" s="133"/>
      <c r="AB726" s="133"/>
    </row>
    <row r="727">
      <c r="S727" s="133"/>
      <c r="AB727" s="133"/>
    </row>
    <row r="728">
      <c r="S728" s="133"/>
      <c r="AB728" s="133"/>
    </row>
    <row r="729">
      <c r="S729" s="133"/>
      <c r="AB729" s="133"/>
    </row>
    <row r="730">
      <c r="S730" s="133"/>
      <c r="AB730" s="133"/>
    </row>
    <row r="731">
      <c r="S731" s="133"/>
      <c r="AB731" s="133"/>
    </row>
    <row r="732">
      <c r="S732" s="133"/>
      <c r="AB732" s="133"/>
    </row>
    <row r="733">
      <c r="S733" s="133"/>
      <c r="AB733" s="133"/>
    </row>
    <row r="734">
      <c r="S734" s="133"/>
      <c r="AB734" s="133"/>
    </row>
    <row r="735">
      <c r="S735" s="133"/>
      <c r="AB735" s="133"/>
    </row>
    <row r="736">
      <c r="S736" s="133"/>
      <c r="AB736" s="133"/>
    </row>
    <row r="737">
      <c r="S737" s="133"/>
      <c r="AB737" s="133"/>
    </row>
    <row r="738">
      <c r="S738" s="133"/>
      <c r="AB738" s="133"/>
    </row>
    <row r="739">
      <c r="S739" s="133"/>
      <c r="AB739" s="133"/>
    </row>
    <row r="740">
      <c r="S740" s="133"/>
      <c r="AB740" s="133"/>
    </row>
    <row r="741">
      <c r="S741" s="133"/>
      <c r="AB741" s="133"/>
    </row>
    <row r="742">
      <c r="S742" s="133"/>
      <c r="AB742" s="133"/>
    </row>
    <row r="743">
      <c r="S743" s="133"/>
      <c r="AB743" s="133"/>
    </row>
    <row r="744">
      <c r="S744" s="133"/>
      <c r="AB744" s="133"/>
    </row>
    <row r="745">
      <c r="S745" s="133"/>
      <c r="AB745" s="133"/>
    </row>
    <row r="746">
      <c r="S746" s="133"/>
      <c r="AB746" s="133"/>
    </row>
    <row r="747">
      <c r="S747" s="133"/>
      <c r="AB747" s="133"/>
    </row>
    <row r="748">
      <c r="S748" s="133"/>
      <c r="AB748" s="133"/>
    </row>
    <row r="749">
      <c r="S749" s="133"/>
      <c r="AB749" s="133"/>
    </row>
    <row r="750">
      <c r="S750" s="133"/>
      <c r="AB750" s="133"/>
    </row>
    <row r="751">
      <c r="S751" s="133"/>
      <c r="AB751" s="133"/>
    </row>
    <row r="752">
      <c r="S752" s="133"/>
      <c r="AB752" s="133"/>
    </row>
    <row r="753">
      <c r="S753" s="133"/>
      <c r="AB753" s="133"/>
    </row>
    <row r="754">
      <c r="S754" s="133"/>
      <c r="AB754" s="133"/>
    </row>
    <row r="755">
      <c r="S755" s="133"/>
      <c r="AB755" s="133"/>
    </row>
    <row r="756">
      <c r="S756" s="133"/>
      <c r="AB756" s="133"/>
    </row>
    <row r="757">
      <c r="S757" s="133"/>
      <c r="AB757" s="133"/>
    </row>
    <row r="758">
      <c r="S758" s="133"/>
      <c r="AB758" s="133"/>
    </row>
    <row r="759">
      <c r="S759" s="133"/>
      <c r="AB759" s="133"/>
    </row>
    <row r="760">
      <c r="S760" s="133"/>
      <c r="AB760" s="133"/>
    </row>
    <row r="761">
      <c r="S761" s="133"/>
      <c r="AB761" s="133"/>
    </row>
    <row r="762">
      <c r="S762" s="133"/>
      <c r="AB762" s="133"/>
    </row>
    <row r="763">
      <c r="S763" s="133"/>
      <c r="AB763" s="133"/>
    </row>
    <row r="764">
      <c r="S764" s="133"/>
      <c r="AB764" s="133"/>
    </row>
    <row r="765">
      <c r="S765" s="133"/>
      <c r="AB765" s="133"/>
    </row>
    <row r="766">
      <c r="S766" s="133"/>
      <c r="AB766" s="133"/>
    </row>
    <row r="767">
      <c r="S767" s="133"/>
      <c r="AB767" s="133"/>
    </row>
    <row r="768">
      <c r="S768" s="133"/>
      <c r="AB768" s="133"/>
    </row>
    <row r="769">
      <c r="S769" s="133"/>
      <c r="AB769" s="133"/>
    </row>
    <row r="770">
      <c r="S770" s="133"/>
      <c r="AB770" s="133"/>
    </row>
    <row r="771">
      <c r="S771" s="133"/>
      <c r="AB771" s="133"/>
    </row>
    <row r="772">
      <c r="S772" s="133"/>
      <c r="AB772" s="133"/>
    </row>
    <row r="773">
      <c r="S773" s="133"/>
      <c r="AB773" s="133"/>
    </row>
    <row r="774">
      <c r="S774" s="133"/>
      <c r="AB774" s="133"/>
    </row>
    <row r="775">
      <c r="S775" s="133"/>
      <c r="AB775" s="133"/>
    </row>
    <row r="776">
      <c r="S776" s="133"/>
      <c r="AB776" s="133"/>
    </row>
    <row r="777">
      <c r="S777" s="133"/>
      <c r="AB777" s="133"/>
    </row>
    <row r="778">
      <c r="S778" s="133"/>
      <c r="AB778" s="133"/>
    </row>
    <row r="779">
      <c r="S779" s="133"/>
      <c r="AB779" s="133"/>
    </row>
    <row r="780">
      <c r="S780" s="133"/>
      <c r="AB780" s="133"/>
    </row>
    <row r="781">
      <c r="S781" s="133"/>
      <c r="AB781" s="133"/>
    </row>
    <row r="782">
      <c r="S782" s="133"/>
      <c r="AB782" s="133"/>
    </row>
    <row r="783">
      <c r="S783" s="133"/>
      <c r="AB783" s="133"/>
    </row>
    <row r="784">
      <c r="S784" s="133"/>
      <c r="AB784" s="133"/>
    </row>
    <row r="785">
      <c r="S785" s="133"/>
      <c r="AB785" s="133"/>
    </row>
    <row r="786">
      <c r="S786" s="133"/>
      <c r="AB786" s="133"/>
    </row>
    <row r="787">
      <c r="S787" s="133"/>
      <c r="AB787" s="133"/>
    </row>
    <row r="788">
      <c r="S788" s="133"/>
      <c r="AB788" s="133"/>
    </row>
    <row r="789">
      <c r="S789" s="133"/>
      <c r="AB789" s="133"/>
    </row>
    <row r="790">
      <c r="S790" s="133"/>
      <c r="AB790" s="133"/>
    </row>
    <row r="791">
      <c r="S791" s="133"/>
      <c r="AB791" s="133"/>
    </row>
    <row r="792">
      <c r="S792" s="133"/>
      <c r="AB792" s="133"/>
    </row>
    <row r="793">
      <c r="S793" s="133"/>
      <c r="AB793" s="133"/>
    </row>
    <row r="794">
      <c r="S794" s="133"/>
      <c r="AB794" s="133"/>
    </row>
    <row r="795">
      <c r="S795" s="133"/>
      <c r="AB795" s="133"/>
    </row>
    <row r="796">
      <c r="S796" s="133"/>
      <c r="AB796" s="133"/>
    </row>
    <row r="797">
      <c r="S797" s="133"/>
      <c r="AB797" s="133"/>
    </row>
    <row r="798">
      <c r="S798" s="133"/>
      <c r="AB798" s="133"/>
    </row>
    <row r="799">
      <c r="S799" s="133"/>
      <c r="AB799" s="133"/>
    </row>
    <row r="800">
      <c r="S800" s="133"/>
      <c r="AB800" s="133"/>
    </row>
    <row r="801">
      <c r="S801" s="133"/>
      <c r="AB801" s="133"/>
    </row>
    <row r="802">
      <c r="S802" s="133"/>
      <c r="AB802" s="133"/>
    </row>
    <row r="803">
      <c r="S803" s="133"/>
      <c r="AB803" s="133"/>
    </row>
    <row r="804">
      <c r="S804" s="133"/>
      <c r="AB804" s="133"/>
    </row>
    <row r="805">
      <c r="S805" s="133"/>
      <c r="AB805" s="133"/>
    </row>
    <row r="806">
      <c r="S806" s="133"/>
      <c r="AB806" s="133"/>
    </row>
    <row r="807">
      <c r="S807" s="133"/>
      <c r="AB807" s="133"/>
    </row>
    <row r="808">
      <c r="S808" s="133"/>
      <c r="AB808" s="133"/>
    </row>
    <row r="809">
      <c r="S809" s="133"/>
      <c r="AB809" s="133"/>
    </row>
    <row r="810">
      <c r="S810" s="133"/>
      <c r="AB810" s="133"/>
    </row>
    <row r="811">
      <c r="S811" s="133"/>
      <c r="AB811" s="133"/>
    </row>
    <row r="812">
      <c r="S812" s="133"/>
      <c r="AB812" s="133"/>
    </row>
    <row r="813">
      <c r="S813" s="133"/>
      <c r="AB813" s="133"/>
    </row>
    <row r="814">
      <c r="S814" s="133"/>
      <c r="AB814" s="133"/>
    </row>
    <row r="815">
      <c r="S815" s="133"/>
      <c r="AB815" s="133"/>
    </row>
    <row r="816">
      <c r="S816" s="133"/>
      <c r="AB816" s="133"/>
    </row>
    <row r="817">
      <c r="S817" s="133"/>
      <c r="AB817" s="133"/>
    </row>
    <row r="818">
      <c r="S818" s="133"/>
      <c r="AB818" s="133"/>
    </row>
    <row r="819">
      <c r="S819" s="133"/>
      <c r="AB819" s="133"/>
    </row>
    <row r="820">
      <c r="S820" s="133"/>
      <c r="AB820" s="133"/>
    </row>
    <row r="821">
      <c r="S821" s="133"/>
      <c r="AB821" s="133"/>
    </row>
    <row r="822">
      <c r="S822" s="133"/>
      <c r="AB822" s="133"/>
    </row>
    <row r="823">
      <c r="S823" s="133"/>
      <c r="AB823" s="133"/>
    </row>
    <row r="824">
      <c r="S824" s="133"/>
      <c r="AB824" s="133"/>
    </row>
    <row r="825">
      <c r="S825" s="133"/>
      <c r="AB825" s="133"/>
    </row>
    <row r="826">
      <c r="S826" s="133"/>
      <c r="AB826" s="133"/>
    </row>
    <row r="827">
      <c r="S827" s="133"/>
      <c r="AB827" s="133"/>
    </row>
    <row r="828">
      <c r="S828" s="133"/>
      <c r="AB828" s="133"/>
    </row>
    <row r="829">
      <c r="S829" s="133"/>
      <c r="AB829" s="133"/>
    </row>
    <row r="830">
      <c r="S830" s="133"/>
      <c r="AB830" s="133"/>
    </row>
    <row r="831">
      <c r="S831" s="133"/>
      <c r="AB831" s="133"/>
    </row>
    <row r="832">
      <c r="S832" s="133"/>
      <c r="AB832" s="133"/>
    </row>
    <row r="833">
      <c r="S833" s="133"/>
      <c r="AB833" s="133"/>
    </row>
    <row r="834">
      <c r="S834" s="133"/>
      <c r="AB834" s="133"/>
    </row>
    <row r="835">
      <c r="S835" s="133"/>
      <c r="AB835" s="133"/>
    </row>
    <row r="836">
      <c r="S836" s="133"/>
      <c r="AB836" s="133"/>
    </row>
    <row r="837">
      <c r="S837" s="133"/>
      <c r="AB837" s="133"/>
    </row>
    <row r="838">
      <c r="S838" s="133"/>
      <c r="AB838" s="133"/>
    </row>
    <row r="839">
      <c r="S839" s="133"/>
      <c r="AB839" s="133"/>
    </row>
    <row r="840">
      <c r="S840" s="133"/>
      <c r="AB840" s="133"/>
    </row>
    <row r="841">
      <c r="S841" s="133"/>
      <c r="AB841" s="133"/>
    </row>
    <row r="842">
      <c r="S842" s="133"/>
      <c r="AB842" s="133"/>
    </row>
    <row r="843">
      <c r="S843" s="133"/>
      <c r="AB843" s="133"/>
    </row>
    <row r="844">
      <c r="S844" s="133"/>
      <c r="AB844" s="133"/>
    </row>
    <row r="845">
      <c r="S845" s="133"/>
      <c r="AB845" s="133"/>
    </row>
    <row r="846">
      <c r="S846" s="133"/>
      <c r="AB846" s="133"/>
    </row>
    <row r="847">
      <c r="S847" s="133"/>
      <c r="AB847" s="133"/>
    </row>
    <row r="848">
      <c r="S848" s="133"/>
      <c r="AB848" s="133"/>
    </row>
    <row r="849">
      <c r="S849" s="133"/>
      <c r="AB849" s="133"/>
    </row>
    <row r="850">
      <c r="S850" s="133"/>
      <c r="AB850" s="133"/>
    </row>
    <row r="851">
      <c r="S851" s="133"/>
      <c r="AB851" s="133"/>
    </row>
    <row r="852">
      <c r="S852" s="133"/>
      <c r="AB852" s="133"/>
    </row>
    <row r="853">
      <c r="S853" s="133"/>
      <c r="AB853" s="133"/>
    </row>
    <row r="854">
      <c r="S854" s="133"/>
      <c r="AB854" s="133"/>
    </row>
    <row r="855">
      <c r="S855" s="133"/>
      <c r="AB855" s="133"/>
    </row>
    <row r="856">
      <c r="S856" s="133"/>
      <c r="AB856" s="133"/>
    </row>
    <row r="857">
      <c r="S857" s="133"/>
      <c r="AB857" s="133"/>
    </row>
    <row r="858">
      <c r="S858" s="133"/>
      <c r="AB858" s="133"/>
    </row>
    <row r="859">
      <c r="S859" s="133"/>
      <c r="AB859" s="133"/>
    </row>
    <row r="860">
      <c r="S860" s="133"/>
      <c r="AB860" s="133"/>
    </row>
    <row r="861">
      <c r="S861" s="133"/>
      <c r="AB861" s="133"/>
    </row>
    <row r="862">
      <c r="S862" s="133"/>
      <c r="AB862" s="133"/>
    </row>
    <row r="863">
      <c r="S863" s="133"/>
      <c r="AB863" s="133"/>
    </row>
    <row r="864">
      <c r="S864" s="133"/>
      <c r="AB864" s="133"/>
    </row>
    <row r="865">
      <c r="S865" s="133"/>
      <c r="AB865" s="133"/>
    </row>
    <row r="866">
      <c r="S866" s="133"/>
      <c r="AB866" s="133"/>
    </row>
    <row r="867">
      <c r="S867" s="133"/>
      <c r="AB867" s="133"/>
    </row>
    <row r="868">
      <c r="S868" s="133"/>
      <c r="AB868" s="133"/>
    </row>
    <row r="869">
      <c r="S869" s="133"/>
      <c r="AB869" s="133"/>
    </row>
    <row r="870">
      <c r="S870" s="133"/>
      <c r="AB870" s="133"/>
    </row>
    <row r="871">
      <c r="S871" s="133"/>
      <c r="AB871" s="133"/>
    </row>
    <row r="872">
      <c r="S872" s="133"/>
      <c r="AB872" s="133"/>
    </row>
    <row r="873">
      <c r="S873" s="133"/>
      <c r="AB873" s="133"/>
    </row>
    <row r="874">
      <c r="S874" s="133"/>
      <c r="AB874" s="133"/>
    </row>
    <row r="875">
      <c r="S875" s="133"/>
      <c r="AB875" s="133"/>
    </row>
    <row r="876">
      <c r="S876" s="133"/>
      <c r="AB876" s="133"/>
    </row>
    <row r="877">
      <c r="S877" s="133"/>
      <c r="AB877" s="133"/>
    </row>
    <row r="878">
      <c r="S878" s="133"/>
      <c r="AB878" s="133"/>
    </row>
    <row r="879">
      <c r="S879" s="133"/>
      <c r="AB879" s="133"/>
    </row>
    <row r="880">
      <c r="S880" s="133"/>
      <c r="AB880" s="133"/>
    </row>
    <row r="881">
      <c r="S881" s="133"/>
      <c r="AB881" s="133"/>
    </row>
    <row r="882">
      <c r="S882" s="133"/>
      <c r="AB882" s="133"/>
    </row>
    <row r="883">
      <c r="S883" s="133"/>
      <c r="AB883" s="133"/>
    </row>
    <row r="884">
      <c r="S884" s="133"/>
      <c r="AB884" s="133"/>
    </row>
    <row r="885">
      <c r="S885" s="133"/>
      <c r="AB885" s="133"/>
    </row>
    <row r="886">
      <c r="S886" s="133"/>
      <c r="AB886" s="133"/>
    </row>
    <row r="887">
      <c r="S887" s="133"/>
      <c r="AB887" s="133"/>
    </row>
    <row r="888">
      <c r="S888" s="133"/>
      <c r="AB888" s="133"/>
    </row>
    <row r="889">
      <c r="S889" s="133"/>
      <c r="AB889" s="133"/>
    </row>
    <row r="890">
      <c r="S890" s="133"/>
      <c r="AB890" s="133"/>
    </row>
    <row r="891">
      <c r="S891" s="133"/>
      <c r="AB891" s="133"/>
    </row>
    <row r="892">
      <c r="S892" s="133"/>
      <c r="AB892" s="133"/>
    </row>
    <row r="893">
      <c r="S893" s="133"/>
      <c r="AB893" s="133"/>
    </row>
    <row r="894">
      <c r="S894" s="133"/>
      <c r="AB894" s="133"/>
    </row>
    <row r="895">
      <c r="S895" s="133"/>
      <c r="AB895" s="133"/>
    </row>
    <row r="896">
      <c r="S896" s="133"/>
      <c r="AB896" s="133"/>
    </row>
    <row r="897">
      <c r="S897" s="133"/>
      <c r="AB897" s="133"/>
    </row>
    <row r="898">
      <c r="S898" s="133"/>
      <c r="AB898" s="133"/>
    </row>
    <row r="899">
      <c r="S899" s="133"/>
      <c r="AB899" s="133"/>
    </row>
    <row r="900">
      <c r="S900" s="133"/>
      <c r="AB900" s="133"/>
    </row>
    <row r="901">
      <c r="S901" s="133"/>
      <c r="AB901" s="133"/>
    </row>
    <row r="902">
      <c r="S902" s="133"/>
      <c r="AB902" s="133"/>
    </row>
    <row r="903">
      <c r="S903" s="133"/>
      <c r="AB903" s="133"/>
    </row>
    <row r="904">
      <c r="S904" s="133"/>
      <c r="AB904" s="133"/>
    </row>
    <row r="905">
      <c r="S905" s="133"/>
      <c r="AB905" s="133"/>
    </row>
    <row r="906">
      <c r="S906" s="133"/>
      <c r="AB906" s="133"/>
    </row>
    <row r="907">
      <c r="S907" s="133"/>
      <c r="AB907" s="133"/>
    </row>
    <row r="908">
      <c r="S908" s="133"/>
      <c r="AB908" s="133"/>
    </row>
    <row r="909">
      <c r="S909" s="133"/>
      <c r="AB909" s="133"/>
    </row>
    <row r="910">
      <c r="S910" s="133"/>
      <c r="AB910" s="133"/>
    </row>
    <row r="911">
      <c r="S911" s="133"/>
      <c r="AB911" s="133"/>
    </row>
    <row r="912">
      <c r="S912" s="133"/>
      <c r="AB912" s="133"/>
    </row>
    <row r="913">
      <c r="S913" s="133"/>
      <c r="AB913" s="133"/>
    </row>
    <row r="914">
      <c r="S914" s="133"/>
      <c r="AB914" s="133"/>
    </row>
    <row r="915">
      <c r="S915" s="133"/>
      <c r="AB915" s="133"/>
    </row>
    <row r="916">
      <c r="S916" s="133"/>
      <c r="AB916" s="133"/>
    </row>
    <row r="917">
      <c r="S917" s="133"/>
      <c r="AB917" s="133"/>
    </row>
    <row r="918">
      <c r="S918" s="133"/>
      <c r="AB918" s="133"/>
    </row>
    <row r="919">
      <c r="S919" s="133"/>
      <c r="AB919" s="133"/>
    </row>
    <row r="920">
      <c r="S920" s="133"/>
      <c r="AB920" s="133"/>
    </row>
    <row r="921">
      <c r="S921" s="133"/>
      <c r="AB921" s="133"/>
    </row>
    <row r="922">
      <c r="S922" s="133"/>
      <c r="AB922" s="133"/>
    </row>
    <row r="923">
      <c r="S923" s="133"/>
      <c r="AB923" s="133"/>
    </row>
    <row r="924">
      <c r="S924" s="133"/>
      <c r="AB924" s="133"/>
    </row>
    <row r="925">
      <c r="S925" s="133"/>
      <c r="AB925" s="133"/>
    </row>
    <row r="926">
      <c r="S926" s="133"/>
      <c r="AB926" s="133"/>
    </row>
    <row r="927">
      <c r="S927" s="133"/>
      <c r="AB927" s="133"/>
    </row>
    <row r="928">
      <c r="S928" s="133"/>
      <c r="AB928" s="133"/>
    </row>
    <row r="929">
      <c r="S929" s="133"/>
      <c r="AB929" s="133"/>
    </row>
    <row r="930">
      <c r="S930" s="133"/>
      <c r="AB930" s="133"/>
    </row>
    <row r="931">
      <c r="S931" s="133"/>
      <c r="AB931" s="133"/>
    </row>
    <row r="932">
      <c r="S932" s="133"/>
      <c r="AB932" s="133"/>
    </row>
    <row r="933">
      <c r="S933" s="133"/>
      <c r="AB933" s="133"/>
    </row>
    <row r="934">
      <c r="S934" s="133"/>
      <c r="AB934" s="133"/>
    </row>
    <row r="935">
      <c r="S935" s="133"/>
      <c r="AB935" s="133"/>
    </row>
    <row r="936">
      <c r="S936" s="133"/>
      <c r="AB936" s="133"/>
    </row>
    <row r="937">
      <c r="S937" s="133"/>
      <c r="AB937" s="133"/>
    </row>
    <row r="938">
      <c r="S938" s="133"/>
      <c r="AB938" s="133"/>
    </row>
    <row r="939">
      <c r="S939" s="133"/>
      <c r="AB939" s="133"/>
    </row>
    <row r="940">
      <c r="S940" s="133"/>
      <c r="AB940" s="133"/>
    </row>
    <row r="941">
      <c r="S941" s="133"/>
      <c r="AB941" s="133"/>
    </row>
    <row r="942">
      <c r="S942" s="133"/>
      <c r="AB942" s="133"/>
    </row>
    <row r="943">
      <c r="S943" s="133"/>
      <c r="AB943" s="133"/>
    </row>
    <row r="944">
      <c r="S944" s="133"/>
      <c r="AB944" s="133"/>
    </row>
    <row r="945">
      <c r="S945" s="133"/>
      <c r="AB945" s="133"/>
    </row>
    <row r="946">
      <c r="S946" s="133"/>
      <c r="AB946" s="133"/>
    </row>
    <row r="947">
      <c r="S947" s="133"/>
      <c r="AB947" s="133"/>
    </row>
    <row r="948">
      <c r="S948" s="133"/>
      <c r="AB948" s="133"/>
    </row>
    <row r="949">
      <c r="S949" s="133"/>
      <c r="AB949" s="133"/>
    </row>
    <row r="950">
      <c r="S950" s="133"/>
      <c r="AB950" s="133"/>
    </row>
    <row r="951">
      <c r="S951" s="133"/>
      <c r="AB951" s="133"/>
    </row>
    <row r="952">
      <c r="S952" s="133"/>
      <c r="AB952" s="133"/>
    </row>
    <row r="953">
      <c r="S953" s="133"/>
      <c r="AB953" s="133"/>
    </row>
    <row r="954">
      <c r="S954" s="133"/>
      <c r="AB954" s="133"/>
    </row>
    <row r="955">
      <c r="S955" s="133"/>
      <c r="AB955" s="133"/>
    </row>
    <row r="956">
      <c r="S956" s="133"/>
      <c r="AB956" s="133"/>
    </row>
    <row r="957">
      <c r="S957" s="133"/>
      <c r="AB957" s="133"/>
    </row>
    <row r="958">
      <c r="S958" s="133"/>
      <c r="AB958" s="133"/>
    </row>
    <row r="959">
      <c r="S959" s="133"/>
      <c r="AB959" s="133"/>
    </row>
    <row r="960">
      <c r="S960" s="133"/>
      <c r="AB960" s="133"/>
    </row>
    <row r="961">
      <c r="S961" s="133"/>
      <c r="AB961" s="133"/>
    </row>
    <row r="962">
      <c r="S962" s="133"/>
      <c r="AB962" s="133"/>
    </row>
    <row r="963">
      <c r="S963" s="133"/>
      <c r="AB963" s="133"/>
    </row>
    <row r="964">
      <c r="S964" s="133"/>
      <c r="AB964" s="133"/>
    </row>
    <row r="965">
      <c r="S965" s="133"/>
      <c r="AB965" s="133"/>
    </row>
    <row r="966">
      <c r="S966" s="133"/>
      <c r="AB966" s="133"/>
    </row>
    <row r="967">
      <c r="S967" s="133"/>
      <c r="AB967" s="133"/>
    </row>
    <row r="968">
      <c r="S968" s="133"/>
      <c r="AB968" s="133"/>
    </row>
    <row r="969">
      <c r="S969" s="133"/>
      <c r="AB969" s="133"/>
    </row>
    <row r="970">
      <c r="S970" s="133"/>
      <c r="AB970" s="133"/>
    </row>
    <row r="971">
      <c r="S971" s="133"/>
      <c r="AB971" s="133"/>
    </row>
    <row r="972">
      <c r="S972" s="133"/>
      <c r="AB972" s="133"/>
    </row>
    <row r="973">
      <c r="S973" s="133"/>
      <c r="AB973" s="133"/>
    </row>
    <row r="974">
      <c r="S974" s="133"/>
      <c r="AB974" s="133"/>
    </row>
    <row r="975">
      <c r="S975" s="133"/>
      <c r="AB975" s="133"/>
    </row>
    <row r="976">
      <c r="S976" s="133"/>
      <c r="AB976" s="133"/>
    </row>
    <row r="977">
      <c r="S977" s="133"/>
      <c r="AB977" s="133"/>
    </row>
    <row r="978">
      <c r="S978" s="133"/>
      <c r="AB978" s="133"/>
    </row>
    <row r="979">
      <c r="S979" s="133"/>
      <c r="AB979" s="133"/>
    </row>
    <row r="980">
      <c r="S980" s="133"/>
      <c r="AB980" s="133"/>
    </row>
    <row r="981">
      <c r="S981" s="133"/>
      <c r="AB981" s="133"/>
    </row>
    <row r="982">
      <c r="S982" s="133"/>
      <c r="AB982" s="133"/>
    </row>
    <row r="983">
      <c r="S983" s="133"/>
      <c r="AB983" s="133"/>
    </row>
    <row r="984">
      <c r="S984" s="133"/>
      <c r="AB984" s="133"/>
    </row>
    <row r="985">
      <c r="S985" s="133"/>
      <c r="AB985" s="133"/>
    </row>
    <row r="986">
      <c r="S986" s="133"/>
      <c r="AB986" s="133"/>
    </row>
    <row r="987">
      <c r="S987" s="133"/>
      <c r="AB987" s="133"/>
    </row>
    <row r="988">
      <c r="S988" s="133"/>
      <c r="AB988" s="133"/>
    </row>
    <row r="989">
      <c r="S989" s="133"/>
      <c r="AB989" s="133"/>
    </row>
    <row r="990">
      <c r="S990" s="133"/>
      <c r="AB990" s="133"/>
    </row>
    <row r="991">
      <c r="S991" s="133"/>
      <c r="AB991" s="133"/>
    </row>
    <row r="992">
      <c r="S992" s="133"/>
      <c r="AB992" s="133"/>
    </row>
    <row r="993">
      <c r="S993" s="133"/>
      <c r="AB993" s="133"/>
    </row>
    <row r="994">
      <c r="S994" s="133"/>
      <c r="AB994" s="133"/>
    </row>
    <row r="995">
      <c r="S995" s="133"/>
      <c r="AB995" s="133"/>
    </row>
    <row r="996">
      <c r="S996" s="133"/>
      <c r="AB996" s="133"/>
    </row>
    <row r="997">
      <c r="S997" s="133"/>
      <c r="AB997" s="133"/>
    </row>
    <row r="998">
      <c r="S998" s="133"/>
      <c r="AB998" s="133"/>
    </row>
    <row r="999">
      <c r="S999" s="133"/>
      <c r="AB999" s="133"/>
    </row>
    <row r="1000">
      <c r="S1000" s="133"/>
      <c r="AB1000" s="133"/>
    </row>
    <row r="1001">
      <c r="S1001" s="133"/>
      <c r="AB1001" s="133"/>
    </row>
    <row r="1002">
      <c r="S1002" s="133"/>
      <c r="AB1002" s="133"/>
    </row>
    <row r="1003">
      <c r="S1003" s="133"/>
      <c r="AB1003" s="133"/>
    </row>
    <row r="1004">
      <c r="S1004" s="133"/>
      <c r="AB1004" s="133"/>
    </row>
    <row r="1005">
      <c r="S1005" s="133"/>
      <c r="AB1005" s="133"/>
    </row>
    <row r="1006">
      <c r="S1006" s="133"/>
      <c r="AB1006" s="133"/>
    </row>
    <row r="1007">
      <c r="S1007" s="133"/>
      <c r="AB1007" s="133"/>
    </row>
  </sheetData>
  <autoFilter ref="$A$2:$AQ$46"/>
  <mergeCells count="6">
    <mergeCell ref="E1:S1"/>
    <mergeCell ref="U1:AB1"/>
    <mergeCell ref="AC1:AJ1"/>
    <mergeCell ref="AL1:AM1"/>
    <mergeCell ref="AN1:AO1"/>
    <mergeCell ref="AP1:AQ1"/>
  </mergeCells>
  <conditionalFormatting sqref="C3:C4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14.25"/>
    <col hidden="1" min="6" max="52" width="12.63"/>
    <col customWidth="1" hidden="1" min="53" max="53" width="18.38"/>
    <col hidden="1" min="54" max="188" width="12.63"/>
    <col customWidth="1" hidden="1" min="189" max="197" width="17.0"/>
    <col customWidth="1" min="198" max="209" width="17.0"/>
  </cols>
  <sheetData>
    <row r="1">
      <c r="A1" s="5"/>
      <c r="B1" s="5"/>
      <c r="C1" s="8"/>
      <c r="D1" s="8"/>
      <c r="E1" s="8"/>
      <c r="F1" s="151">
        <v>44910.0</v>
      </c>
      <c r="G1" s="16"/>
      <c r="H1" s="16"/>
      <c r="I1" s="12"/>
      <c r="J1" s="152">
        <v>44917.0</v>
      </c>
      <c r="N1" s="153">
        <v>44924.0</v>
      </c>
      <c r="R1" s="154" t="s">
        <v>194</v>
      </c>
      <c r="V1" s="153">
        <v>44938.0</v>
      </c>
      <c r="Z1" s="152">
        <v>44945.0</v>
      </c>
      <c r="AD1" s="153">
        <v>44952.0</v>
      </c>
      <c r="AH1" s="155">
        <v>44959.0</v>
      </c>
      <c r="AL1" s="156">
        <v>44966.0</v>
      </c>
      <c r="AM1" s="16"/>
      <c r="AN1" s="16"/>
      <c r="AO1" s="16"/>
      <c r="AP1" s="157">
        <v>44973.0</v>
      </c>
      <c r="AQ1" s="16"/>
      <c r="AR1" s="16"/>
      <c r="AS1" s="12"/>
      <c r="AT1" s="157">
        <v>44987.0</v>
      </c>
      <c r="AU1" s="16"/>
      <c r="AV1" s="16"/>
      <c r="AW1" s="12"/>
      <c r="AX1" s="157">
        <v>44994.0</v>
      </c>
      <c r="AY1" s="16"/>
      <c r="AZ1" s="16"/>
      <c r="BA1" s="12"/>
      <c r="BB1" s="157">
        <v>45001.0</v>
      </c>
      <c r="BC1" s="16"/>
      <c r="BD1" s="16"/>
      <c r="BE1" s="12"/>
      <c r="BF1" s="157">
        <v>45008.0</v>
      </c>
      <c r="BG1" s="16"/>
      <c r="BH1" s="16"/>
      <c r="BI1" s="12"/>
      <c r="BJ1" s="157">
        <v>45015.0</v>
      </c>
      <c r="BK1" s="16"/>
      <c r="BL1" s="16"/>
      <c r="BM1" s="12"/>
      <c r="BN1" s="158" t="s">
        <v>195</v>
      </c>
      <c r="BO1" s="16"/>
      <c r="BP1" s="16"/>
      <c r="BQ1" s="12"/>
      <c r="BR1" s="158" t="s">
        <v>196</v>
      </c>
      <c r="BS1" s="16"/>
      <c r="BT1" s="16"/>
      <c r="BU1" s="12"/>
      <c r="BV1" s="158" t="s">
        <v>197</v>
      </c>
      <c r="BW1" s="16"/>
      <c r="BX1" s="16"/>
      <c r="BY1" s="12"/>
      <c r="BZ1" s="158" t="s">
        <v>198</v>
      </c>
      <c r="CA1" s="16"/>
      <c r="CB1" s="16"/>
      <c r="CC1" s="12"/>
      <c r="CD1" s="14">
        <v>45050.0</v>
      </c>
      <c r="CE1" s="16"/>
      <c r="CF1" s="16"/>
      <c r="CG1" s="12"/>
      <c r="CH1" s="14">
        <v>45057.0</v>
      </c>
      <c r="CI1" s="16"/>
      <c r="CJ1" s="16"/>
      <c r="CK1" s="12"/>
      <c r="CL1" s="14">
        <v>45064.0</v>
      </c>
      <c r="CM1" s="16"/>
      <c r="CN1" s="16"/>
      <c r="CO1" s="12"/>
      <c r="CP1" s="14">
        <v>45071.0</v>
      </c>
      <c r="CQ1" s="16"/>
      <c r="CR1" s="16"/>
      <c r="CS1" s="12"/>
      <c r="CT1" s="14">
        <v>45078.0</v>
      </c>
      <c r="CU1" s="16"/>
      <c r="CV1" s="16"/>
      <c r="CW1" s="12"/>
      <c r="CX1" s="14">
        <v>45085.0</v>
      </c>
      <c r="CY1" s="16"/>
      <c r="CZ1" s="16"/>
      <c r="DA1" s="12"/>
      <c r="DB1" s="14">
        <v>45092.0</v>
      </c>
      <c r="DC1" s="16"/>
      <c r="DD1" s="16"/>
      <c r="DE1" s="12"/>
      <c r="DF1" s="14">
        <v>45099.0</v>
      </c>
      <c r="DG1" s="16"/>
      <c r="DH1" s="16"/>
      <c r="DI1" s="12"/>
      <c r="DJ1" s="14">
        <v>45106.0</v>
      </c>
      <c r="DK1" s="16"/>
      <c r="DL1" s="16"/>
      <c r="DM1" s="12"/>
      <c r="DN1" s="14">
        <v>45113.0</v>
      </c>
      <c r="DO1" s="16"/>
      <c r="DP1" s="16"/>
      <c r="DQ1" s="12"/>
      <c r="DR1" s="14">
        <v>45120.0</v>
      </c>
      <c r="DS1" s="16"/>
      <c r="DT1" s="16"/>
      <c r="DU1" s="12"/>
      <c r="DV1" s="14">
        <v>45127.0</v>
      </c>
      <c r="DW1" s="16"/>
      <c r="DX1" s="16"/>
      <c r="DY1" s="12"/>
      <c r="DZ1" s="14">
        <v>45134.0</v>
      </c>
      <c r="EA1" s="16"/>
      <c r="EB1" s="16"/>
      <c r="EC1" s="12"/>
      <c r="ED1" s="14">
        <v>45141.0</v>
      </c>
      <c r="EE1" s="16"/>
      <c r="EF1" s="16"/>
      <c r="EG1" s="12"/>
      <c r="EH1" s="14">
        <v>45148.0</v>
      </c>
      <c r="EI1" s="16"/>
      <c r="EJ1" s="16"/>
      <c r="EK1" s="12"/>
      <c r="EL1" s="14">
        <v>45155.0</v>
      </c>
      <c r="EM1" s="16"/>
      <c r="EN1" s="16"/>
      <c r="EO1" s="12"/>
      <c r="EP1" s="14">
        <v>45162.0</v>
      </c>
      <c r="EQ1" s="16"/>
      <c r="ER1" s="16"/>
      <c r="ES1" s="12"/>
      <c r="ET1" s="14">
        <v>45169.0</v>
      </c>
      <c r="EU1" s="16"/>
      <c r="EV1" s="16"/>
      <c r="EW1" s="12"/>
      <c r="EX1" s="14">
        <v>45176.0</v>
      </c>
      <c r="EY1" s="16"/>
      <c r="EZ1" s="16"/>
      <c r="FA1" s="12"/>
      <c r="FB1" s="14">
        <v>45183.0</v>
      </c>
      <c r="FC1" s="16"/>
      <c r="FD1" s="16"/>
      <c r="FE1" s="12"/>
      <c r="FF1" s="14">
        <v>45190.0</v>
      </c>
      <c r="FG1" s="16"/>
      <c r="FH1" s="16"/>
      <c r="FI1" s="12"/>
      <c r="FJ1" s="14">
        <v>45197.0</v>
      </c>
      <c r="FK1" s="16"/>
      <c r="FL1" s="16"/>
      <c r="FM1" s="12"/>
      <c r="FN1" s="14">
        <v>45204.0</v>
      </c>
      <c r="FO1" s="16"/>
      <c r="FP1" s="16"/>
      <c r="FQ1" s="12"/>
      <c r="FR1" s="14">
        <v>45211.0</v>
      </c>
      <c r="FS1" s="16"/>
      <c r="FT1" s="16"/>
      <c r="FU1" s="12"/>
      <c r="FV1" s="14">
        <v>45218.0</v>
      </c>
      <c r="FW1" s="16"/>
      <c r="FX1" s="16"/>
      <c r="FY1" s="12"/>
      <c r="FZ1" s="14">
        <v>45225.0</v>
      </c>
      <c r="GA1" s="16"/>
      <c r="GB1" s="16"/>
      <c r="GC1" s="12"/>
      <c r="GD1" s="14">
        <v>45232.0</v>
      </c>
      <c r="GE1" s="16"/>
      <c r="GF1" s="16"/>
      <c r="GG1" s="12"/>
      <c r="GH1" s="14">
        <v>45239.0</v>
      </c>
      <c r="GI1" s="16"/>
      <c r="GJ1" s="16"/>
      <c r="GK1" s="12"/>
      <c r="GL1" s="14">
        <v>45246.0</v>
      </c>
      <c r="GM1" s="16"/>
      <c r="GN1" s="16"/>
      <c r="GO1" s="12"/>
      <c r="GP1" s="14">
        <v>45253.0</v>
      </c>
      <c r="GQ1" s="16"/>
      <c r="GR1" s="16"/>
      <c r="GS1" s="12"/>
      <c r="GT1" s="14">
        <v>45260.0</v>
      </c>
      <c r="GU1" s="16"/>
      <c r="GV1" s="16"/>
      <c r="GW1" s="12"/>
      <c r="GX1" s="14">
        <v>45267.0</v>
      </c>
      <c r="GY1" s="16"/>
      <c r="GZ1" s="16"/>
      <c r="HA1" s="12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1" t="s">
        <v>71</v>
      </c>
      <c r="G2" s="31" t="s">
        <v>72</v>
      </c>
      <c r="H2" s="31" t="s">
        <v>68</v>
      </c>
      <c r="I2" s="31" t="s">
        <v>70</v>
      </c>
      <c r="J2" s="159" t="s">
        <v>71</v>
      </c>
      <c r="K2" s="31" t="s">
        <v>72</v>
      </c>
      <c r="L2" s="31" t="s">
        <v>68</v>
      </c>
      <c r="M2" s="31" t="s">
        <v>70</v>
      </c>
      <c r="N2" s="31" t="s">
        <v>71</v>
      </c>
      <c r="O2" s="31" t="s">
        <v>72</v>
      </c>
      <c r="P2" s="31" t="s">
        <v>68</v>
      </c>
      <c r="Q2" s="31" t="s">
        <v>70</v>
      </c>
      <c r="R2" s="31" t="s">
        <v>71</v>
      </c>
      <c r="S2" s="31" t="s">
        <v>72</v>
      </c>
      <c r="T2" s="31" t="s">
        <v>68</v>
      </c>
      <c r="U2" s="32" t="s">
        <v>70</v>
      </c>
      <c r="V2" s="31" t="s">
        <v>71</v>
      </c>
      <c r="W2" s="31" t="s">
        <v>72</v>
      </c>
      <c r="X2" s="31" t="s">
        <v>68</v>
      </c>
      <c r="Y2" s="31" t="s">
        <v>70</v>
      </c>
      <c r="Z2" s="31" t="s">
        <v>71</v>
      </c>
      <c r="AA2" s="31" t="s">
        <v>72</v>
      </c>
      <c r="AB2" s="31" t="s">
        <v>68</v>
      </c>
      <c r="AC2" s="32" t="s">
        <v>70</v>
      </c>
      <c r="AD2" s="31" t="s">
        <v>71</v>
      </c>
      <c r="AE2" s="31" t="s">
        <v>72</v>
      </c>
      <c r="AF2" s="31" t="s">
        <v>68</v>
      </c>
      <c r="AG2" s="32" t="s">
        <v>70</v>
      </c>
      <c r="AH2" s="31" t="s">
        <v>71</v>
      </c>
      <c r="AI2" s="31" t="s">
        <v>72</v>
      </c>
      <c r="AJ2" s="31" t="s">
        <v>68</v>
      </c>
      <c r="AK2" s="32" t="s">
        <v>70</v>
      </c>
      <c r="AL2" s="159" t="s">
        <v>71</v>
      </c>
      <c r="AM2" s="31" t="s">
        <v>72</v>
      </c>
      <c r="AN2" s="31" t="s">
        <v>68</v>
      </c>
      <c r="AO2" s="32" t="s">
        <v>70</v>
      </c>
      <c r="AP2" s="31" t="s">
        <v>71</v>
      </c>
      <c r="AQ2" s="31" t="s">
        <v>72</v>
      </c>
      <c r="AR2" s="31" t="s">
        <v>68</v>
      </c>
      <c r="AS2" s="32" t="s">
        <v>70</v>
      </c>
      <c r="AT2" s="31" t="s">
        <v>71</v>
      </c>
      <c r="AU2" s="31" t="s">
        <v>72</v>
      </c>
      <c r="AV2" s="31" t="s">
        <v>68</v>
      </c>
      <c r="AW2" s="32" t="s">
        <v>70</v>
      </c>
      <c r="AX2" s="31" t="s">
        <v>71</v>
      </c>
      <c r="AY2" s="31" t="s">
        <v>72</v>
      </c>
      <c r="AZ2" s="31" t="s">
        <v>68</v>
      </c>
      <c r="BA2" s="32" t="s">
        <v>70</v>
      </c>
      <c r="BB2" s="31" t="s">
        <v>71</v>
      </c>
      <c r="BC2" s="31" t="s">
        <v>72</v>
      </c>
      <c r="BD2" s="31" t="s">
        <v>68</v>
      </c>
      <c r="BE2" s="32" t="s">
        <v>70</v>
      </c>
      <c r="BF2" s="31" t="s">
        <v>71</v>
      </c>
      <c r="BG2" s="31" t="s">
        <v>72</v>
      </c>
      <c r="BH2" s="31" t="s">
        <v>68</v>
      </c>
      <c r="BI2" s="32" t="s">
        <v>70</v>
      </c>
      <c r="BJ2" s="31" t="s">
        <v>71</v>
      </c>
      <c r="BK2" s="31" t="s">
        <v>72</v>
      </c>
      <c r="BL2" s="31" t="s">
        <v>68</v>
      </c>
      <c r="BM2" s="32" t="s">
        <v>70</v>
      </c>
      <c r="BN2" s="31" t="s">
        <v>71</v>
      </c>
      <c r="BO2" s="31" t="s">
        <v>72</v>
      </c>
      <c r="BP2" s="31" t="s">
        <v>68</v>
      </c>
      <c r="BQ2" s="32" t="s">
        <v>70</v>
      </c>
      <c r="BR2" s="31" t="s">
        <v>71</v>
      </c>
      <c r="BS2" s="31" t="s">
        <v>72</v>
      </c>
      <c r="BT2" s="31" t="s">
        <v>68</v>
      </c>
      <c r="BU2" s="32" t="s">
        <v>70</v>
      </c>
      <c r="BV2" s="31" t="s">
        <v>71</v>
      </c>
      <c r="BW2" s="31" t="s">
        <v>72</v>
      </c>
      <c r="BX2" s="31" t="s">
        <v>68</v>
      </c>
      <c r="BY2" s="32" t="s">
        <v>70</v>
      </c>
      <c r="BZ2" s="31" t="s">
        <v>71</v>
      </c>
      <c r="CA2" s="31" t="s">
        <v>72</v>
      </c>
      <c r="CB2" s="31" t="s">
        <v>68</v>
      </c>
      <c r="CC2" s="32" t="s">
        <v>70</v>
      </c>
      <c r="CD2" s="31" t="s">
        <v>71</v>
      </c>
      <c r="CE2" s="31" t="s">
        <v>72</v>
      </c>
      <c r="CF2" s="31" t="s">
        <v>68</v>
      </c>
      <c r="CG2" s="32" t="s">
        <v>70</v>
      </c>
      <c r="CH2" s="31" t="s">
        <v>71</v>
      </c>
      <c r="CI2" s="31" t="s">
        <v>72</v>
      </c>
      <c r="CJ2" s="31" t="s">
        <v>68</v>
      </c>
      <c r="CK2" s="32" t="s">
        <v>70</v>
      </c>
      <c r="CL2" s="31" t="s">
        <v>71</v>
      </c>
      <c r="CM2" s="31" t="s">
        <v>72</v>
      </c>
      <c r="CN2" s="31" t="s">
        <v>68</v>
      </c>
      <c r="CO2" s="32" t="s">
        <v>70</v>
      </c>
      <c r="CP2" s="31" t="s">
        <v>71</v>
      </c>
      <c r="CQ2" s="31" t="s">
        <v>72</v>
      </c>
      <c r="CR2" s="31" t="s">
        <v>68</v>
      </c>
      <c r="CS2" s="32" t="s">
        <v>70</v>
      </c>
      <c r="CT2" s="31" t="s">
        <v>71</v>
      </c>
      <c r="CU2" s="31" t="s">
        <v>72</v>
      </c>
      <c r="CV2" s="31" t="s">
        <v>68</v>
      </c>
      <c r="CW2" s="32" t="s">
        <v>70</v>
      </c>
      <c r="CX2" s="31" t="s">
        <v>71</v>
      </c>
      <c r="CY2" s="31" t="s">
        <v>72</v>
      </c>
      <c r="CZ2" s="31" t="s">
        <v>68</v>
      </c>
      <c r="DA2" s="32" t="s">
        <v>70</v>
      </c>
      <c r="DB2" s="31" t="s">
        <v>71</v>
      </c>
      <c r="DC2" s="31" t="s">
        <v>72</v>
      </c>
      <c r="DD2" s="31" t="s">
        <v>68</v>
      </c>
      <c r="DE2" s="32" t="s">
        <v>70</v>
      </c>
      <c r="DF2" s="31" t="s">
        <v>71</v>
      </c>
      <c r="DG2" s="31" t="s">
        <v>72</v>
      </c>
      <c r="DH2" s="31" t="s">
        <v>68</v>
      </c>
      <c r="DI2" s="32" t="s">
        <v>70</v>
      </c>
      <c r="DJ2" s="31" t="s">
        <v>71</v>
      </c>
      <c r="DK2" s="31" t="s">
        <v>72</v>
      </c>
      <c r="DL2" s="31" t="s">
        <v>68</v>
      </c>
      <c r="DM2" s="32" t="s">
        <v>70</v>
      </c>
      <c r="DN2" s="31" t="s">
        <v>71</v>
      </c>
      <c r="DO2" s="31" t="s">
        <v>72</v>
      </c>
      <c r="DP2" s="31" t="s">
        <v>68</v>
      </c>
      <c r="DQ2" s="32" t="s">
        <v>70</v>
      </c>
      <c r="DR2" s="31" t="s">
        <v>71</v>
      </c>
      <c r="DS2" s="31" t="s">
        <v>72</v>
      </c>
      <c r="DT2" s="31" t="s">
        <v>68</v>
      </c>
      <c r="DU2" s="32" t="s">
        <v>70</v>
      </c>
      <c r="DV2" s="31" t="s">
        <v>71</v>
      </c>
      <c r="DW2" s="31" t="s">
        <v>72</v>
      </c>
      <c r="DX2" s="31" t="s">
        <v>68</v>
      </c>
      <c r="DY2" s="32" t="s">
        <v>70</v>
      </c>
      <c r="DZ2" s="31" t="s">
        <v>71</v>
      </c>
      <c r="EA2" s="31" t="s">
        <v>72</v>
      </c>
      <c r="EB2" s="31" t="s">
        <v>68</v>
      </c>
      <c r="EC2" s="32" t="s">
        <v>70</v>
      </c>
      <c r="ED2" s="31" t="s">
        <v>71</v>
      </c>
      <c r="EE2" s="31" t="s">
        <v>72</v>
      </c>
      <c r="EF2" s="31" t="s">
        <v>68</v>
      </c>
      <c r="EG2" s="32" t="s">
        <v>70</v>
      </c>
      <c r="EH2" s="31" t="s">
        <v>71</v>
      </c>
      <c r="EI2" s="31" t="s">
        <v>72</v>
      </c>
      <c r="EJ2" s="31" t="s">
        <v>68</v>
      </c>
      <c r="EK2" s="32" t="s">
        <v>70</v>
      </c>
      <c r="EL2" s="31" t="s">
        <v>71</v>
      </c>
      <c r="EM2" s="31" t="s">
        <v>72</v>
      </c>
      <c r="EN2" s="31" t="s">
        <v>68</v>
      </c>
      <c r="EO2" s="32" t="s">
        <v>70</v>
      </c>
      <c r="EP2" s="31" t="s">
        <v>71</v>
      </c>
      <c r="EQ2" s="31" t="s">
        <v>72</v>
      </c>
      <c r="ER2" s="31" t="s">
        <v>68</v>
      </c>
      <c r="ES2" s="32" t="s">
        <v>70</v>
      </c>
      <c r="ET2" s="31" t="s">
        <v>71</v>
      </c>
      <c r="EU2" s="31" t="s">
        <v>72</v>
      </c>
      <c r="EV2" s="31" t="s">
        <v>68</v>
      </c>
      <c r="EW2" s="32" t="s">
        <v>70</v>
      </c>
      <c r="EX2" s="31" t="s">
        <v>71</v>
      </c>
      <c r="EY2" s="31" t="s">
        <v>72</v>
      </c>
      <c r="EZ2" s="31" t="s">
        <v>68</v>
      </c>
      <c r="FA2" s="32" t="s">
        <v>70</v>
      </c>
      <c r="FB2" s="31" t="s">
        <v>71</v>
      </c>
      <c r="FC2" s="31" t="s">
        <v>72</v>
      </c>
      <c r="FD2" s="31" t="s">
        <v>68</v>
      </c>
      <c r="FE2" s="32" t="s">
        <v>70</v>
      </c>
      <c r="FF2" s="31" t="s">
        <v>71</v>
      </c>
      <c r="FG2" s="31" t="s">
        <v>72</v>
      </c>
      <c r="FH2" s="31" t="s">
        <v>68</v>
      </c>
      <c r="FI2" s="32" t="s">
        <v>70</v>
      </c>
      <c r="FJ2" s="31" t="s">
        <v>71</v>
      </c>
      <c r="FK2" s="31" t="s">
        <v>72</v>
      </c>
      <c r="FL2" s="31" t="s">
        <v>68</v>
      </c>
      <c r="FM2" s="32" t="s">
        <v>70</v>
      </c>
      <c r="FN2" s="31" t="s">
        <v>71</v>
      </c>
      <c r="FO2" s="31" t="s">
        <v>72</v>
      </c>
      <c r="FP2" s="31" t="s">
        <v>68</v>
      </c>
      <c r="FQ2" s="32" t="s">
        <v>70</v>
      </c>
      <c r="FR2" s="31" t="s">
        <v>71</v>
      </c>
      <c r="FS2" s="31" t="s">
        <v>72</v>
      </c>
      <c r="FT2" s="31" t="s">
        <v>68</v>
      </c>
      <c r="FU2" s="32" t="s">
        <v>70</v>
      </c>
      <c r="FV2" s="31" t="s">
        <v>71</v>
      </c>
      <c r="FW2" s="31" t="s">
        <v>72</v>
      </c>
      <c r="FX2" s="31" t="s">
        <v>68</v>
      </c>
      <c r="FY2" s="32" t="s">
        <v>70</v>
      </c>
      <c r="FZ2" s="31" t="s">
        <v>71</v>
      </c>
      <c r="GA2" s="31" t="s">
        <v>72</v>
      </c>
      <c r="GB2" s="31" t="s">
        <v>68</v>
      </c>
      <c r="GC2" s="32" t="s">
        <v>70</v>
      </c>
      <c r="GD2" s="31" t="s">
        <v>71</v>
      </c>
      <c r="GE2" s="31" t="s">
        <v>72</v>
      </c>
      <c r="GF2" s="31" t="s">
        <v>68</v>
      </c>
      <c r="GG2" s="32" t="s">
        <v>70</v>
      </c>
      <c r="GH2" s="31" t="s">
        <v>71</v>
      </c>
      <c r="GI2" s="31" t="s">
        <v>72</v>
      </c>
      <c r="GJ2" s="31" t="s">
        <v>68</v>
      </c>
      <c r="GK2" s="32" t="s">
        <v>70</v>
      </c>
      <c r="GL2" s="31" t="s">
        <v>71</v>
      </c>
      <c r="GM2" s="31" t="s">
        <v>72</v>
      </c>
      <c r="GN2" s="31" t="s">
        <v>68</v>
      </c>
      <c r="GO2" s="32" t="s">
        <v>70</v>
      </c>
      <c r="GP2" s="31" t="s">
        <v>71</v>
      </c>
      <c r="GQ2" s="31" t="s">
        <v>72</v>
      </c>
      <c r="GR2" s="31" t="s">
        <v>68</v>
      </c>
      <c r="GS2" s="32" t="s">
        <v>70</v>
      </c>
      <c r="GT2" s="31" t="s">
        <v>71</v>
      </c>
      <c r="GU2" s="31" t="s">
        <v>72</v>
      </c>
      <c r="GV2" s="31" t="s">
        <v>68</v>
      </c>
      <c r="GW2" s="32" t="s">
        <v>70</v>
      </c>
      <c r="GX2" s="31" t="s">
        <v>71</v>
      </c>
      <c r="GY2" s="31" t="s">
        <v>72</v>
      </c>
      <c r="GZ2" s="31" t="s">
        <v>68</v>
      </c>
      <c r="HA2" s="32" t="s">
        <v>70</v>
      </c>
    </row>
    <row r="3">
      <c r="A3" s="20" t="s">
        <v>17</v>
      </c>
      <c r="B3" s="21" t="s">
        <v>18</v>
      </c>
      <c r="C3" s="1">
        <f t="shared" ref="C3:C41" si="1">countA($A$3:A3)</f>
        <v>1</v>
      </c>
      <c r="D3" s="15">
        <v>0.38</v>
      </c>
      <c r="E3" s="37">
        <v>299.46</v>
      </c>
      <c r="F3" s="4"/>
      <c r="G3" s="7"/>
      <c r="H3" s="7">
        <v>1.0</v>
      </c>
      <c r="I3" s="39">
        <f t="shared" ref="I3:I41" si="2"> if( F3=1, if( G3=1, if( H3=1, 5, 3), if( H3=1, 1, -3 ) ), if(G3=1,if(H3=1, -1, -2 ), if(H3=1, 7, 0 ) ) )</f>
        <v>7</v>
      </c>
      <c r="J3" s="4">
        <v>1.0</v>
      </c>
      <c r="K3" s="7">
        <v>1.0</v>
      </c>
      <c r="L3" s="7"/>
      <c r="M3" s="39">
        <f t="shared" ref="M3:M41" si="3"> if( J3=1, if( K3=1, if( L3=1, 5, 3), if( L3=1, 1, -3 ) ), if(K3=1,if(L3=1, -1, -2 ), if(L3=1, 7, 0 ) ) )</f>
        <v>3</v>
      </c>
      <c r="N3" s="7">
        <v>1.0</v>
      </c>
      <c r="O3" s="7">
        <v>1.0</v>
      </c>
      <c r="P3" s="7">
        <v>1.0</v>
      </c>
      <c r="Q3" s="39">
        <f t="shared" ref="Q3:Q41" si="4"> if( N3=1, if( O3=1, if( P3=1, 5, 3), if( P3=1, 1, -3 ) ), if(O3=1,if(P3=1, -1, -2 ), if(P3=1, 7, 0 ) ) )</f>
        <v>5</v>
      </c>
      <c r="R3" s="7">
        <v>1.0</v>
      </c>
      <c r="S3" s="7">
        <v>1.0</v>
      </c>
      <c r="T3" s="7">
        <v>1.0</v>
      </c>
      <c r="U3" s="39">
        <f t="shared" ref="U3:U41" si="5"> if( R3=1, if( S3=1, if( T3=1, 5, 3), if( T3=1, 1, -3 ) ), if(S3=1,if(T3=1, -1, -2 ), if(T3=1, 7, 0 ) ) )</f>
        <v>5</v>
      </c>
      <c r="V3" s="7">
        <v>1.0</v>
      </c>
      <c r="W3" s="7">
        <v>1.0</v>
      </c>
      <c r="X3" s="7">
        <v>1.0</v>
      </c>
      <c r="Y3" s="39">
        <f t="shared" ref="Y3:Y41" si="6"> if( V3=1, if( W3=1, if( X3=1, 5, 3), if( X3=1, 1, -3 ) ), if(W3=1,if(X3=1, -1, -2 ), if(X3=1, 7, 0 ) ) )</f>
        <v>5</v>
      </c>
      <c r="Z3" s="7">
        <v>1.0</v>
      </c>
      <c r="AA3" s="7">
        <v>1.0</v>
      </c>
      <c r="AB3" s="7">
        <v>1.0</v>
      </c>
      <c r="AC3" s="39">
        <f t="shared" ref="AC3:AC41" si="7"> if( Z3=1, if( AA3=1, if( AB3=1, 5, 3), if( AB3=1, 1, -3 ) ), if(AA3=1,if(AB3=1, -1, -2 ), if(AB3=1, 7, 0 ) ) )</f>
        <v>5</v>
      </c>
      <c r="AD3" s="7">
        <v>1.0</v>
      </c>
      <c r="AE3" s="7">
        <v>1.0</v>
      </c>
      <c r="AF3" s="7">
        <v>1.0</v>
      </c>
      <c r="AG3" s="39">
        <f t="shared" ref="AG3:AG41" si="8"> if( AD3=1, if( AE3=1, if( AF3=1, 5, 3), if( AF3=1, 1, -3 ) ), if(AE3=1,if(AF3=1, -1, -2 ), if(AF3=1, 7, 0 ) ) )</f>
        <v>5</v>
      </c>
      <c r="AH3" s="7">
        <v>1.0</v>
      </c>
      <c r="AI3" s="7">
        <v>1.0</v>
      </c>
      <c r="AJ3" s="7">
        <v>1.0</v>
      </c>
      <c r="AK3" s="39">
        <f t="shared" ref="AK3:AK41" si="9"> if( AH3=1, if( AI3=1, if( AJ3=1, 5, 3), if( AJ3=1, 1, -3 ) ), if(AI3=1,if(AJ3=1, -1, -2 ), if(AJ3=1, 7, 0 ) ) )</f>
        <v>5</v>
      </c>
      <c r="AL3" s="4">
        <v>1.0</v>
      </c>
      <c r="AM3" s="7">
        <v>1.0</v>
      </c>
      <c r="AN3" s="7">
        <v>1.0</v>
      </c>
      <c r="AO3" s="39">
        <f t="shared" ref="AO3:AO41" si="10"> if( AL3=1, if( AM3=1, if( AN3=1, 5, 3), if( AN3=1, 1, -3 ) ), if(AM3=1,if(AN3=1, -1, -2 ), if(AN3=1, 7, 0 ) ) )</f>
        <v>5</v>
      </c>
      <c r="AP3" s="7">
        <v>1.0</v>
      </c>
      <c r="AQ3" s="7">
        <v>1.0</v>
      </c>
      <c r="AR3" s="7">
        <v>1.0</v>
      </c>
      <c r="AS3" s="39">
        <f t="shared" ref="AS3:AS41" si="11"> if( AP3=1, if( AQ3=1, if( AR3=1, 5, 3), if( AR3=1, 1, -3 ) ), if(AQ3=1,if(AR3=1, -1, -2 ), if(AR3=1, 7, 0 ) ) )</f>
        <v>5</v>
      </c>
      <c r="AT3" s="7">
        <v>1.0</v>
      </c>
      <c r="AU3" s="7">
        <v>1.0</v>
      </c>
      <c r="AV3" s="7"/>
      <c r="AW3" s="39">
        <f t="shared" ref="AW3:AW41" si="12"> if( AT3=1, if( AU3=1, if( AV3=1, 5, 3), if( AV3=1, 1, -3 ) ), if(AU3=1,if(AV3=1, -1, -2 ), if(AV3=1, 7, 0 ) ) )</f>
        <v>3</v>
      </c>
      <c r="AX3" s="7">
        <v>1.0</v>
      </c>
      <c r="AY3" s="7">
        <v>1.0</v>
      </c>
      <c r="AZ3" s="7"/>
      <c r="BA3" s="39">
        <f t="shared" ref="BA3:BA41" si="13"> if( AX3=1, if( AY3=1, if( AZ3=1, 5, 3), if( AZ3=1, 1, -3 ) ), if(AY3=1,if(AZ3=1, -1, -2 ), if(AZ3=1, 7, 0 ) ) )</f>
        <v>3</v>
      </c>
      <c r="BB3" s="7">
        <v>1.0</v>
      </c>
      <c r="BC3" s="7">
        <v>1.0</v>
      </c>
      <c r="BD3" s="7">
        <v>1.0</v>
      </c>
      <c r="BE3" s="39">
        <f t="shared" ref="BE3:BE41" si="14"> if( BB3=1, if( BC3=1, if( BD3=1, 5, 3), if( BD3=1, 1, -3 ) ), if(BC3=1,if(BD3=1, -1, -2 ), if(BD3=1, 7, 0 ) ) )</f>
        <v>5</v>
      </c>
      <c r="BF3" s="7">
        <v>1.0</v>
      </c>
      <c r="BG3" s="7">
        <v>1.0</v>
      </c>
      <c r="BH3" s="7">
        <v>1.0</v>
      </c>
      <c r="BI3" s="39">
        <f t="shared" ref="BI3:BI41" si="15"> if( BF3=1, if( BG3=1, if( BH3=1, 5, 3), if( BH3=1, 1, -3 ) ), if(BG3=1,if(BH3=1, -1, -2 ), if(BH3=1, 7, 0 ) ) )</f>
        <v>5</v>
      </c>
      <c r="BJ3" s="7">
        <v>1.0</v>
      </c>
      <c r="BK3" s="7">
        <v>1.0</v>
      </c>
      <c r="BL3" s="7">
        <v>1.0</v>
      </c>
      <c r="BM3" s="39">
        <f t="shared" ref="BM3:BM41" si="16"> if( BJ3=1, if( BK3=1, if( BL3=1, 5, 3), if( BL3=1, 1, -3 ) ), if(BK3=1,if(BL3=1, -1, -2 ), if(BL3=1, 7, 0 ) ) )</f>
        <v>5</v>
      </c>
      <c r="BN3" s="7">
        <v>1.0</v>
      </c>
      <c r="BO3" s="7">
        <v>1.0</v>
      </c>
      <c r="BP3" s="7">
        <v>1.0</v>
      </c>
      <c r="BQ3" s="39">
        <f t="shared" ref="BQ3:BQ41" si="17"> if( BN3=1, if( BO3=1, if( BP3=1, 5, 3), if( BP3=1, 1, -3 ) ), if(BO3=1,if(BP3=1, -1, -2 ), if(BP3=1, 7, 0 ) ) )</f>
        <v>5</v>
      </c>
      <c r="BR3" s="7">
        <v>1.0</v>
      </c>
      <c r="BS3" s="7">
        <v>1.0</v>
      </c>
      <c r="BT3" s="7">
        <v>1.0</v>
      </c>
      <c r="BU3" s="39">
        <f t="shared" ref="BU3:BU41" si="18"> if( BR3=1, if( BS3=1, if( BT3=1, 5, 3), if( BT3=1, 1, -3 ) ), if(BS3=1,if(BT3=1, -1, -2 ), if(BT3=1, 7, 0 ) ) )</f>
        <v>5</v>
      </c>
      <c r="BV3" s="7">
        <v>1.0</v>
      </c>
      <c r="BW3" s="7">
        <v>1.0</v>
      </c>
      <c r="BX3" s="7">
        <v>1.0</v>
      </c>
      <c r="BY3" s="39">
        <f t="shared" ref="BY3:BY41" si="19"> if( BV3=1, if( BW3=1, if( BX3=1, 5, 3), if( BX3=1, 1, -3 ) ), if(BW3=1,if(BX3=1, -1, -2 ), if(BX3=1, 7, 0 ) ) )</f>
        <v>5</v>
      </c>
      <c r="BZ3" s="7">
        <v>1.0</v>
      </c>
      <c r="CA3" s="7">
        <v>1.0</v>
      </c>
      <c r="CB3" s="7">
        <v>1.0</v>
      </c>
      <c r="CC3" s="39">
        <f t="shared" ref="CC3:CC41" si="20"> if( BZ3=1, if( CA3=1, if( CB3=1, 5, 3), if( CB3=1, 1, -3 ) ), if(CA3=1,if(CB3=1, -1, -2 ), if(CB3=1, 7, 0 ) ) )</f>
        <v>5</v>
      </c>
      <c r="CD3" s="7">
        <v>1.0</v>
      </c>
      <c r="CE3" s="7">
        <v>1.0</v>
      </c>
      <c r="CF3" s="7">
        <v>1.0</v>
      </c>
      <c r="CG3" s="39">
        <f t="shared" ref="CG3:CG41" si="21"> if( CD3=1, if( CE3=1, if( CF3=1, 5, 3), if( CF3=1, 1, -3 ) ), if(CE3=1,if(CF3=1, -1, -2 ), if(CF3=1, 7, 0 ) ) )</f>
        <v>5</v>
      </c>
      <c r="CH3" s="7"/>
      <c r="CI3" s="7"/>
      <c r="CJ3" s="7"/>
      <c r="CK3" s="39">
        <f t="shared" ref="CK3:CK41" si="22"> if( CH3=1, if( CI3=1, if( CJ3=1, 5, 3), if( CJ3=1, 1, -3 ) ), if(CI3=1,if(CJ3=1, -1, -2 ), if(CJ3=1, 7, 0 ) ) )</f>
        <v>0</v>
      </c>
      <c r="CL3" s="7">
        <v>1.0</v>
      </c>
      <c r="CM3" s="7">
        <v>1.0</v>
      </c>
      <c r="CN3" s="7">
        <v>1.0</v>
      </c>
      <c r="CO3" s="39">
        <f t="shared" ref="CO3:CO41" si="23"> if( CL3=1, if( CM3=1, if( CN3=1, 5, 3), if( CN3=1, 1, -3 ) ), if(CM3=1,if(CN3=1, -1, -2 ), if(CN3=1, 7, 0 ) ) )</f>
        <v>5</v>
      </c>
      <c r="CP3" s="7">
        <v>1.0</v>
      </c>
      <c r="CQ3" s="7">
        <v>1.0</v>
      </c>
      <c r="CR3" s="7">
        <v>1.0</v>
      </c>
      <c r="CS3" s="39">
        <f t="shared" ref="CS3:CS41" si="24"> if( CP3=1, if( CQ3=1, if( CR3=1, 5, 3), if( CR3=1, 1, -3 ) ), if(CQ3=1,if(CR3=1, -1, -2 ), if(CR3=1, 7, 0 ) ) )</f>
        <v>5</v>
      </c>
      <c r="CT3" s="7">
        <v>1.0</v>
      </c>
      <c r="CU3" s="7">
        <v>1.0</v>
      </c>
      <c r="CV3" s="7">
        <v>1.0</v>
      </c>
      <c r="CW3" s="39">
        <f t="shared" ref="CW3:CW41" si="25"> if( CT3=1, if( CU3=1, if( CV3=1, 5, 3), if( CV3=1, 1, -3 ) ), if(CU3=1,if(CV3=1, -1, -2 ), if(CV3=1, 7, 0 ) ) )</f>
        <v>5</v>
      </c>
      <c r="CX3" s="7"/>
      <c r="CY3" s="7"/>
      <c r="CZ3" s="7"/>
      <c r="DA3" s="39">
        <f t="shared" ref="DA3:DA41" si="26"> if( CX3=1, if( CY3=1, if( CZ3=1, 5, 3), if( CZ3=1, 1, -3 ) ), if(CY3=1,if(CZ3=1, -1, -2 ), if(CZ3=1, 7, 0 ) ) )</f>
        <v>0</v>
      </c>
      <c r="DB3" s="7">
        <v>1.0</v>
      </c>
      <c r="DC3" s="7">
        <v>1.0</v>
      </c>
      <c r="DD3" s="7">
        <v>1.0</v>
      </c>
      <c r="DE3" s="39">
        <f t="shared" ref="DE3:DE41" si="27"> if( DB3=1, if( DC3=1, if( DD3=1, 5, 3), if( DD3=1, 1, -3 ) ), if(DC3=1,if(DD3=1, -1, -2 ), if(DD3=1, 7, 0 ) ) )</f>
        <v>5</v>
      </c>
      <c r="DF3" s="7">
        <v>1.0</v>
      </c>
      <c r="DG3" s="7">
        <v>1.0</v>
      </c>
      <c r="DH3" s="7">
        <v>1.0</v>
      </c>
      <c r="DI3" s="39">
        <f t="shared" ref="DI3:DI41" si="28"> if( DF3=1, if( DG3=1, if( DH3=1, 5, 3), if( DH3=1, 1, -3 ) ), if(DG3=1,if(DH3=1, -1, -2 ), if(DH3=1, 7, 0 ) ) )</f>
        <v>5</v>
      </c>
      <c r="DJ3" s="7"/>
      <c r="DK3" s="7"/>
      <c r="DL3" s="7"/>
      <c r="DM3" s="39">
        <f t="shared" ref="DM3:DM41" si="29"> if( DJ3=1, if( DK3=1, if( DL3=1, 5, 3), if( DL3=1, 1, -3 ) ), if(DK3=1,if(DL3=1, -1, -2 ), if(DL3=1, 7, 0 ) ) )</f>
        <v>0</v>
      </c>
      <c r="DN3" s="7"/>
      <c r="DO3" s="7"/>
      <c r="DP3" s="7"/>
      <c r="DQ3" s="39">
        <f t="shared" ref="DQ3:DQ41" si="30"> if( DN3=1, if( DO3=1, if( DP3=1, 5, 3), if( DP3=1, 1, -3 ) ), if(DO3=1,if(DP3=1, -1, -2 ), if(DP3=1, 7, 0 ) ) )</f>
        <v>0</v>
      </c>
      <c r="DR3" s="7"/>
      <c r="DS3" s="7"/>
      <c r="DT3" s="7"/>
      <c r="DU3" s="39">
        <f t="shared" ref="DU3:DU41" si="31"> if( DR3=1, if( DS3=1, if( DT3=1, 5, 3), if( DT3=1, 1, -3 ) ), if(DS3=1,if(DT3=1, -1, -2 ), if(DT3=1, 7, 0 ) ) )</f>
        <v>0</v>
      </c>
      <c r="DV3" s="7"/>
      <c r="DW3" s="7"/>
      <c r="DX3" s="7"/>
      <c r="DY3" s="39">
        <f t="shared" ref="DY3:DY41" si="32"> if( DV3=1, if( DW3=1, if( DX3=1, 5, 3), if( DX3=1, 1, -3 ) ), if(DW3=1,if(DX3=1, -1, -2 ), if(DX3=1, 7, 0 ) ) )</f>
        <v>0</v>
      </c>
      <c r="DZ3" s="7">
        <v>1.0</v>
      </c>
      <c r="EA3" s="7">
        <v>1.0</v>
      </c>
      <c r="EB3" s="7"/>
      <c r="EC3" s="39">
        <f t="shared" ref="EC3:EC41" si="33"> if( DZ3=1, if( EA3=1, if( EB3=1, 5, 3), if( EB3=1, 1, -3 ) ), if(EA3=1,if(EB3=1, -1, -2 ), if(EB3=1, 7, 0 ) ) )</f>
        <v>3</v>
      </c>
      <c r="ED3" s="7">
        <v>1.0</v>
      </c>
      <c r="EE3" s="7">
        <v>1.0</v>
      </c>
      <c r="EF3" s="7">
        <v>1.0</v>
      </c>
      <c r="EG3" s="39">
        <f t="shared" ref="EG3:EG41" si="34"> if( ED3=1, if( EE3=1, if( EF3=1, 5, 3), if( EF3=1, 1, -3 ) ), if(EE3=1,if(EF3=1, -1, -2 ), if(EF3=1, 7, 0 ) ) )</f>
        <v>5</v>
      </c>
      <c r="EH3" s="7">
        <v>1.0</v>
      </c>
      <c r="EI3" s="7">
        <v>1.0</v>
      </c>
      <c r="EJ3" s="7"/>
      <c r="EK3" s="39">
        <f t="shared" ref="EK3:EK41" si="35"> if( EH3=1, if( EI3=1, if( EJ3=1, 5, 3), if( EJ3=1, 1, -3 ) ), if(EI3=1,if(EJ3=1, -1, -2 ), if(EJ3=1, 7, 0 ) ) )</f>
        <v>3</v>
      </c>
      <c r="EL3" s="7">
        <v>1.0</v>
      </c>
      <c r="EM3" s="7">
        <v>1.0</v>
      </c>
      <c r="EN3" s="7">
        <v>1.0</v>
      </c>
      <c r="EO3" s="39">
        <f t="shared" ref="EO3:EO41" si="36"> if( EL3=1, if( EM3=1, if( EN3=1, 5, 3), if( EN3=1, 1, -3 ) ), if(EM3=1,if(EN3=1, -1, -2 ), if(EN3=1, 7, 0 ) ) )</f>
        <v>5</v>
      </c>
      <c r="EP3" s="7">
        <v>1.0</v>
      </c>
      <c r="EQ3" s="7">
        <v>1.0</v>
      </c>
      <c r="ER3" s="7">
        <v>1.0</v>
      </c>
      <c r="ES3" s="39">
        <f t="shared" ref="ES3:ES41" si="37"> if( EP3=1, if( EQ3=1, if( ER3=1, 5, 3), if( ER3=1, 1, -3 ) ), if(EQ3=1,if(ER3=1, -1, -2 ), if(ER3=1, 7, 0 ) ) )</f>
        <v>5</v>
      </c>
      <c r="ET3" s="7">
        <v>1.0</v>
      </c>
      <c r="EU3" s="7">
        <v>1.0</v>
      </c>
      <c r="EV3" s="7">
        <v>1.0</v>
      </c>
      <c r="EW3" s="39">
        <f t="shared" ref="EW3:EW41" si="38"> if( ET3=1, if( EU3=1, if( EV3=1, 5, 3), if( EV3=1, 1, -3 ) ), if(EU3=1,if(EV3=1, -1, -2 ), if(EV3=1, 7, 0 ) ) )</f>
        <v>5</v>
      </c>
      <c r="EX3" s="7">
        <v>1.0</v>
      </c>
      <c r="EY3" s="7">
        <v>1.0</v>
      </c>
      <c r="EZ3" s="7">
        <v>1.0</v>
      </c>
      <c r="FA3" s="39">
        <f t="shared" ref="FA3:FA41" si="39"> if( EX3=1, if( EY3=1, if( EZ3=1, 5, 3), if( EZ3=1, 1, -3 ) ), if(EY3=1,if(EZ3=1, -1, -2 ), if(EZ3=1, 7, 0 ) ) )</f>
        <v>5</v>
      </c>
      <c r="FB3" s="7">
        <v>1.0</v>
      </c>
      <c r="FC3" s="7">
        <v>1.0</v>
      </c>
      <c r="FD3" s="7">
        <v>1.0</v>
      </c>
      <c r="FE3" s="39">
        <f t="shared" ref="FE3:FE41" si="40"> if( FB3=1, if( FC3=1, if( FD3=1, 5, 3), if( FD3=1, 1, -3 ) ), if(FC3=1,if(FD3=1, -1, -2 ), if(FD3=1, 7, 0 ) ) )</f>
        <v>5</v>
      </c>
      <c r="FF3" s="7">
        <v>1.0</v>
      </c>
      <c r="FG3" s="7">
        <v>1.0</v>
      </c>
      <c r="FH3" s="7">
        <v>1.0</v>
      </c>
      <c r="FI3" s="39">
        <f t="shared" ref="FI3:FI41" si="41"> if( FF3=1, if( FG3=1, if( FH3=1, 5, 3), if( FH3=1, 1, -3 ) ), if(FG3=1,if(FH3=1, -1, -2 ), if(FH3=1, 7, 0 ) ) )</f>
        <v>5</v>
      </c>
      <c r="FJ3" s="7"/>
      <c r="FK3" s="7"/>
      <c r="FL3" s="7">
        <v>1.0</v>
      </c>
      <c r="FM3" s="39">
        <f t="shared" ref="FM3:FM41" si="42"> if( FJ3=1, if( FK3=1, if( FL3=1, 5, 3), if( FL3=1, 1, -3 ) ), if(FK3=1,if(FL3=1, -1, -2 ), if(FL3=1, 7, 0 ) ) )</f>
        <v>7</v>
      </c>
      <c r="FN3" s="7">
        <v>1.0</v>
      </c>
      <c r="FO3" s="7">
        <v>1.0</v>
      </c>
      <c r="FP3" s="7">
        <v>1.0</v>
      </c>
      <c r="FQ3" s="39">
        <f t="shared" ref="FQ3:FQ41" si="43"> if( FN3=1, if( FO3=1, if( FP3=1, 5, 3), if( FP3=1, 1, -3 ) ), if(FO3=1,if(FP3=1, -1, -2 ), if(FP3=1, 7, 0 ) ) )</f>
        <v>5</v>
      </c>
      <c r="FR3" s="7">
        <v>1.0</v>
      </c>
      <c r="FS3" s="7">
        <v>1.0</v>
      </c>
      <c r="FT3" s="7">
        <v>1.0</v>
      </c>
      <c r="FU3" s="39">
        <f t="shared" ref="FU3:FU41" si="44"> if( FR3=1, if( FS3=1, if( FT3=1, 5, 3), if( FT3=1, 1, -3 ) ), if(FS3=1,if(FT3=1, -1, -2 ), if(FT3=1, 7, 0 ) ) )</f>
        <v>5</v>
      </c>
      <c r="FV3" s="7">
        <v>1.0</v>
      </c>
      <c r="FW3" s="7">
        <v>1.0</v>
      </c>
      <c r="FX3" s="7">
        <v>1.0</v>
      </c>
      <c r="FY3" s="39">
        <f t="shared" ref="FY3:FY41" si="45"> if( FV3=1, if( FW3=1, if( FX3=1, 5, 3), if( FX3=1, 1, -3 ) ), if(FW3=1,if(FX3=1, -1, -2 ), if(FX3=1, 7, 0 ) ) )</f>
        <v>5</v>
      </c>
      <c r="FZ3" s="7">
        <v>1.0</v>
      </c>
      <c r="GA3" s="7">
        <v>1.0</v>
      </c>
      <c r="GB3" s="7">
        <v>1.0</v>
      </c>
      <c r="GC3" s="39">
        <f t="shared" ref="GC3:GC41" si="46"> if( FZ3=1, if( GA3=1, if( GB3=1, 5, 3), if( GB3=1, 1, -3 ) ), if(GA3=1,if(GB3=1, -1, -2 ), if(GB3=1, 7, 0 ) ) )</f>
        <v>5</v>
      </c>
      <c r="GD3" s="7">
        <v>1.0</v>
      </c>
      <c r="GE3" s="7">
        <v>1.0</v>
      </c>
      <c r="GF3" s="7">
        <v>1.0</v>
      </c>
      <c r="GG3" s="39">
        <f t="shared" ref="GG3:GG41" si="47"> if( GD3=1, if( GE3=1, if( GF3=1, 5, 3), if( GF3=1, 1, -3 ) ), if(GE3=1,if(GF3=1, -1, -2 ), if(GF3=1, 7, 0 ) ) )</f>
        <v>5</v>
      </c>
      <c r="GH3" s="7">
        <v>1.0</v>
      </c>
      <c r="GI3" s="7">
        <v>1.0</v>
      </c>
      <c r="GJ3" s="7">
        <v>1.0</v>
      </c>
      <c r="GK3" s="39">
        <f t="shared" ref="GK3:GK41" si="48"> if( GH3=1, if( GI3=1, if( GJ3=1, 5, 3), if( GJ3=1, 1, -3 ) ), if(GI3=1,if(GJ3=1, -1, -2 ), if(GJ3=1, 7, 0 ) ) )</f>
        <v>5</v>
      </c>
      <c r="GL3" s="7">
        <v>1.0</v>
      </c>
      <c r="GM3" s="7">
        <v>1.0</v>
      </c>
      <c r="GN3" s="7">
        <v>1.0</v>
      </c>
      <c r="GO3" s="39">
        <f t="shared" ref="GO3:GO41" si="49"> if( GL3=1, if( GM3=1, if( GN3=1, 5, 3), if( GN3=1, 1, -3 ) ), if(GM3=1,if(GN3=1, -1, -2 ), if(GN3=1, 7, 0 ) ) )</f>
        <v>5</v>
      </c>
      <c r="GP3" s="7">
        <v>1.0</v>
      </c>
      <c r="GQ3" s="7">
        <v>1.0</v>
      </c>
      <c r="GR3" s="7"/>
      <c r="GS3" s="39">
        <f t="shared" ref="GS3:GS41" si="50"> if( GP3=1, if( GQ3=1, if( GR3=1, 5, 3), if( GR3=1, 1, -3 ) ), if(GQ3=1,if(GR3=1, -1, -2 ), if(GR3=1, 7, 0 ) ) )</f>
        <v>3</v>
      </c>
      <c r="GT3" s="7">
        <v>1.0</v>
      </c>
      <c r="GU3" s="7">
        <v>1.0</v>
      </c>
      <c r="GV3" s="7">
        <v>1.0</v>
      </c>
      <c r="GW3" s="39">
        <f t="shared" ref="GW3:GW41" si="51"> if( GT3=1, if( GU3=1, if( GV3=1, 5, 3), if( GV3=1, 1, -3 ) ), if(GU3=1,if(GV3=1, -1, -2 ), if(GV3=1, 7, 0 ) ) )</f>
        <v>5</v>
      </c>
      <c r="GX3" s="7">
        <v>1.0</v>
      </c>
      <c r="GY3" s="7">
        <v>1.0</v>
      </c>
      <c r="GZ3" s="7">
        <v>1.0</v>
      </c>
      <c r="HA3" s="39">
        <f t="shared" ref="HA3:HA41" si="52"> if( GX3=1, if( GY3=1, if( GZ3=1, 5, 3), if( GZ3=1, 1, -3 ) ), if(GY3=1,if(GZ3=1, -1, -2 ), if(GZ3=1, 7, 0 ) ) )</f>
        <v>5</v>
      </c>
    </row>
    <row r="4">
      <c r="A4" s="20" t="s">
        <v>35</v>
      </c>
      <c r="B4" s="23" t="s">
        <v>43</v>
      </c>
      <c r="C4" s="1">
        <f t="shared" si="1"/>
        <v>2</v>
      </c>
      <c r="D4" s="15">
        <v>0.25</v>
      </c>
      <c r="E4" s="37">
        <v>256.25</v>
      </c>
      <c r="F4" s="4"/>
      <c r="G4" s="7"/>
      <c r="H4" s="7"/>
      <c r="I4" s="39">
        <f t="shared" si="2"/>
        <v>0</v>
      </c>
      <c r="J4" s="4">
        <v>1.0</v>
      </c>
      <c r="K4" s="7">
        <v>1.0</v>
      </c>
      <c r="L4" s="7"/>
      <c r="M4" s="39">
        <f t="shared" si="3"/>
        <v>3</v>
      </c>
      <c r="N4" s="7">
        <v>1.0</v>
      </c>
      <c r="O4" s="7">
        <v>1.0</v>
      </c>
      <c r="P4" s="7">
        <v>1.0</v>
      </c>
      <c r="Q4" s="39">
        <f t="shared" si="4"/>
        <v>5</v>
      </c>
      <c r="R4" s="7">
        <v>1.0</v>
      </c>
      <c r="S4" s="7">
        <v>1.0</v>
      </c>
      <c r="T4" s="7">
        <v>1.0</v>
      </c>
      <c r="U4" s="39">
        <f t="shared" si="5"/>
        <v>5</v>
      </c>
      <c r="V4" s="7">
        <v>1.0</v>
      </c>
      <c r="W4" s="7">
        <v>1.0</v>
      </c>
      <c r="X4" s="7">
        <v>1.0</v>
      </c>
      <c r="Y4" s="39">
        <f t="shared" si="6"/>
        <v>5</v>
      </c>
      <c r="Z4" s="7">
        <v>1.0</v>
      </c>
      <c r="AA4" s="7">
        <v>1.0</v>
      </c>
      <c r="AB4" s="7">
        <v>1.0</v>
      </c>
      <c r="AC4" s="39">
        <f t="shared" si="7"/>
        <v>5</v>
      </c>
      <c r="AD4" s="7">
        <v>1.0</v>
      </c>
      <c r="AE4" s="7">
        <v>1.0</v>
      </c>
      <c r="AF4" s="7">
        <v>1.0</v>
      </c>
      <c r="AG4" s="39">
        <f t="shared" si="8"/>
        <v>5</v>
      </c>
      <c r="AH4" s="7">
        <v>1.0</v>
      </c>
      <c r="AI4" s="7">
        <v>1.0</v>
      </c>
      <c r="AJ4" s="7">
        <v>1.0</v>
      </c>
      <c r="AK4" s="39">
        <f t="shared" si="9"/>
        <v>5</v>
      </c>
      <c r="AL4" s="4">
        <v>1.0</v>
      </c>
      <c r="AM4" s="7">
        <v>1.0</v>
      </c>
      <c r="AN4" s="7">
        <v>1.0</v>
      </c>
      <c r="AO4" s="39">
        <f t="shared" si="10"/>
        <v>5</v>
      </c>
      <c r="AP4" s="7">
        <v>1.0</v>
      </c>
      <c r="AQ4" s="7">
        <v>1.0</v>
      </c>
      <c r="AR4" s="7">
        <v>1.0</v>
      </c>
      <c r="AS4" s="39">
        <f t="shared" si="11"/>
        <v>5</v>
      </c>
      <c r="AT4" s="7">
        <v>1.0</v>
      </c>
      <c r="AU4" s="7">
        <v>1.0</v>
      </c>
      <c r="AV4" s="7">
        <v>1.0</v>
      </c>
      <c r="AW4" s="39">
        <f t="shared" si="12"/>
        <v>5</v>
      </c>
      <c r="AX4" s="7">
        <v>1.0</v>
      </c>
      <c r="AY4" s="7">
        <v>1.0</v>
      </c>
      <c r="AZ4" s="7">
        <v>1.0</v>
      </c>
      <c r="BA4" s="39">
        <f t="shared" si="13"/>
        <v>5</v>
      </c>
      <c r="BB4" s="7">
        <v>1.0</v>
      </c>
      <c r="BC4" s="7">
        <v>1.0</v>
      </c>
      <c r="BD4" s="7">
        <v>1.0</v>
      </c>
      <c r="BE4" s="39">
        <f t="shared" si="14"/>
        <v>5</v>
      </c>
      <c r="BF4" s="7">
        <v>1.0</v>
      </c>
      <c r="BG4" s="7">
        <v>1.0</v>
      </c>
      <c r="BH4" s="7">
        <v>1.0</v>
      </c>
      <c r="BI4" s="39">
        <f t="shared" si="15"/>
        <v>5</v>
      </c>
      <c r="BJ4" s="7">
        <v>1.0</v>
      </c>
      <c r="BK4" s="7">
        <v>1.0</v>
      </c>
      <c r="BL4" s="7">
        <v>1.0</v>
      </c>
      <c r="BM4" s="39">
        <f t="shared" si="16"/>
        <v>5</v>
      </c>
      <c r="BN4" s="7">
        <v>1.0</v>
      </c>
      <c r="BO4" s="7">
        <v>1.0</v>
      </c>
      <c r="BP4" s="7">
        <v>1.0</v>
      </c>
      <c r="BQ4" s="39">
        <f t="shared" si="17"/>
        <v>5</v>
      </c>
      <c r="BR4" s="7">
        <v>1.0</v>
      </c>
      <c r="BS4" s="7">
        <v>1.0</v>
      </c>
      <c r="BT4" s="7">
        <v>1.0</v>
      </c>
      <c r="BU4" s="39">
        <f t="shared" si="18"/>
        <v>5</v>
      </c>
      <c r="BV4" s="7">
        <v>1.0</v>
      </c>
      <c r="BW4" s="7">
        <v>1.0</v>
      </c>
      <c r="BX4" s="7">
        <v>1.0</v>
      </c>
      <c r="BY4" s="39">
        <f t="shared" si="19"/>
        <v>5</v>
      </c>
      <c r="BZ4" s="7"/>
      <c r="CA4" s="7"/>
      <c r="CB4" s="7"/>
      <c r="CC4" s="39">
        <f t="shared" si="20"/>
        <v>0</v>
      </c>
      <c r="CD4" s="7"/>
      <c r="CE4" s="7"/>
      <c r="CF4" s="7"/>
      <c r="CG4" s="39">
        <f t="shared" si="21"/>
        <v>0</v>
      </c>
      <c r="CH4" s="7">
        <v>1.0</v>
      </c>
      <c r="CI4" s="7">
        <v>1.0</v>
      </c>
      <c r="CJ4" s="7"/>
      <c r="CK4" s="39">
        <f t="shared" si="22"/>
        <v>3</v>
      </c>
      <c r="CL4" s="7">
        <v>1.0</v>
      </c>
      <c r="CM4" s="7">
        <v>1.0</v>
      </c>
      <c r="CN4" s="7">
        <v>1.0</v>
      </c>
      <c r="CO4" s="39">
        <f t="shared" si="23"/>
        <v>5</v>
      </c>
      <c r="CP4" s="7">
        <v>1.0</v>
      </c>
      <c r="CQ4" s="7">
        <v>1.0</v>
      </c>
      <c r="CR4" s="7">
        <v>1.0</v>
      </c>
      <c r="CS4" s="39">
        <f t="shared" si="24"/>
        <v>5</v>
      </c>
      <c r="CT4" s="7">
        <v>1.0</v>
      </c>
      <c r="CU4" s="7">
        <v>1.0</v>
      </c>
      <c r="CV4" s="7">
        <v>1.0</v>
      </c>
      <c r="CW4" s="39">
        <f t="shared" si="25"/>
        <v>5</v>
      </c>
      <c r="CX4" s="7">
        <v>1.0</v>
      </c>
      <c r="CY4" s="7">
        <v>1.0</v>
      </c>
      <c r="CZ4" s="7"/>
      <c r="DA4" s="39">
        <f t="shared" si="26"/>
        <v>3</v>
      </c>
      <c r="DB4" s="7">
        <v>1.0</v>
      </c>
      <c r="DC4" s="7">
        <v>1.0</v>
      </c>
      <c r="DD4" s="7">
        <v>1.0</v>
      </c>
      <c r="DE4" s="39">
        <f t="shared" si="27"/>
        <v>5</v>
      </c>
      <c r="DF4" s="7">
        <v>1.0</v>
      </c>
      <c r="DG4" s="7">
        <v>1.0</v>
      </c>
      <c r="DH4" s="7">
        <v>1.0</v>
      </c>
      <c r="DI4" s="39">
        <f t="shared" si="28"/>
        <v>5</v>
      </c>
      <c r="DJ4" s="7">
        <v>1.0</v>
      </c>
      <c r="DK4" s="7">
        <v>1.0</v>
      </c>
      <c r="DL4" s="7"/>
      <c r="DM4" s="39">
        <f t="shared" si="29"/>
        <v>3</v>
      </c>
      <c r="DN4" s="7">
        <v>1.0</v>
      </c>
      <c r="DO4" s="7">
        <v>1.0</v>
      </c>
      <c r="DP4" s="7"/>
      <c r="DQ4" s="39">
        <f t="shared" si="30"/>
        <v>3</v>
      </c>
      <c r="DR4" s="7"/>
      <c r="DS4" s="7"/>
      <c r="DT4" s="7"/>
      <c r="DU4" s="39">
        <f t="shared" si="31"/>
        <v>0</v>
      </c>
      <c r="DV4" s="7">
        <v>1.0</v>
      </c>
      <c r="DW4" s="7">
        <v>1.0</v>
      </c>
      <c r="DX4" s="7"/>
      <c r="DY4" s="39">
        <f t="shared" si="32"/>
        <v>3</v>
      </c>
      <c r="DZ4" s="7">
        <v>1.0</v>
      </c>
      <c r="EA4" s="7">
        <v>1.0</v>
      </c>
      <c r="EB4" s="7"/>
      <c r="EC4" s="39">
        <f t="shared" si="33"/>
        <v>3</v>
      </c>
      <c r="ED4" s="7">
        <v>1.0</v>
      </c>
      <c r="EE4" s="7">
        <v>1.0</v>
      </c>
      <c r="EF4" s="7"/>
      <c r="EG4" s="39">
        <f t="shared" si="34"/>
        <v>3</v>
      </c>
      <c r="EH4" s="7">
        <v>1.0</v>
      </c>
      <c r="EI4" s="7">
        <v>1.0</v>
      </c>
      <c r="EJ4" s="7"/>
      <c r="EK4" s="39">
        <f t="shared" si="35"/>
        <v>3</v>
      </c>
      <c r="EL4" s="7">
        <v>1.0</v>
      </c>
      <c r="EM4" s="7">
        <v>1.0</v>
      </c>
      <c r="EN4" s="7">
        <v>1.0</v>
      </c>
      <c r="EO4" s="39">
        <f t="shared" si="36"/>
        <v>5</v>
      </c>
      <c r="EP4" s="7"/>
      <c r="EQ4" s="7"/>
      <c r="ER4" s="7"/>
      <c r="ES4" s="39">
        <f t="shared" si="37"/>
        <v>0</v>
      </c>
      <c r="ET4" s="7">
        <v>1.0</v>
      </c>
      <c r="EU4" s="7">
        <v>1.0</v>
      </c>
      <c r="EV4" s="7">
        <v>1.0</v>
      </c>
      <c r="EW4" s="39">
        <f t="shared" si="38"/>
        <v>5</v>
      </c>
      <c r="EX4" s="7">
        <v>1.0</v>
      </c>
      <c r="EY4" s="7">
        <v>1.0</v>
      </c>
      <c r="EZ4" s="7">
        <v>1.0</v>
      </c>
      <c r="FA4" s="39">
        <f t="shared" si="39"/>
        <v>5</v>
      </c>
      <c r="FB4" s="7">
        <v>1.0</v>
      </c>
      <c r="FC4" s="7">
        <v>1.0</v>
      </c>
      <c r="FD4" s="7">
        <v>1.0</v>
      </c>
      <c r="FE4" s="39">
        <f t="shared" si="40"/>
        <v>5</v>
      </c>
      <c r="FF4" s="7">
        <v>1.0</v>
      </c>
      <c r="FG4" s="7">
        <v>1.0</v>
      </c>
      <c r="FH4" s="7">
        <v>1.0</v>
      </c>
      <c r="FI4" s="39">
        <f t="shared" si="41"/>
        <v>5</v>
      </c>
      <c r="FJ4" s="7"/>
      <c r="FK4" s="7"/>
      <c r="FL4" s="7"/>
      <c r="FM4" s="39">
        <f t="shared" si="42"/>
        <v>0</v>
      </c>
      <c r="FN4" s="7">
        <v>1.0</v>
      </c>
      <c r="FO4" s="7">
        <v>1.0</v>
      </c>
      <c r="FP4" s="7">
        <v>1.0</v>
      </c>
      <c r="FQ4" s="39">
        <f t="shared" si="43"/>
        <v>5</v>
      </c>
      <c r="FR4" s="7">
        <v>1.0</v>
      </c>
      <c r="FS4" s="7">
        <v>1.0</v>
      </c>
      <c r="FT4" s="7">
        <v>1.0</v>
      </c>
      <c r="FU4" s="39">
        <f t="shared" si="44"/>
        <v>5</v>
      </c>
      <c r="FV4" s="7">
        <v>1.0</v>
      </c>
      <c r="FW4" s="7">
        <v>1.0</v>
      </c>
      <c r="FX4" s="7">
        <v>1.0</v>
      </c>
      <c r="FY4" s="39">
        <f t="shared" si="45"/>
        <v>5</v>
      </c>
      <c r="FZ4" s="7">
        <v>1.0</v>
      </c>
      <c r="GA4" s="7">
        <v>1.0</v>
      </c>
      <c r="GB4" s="7">
        <v>1.0</v>
      </c>
      <c r="GC4" s="39">
        <f t="shared" si="46"/>
        <v>5</v>
      </c>
      <c r="GD4" s="7">
        <v>1.0</v>
      </c>
      <c r="GE4" s="7">
        <v>1.0</v>
      </c>
      <c r="GF4" s="7">
        <v>1.0</v>
      </c>
      <c r="GG4" s="39">
        <f t="shared" si="47"/>
        <v>5</v>
      </c>
      <c r="GH4" s="7">
        <v>1.0</v>
      </c>
      <c r="GI4" s="7">
        <v>1.0</v>
      </c>
      <c r="GJ4" s="7">
        <v>1.0</v>
      </c>
      <c r="GK4" s="39">
        <f t="shared" si="48"/>
        <v>5</v>
      </c>
      <c r="GL4" s="7">
        <v>1.0</v>
      </c>
      <c r="GM4" s="7">
        <v>1.0</v>
      </c>
      <c r="GN4" s="7">
        <v>1.0</v>
      </c>
      <c r="GO4" s="39">
        <f t="shared" si="49"/>
        <v>5</v>
      </c>
      <c r="GP4" s="7">
        <v>1.0</v>
      </c>
      <c r="GQ4" s="7">
        <v>1.0</v>
      </c>
      <c r="GR4" s="7"/>
      <c r="GS4" s="39">
        <f t="shared" si="50"/>
        <v>3</v>
      </c>
      <c r="GT4" s="7">
        <v>1.0</v>
      </c>
      <c r="GU4" s="7">
        <v>1.0</v>
      </c>
      <c r="GV4" s="7">
        <v>1.0</v>
      </c>
      <c r="GW4" s="39">
        <f t="shared" si="51"/>
        <v>5</v>
      </c>
      <c r="GX4" s="7">
        <v>1.0</v>
      </c>
      <c r="GY4" s="7">
        <v>1.0</v>
      </c>
      <c r="GZ4" s="7">
        <v>1.0</v>
      </c>
      <c r="HA4" s="39">
        <f t="shared" si="52"/>
        <v>5</v>
      </c>
    </row>
    <row r="5">
      <c r="A5" s="4" t="s">
        <v>12</v>
      </c>
      <c r="B5" s="7" t="s">
        <v>13</v>
      </c>
      <c r="C5" s="1">
        <f t="shared" si="1"/>
        <v>3</v>
      </c>
      <c r="D5" s="15">
        <v>0.39</v>
      </c>
      <c r="E5" s="37">
        <v>243.25000000000003</v>
      </c>
      <c r="F5" s="4">
        <v>1.0</v>
      </c>
      <c r="G5" s="7">
        <v>1.0</v>
      </c>
      <c r="H5" s="7">
        <v>1.0</v>
      </c>
      <c r="I5" s="39">
        <f t="shared" si="2"/>
        <v>5</v>
      </c>
      <c r="J5" s="4">
        <v>1.0</v>
      </c>
      <c r="K5" s="7">
        <v>1.0</v>
      </c>
      <c r="L5" s="7"/>
      <c r="M5" s="39">
        <f t="shared" si="3"/>
        <v>3</v>
      </c>
      <c r="N5" s="7">
        <v>1.0</v>
      </c>
      <c r="O5" s="7">
        <v>1.0</v>
      </c>
      <c r="P5" s="7">
        <v>1.0</v>
      </c>
      <c r="Q5" s="39">
        <f t="shared" si="4"/>
        <v>5</v>
      </c>
      <c r="R5" s="7">
        <v>1.0</v>
      </c>
      <c r="S5" s="7">
        <v>1.0</v>
      </c>
      <c r="T5" s="1"/>
      <c r="U5" s="39">
        <f t="shared" si="5"/>
        <v>3</v>
      </c>
      <c r="V5" s="7">
        <v>1.0</v>
      </c>
      <c r="W5" s="7">
        <v>1.0</v>
      </c>
      <c r="X5" s="7">
        <v>1.0</v>
      </c>
      <c r="Y5" s="39">
        <f t="shared" si="6"/>
        <v>5</v>
      </c>
      <c r="Z5" s="7">
        <v>1.0</v>
      </c>
      <c r="AA5" s="7">
        <v>1.0</v>
      </c>
      <c r="AB5" s="7">
        <v>1.0</v>
      </c>
      <c r="AC5" s="39">
        <f t="shared" si="7"/>
        <v>5</v>
      </c>
      <c r="AD5" s="7"/>
      <c r="AE5" s="7"/>
      <c r="AF5" s="7"/>
      <c r="AG5" s="39">
        <f t="shared" si="8"/>
        <v>0</v>
      </c>
      <c r="AH5" s="7">
        <v>1.0</v>
      </c>
      <c r="AI5" s="7">
        <v>1.0</v>
      </c>
      <c r="AJ5" s="7"/>
      <c r="AK5" s="39">
        <f t="shared" si="9"/>
        <v>3</v>
      </c>
      <c r="AL5" s="4">
        <v>1.0</v>
      </c>
      <c r="AM5" s="7">
        <v>1.0</v>
      </c>
      <c r="AN5" s="7">
        <v>1.0</v>
      </c>
      <c r="AO5" s="39">
        <f t="shared" si="10"/>
        <v>5</v>
      </c>
      <c r="AP5" s="7">
        <v>1.0</v>
      </c>
      <c r="AQ5" s="7">
        <v>1.0</v>
      </c>
      <c r="AR5" s="7">
        <v>1.0</v>
      </c>
      <c r="AS5" s="39">
        <f t="shared" si="11"/>
        <v>5</v>
      </c>
      <c r="AT5" s="7">
        <v>1.0</v>
      </c>
      <c r="AU5" s="7">
        <v>1.0</v>
      </c>
      <c r="AV5" s="7">
        <v>1.0</v>
      </c>
      <c r="AW5" s="39">
        <f t="shared" si="12"/>
        <v>5</v>
      </c>
      <c r="AX5" s="7"/>
      <c r="AY5" s="7"/>
      <c r="AZ5" s="7"/>
      <c r="BA5" s="39">
        <f t="shared" si="13"/>
        <v>0</v>
      </c>
      <c r="BB5" s="7">
        <v>1.0</v>
      </c>
      <c r="BC5" s="7">
        <v>1.0</v>
      </c>
      <c r="BD5" s="7">
        <v>1.0</v>
      </c>
      <c r="BE5" s="39">
        <f t="shared" si="14"/>
        <v>5</v>
      </c>
      <c r="BF5" s="7">
        <v>1.0</v>
      </c>
      <c r="BG5" s="7">
        <v>1.0</v>
      </c>
      <c r="BH5" s="7">
        <v>1.0</v>
      </c>
      <c r="BI5" s="39">
        <f t="shared" si="15"/>
        <v>5</v>
      </c>
      <c r="BJ5" s="7">
        <v>1.0</v>
      </c>
      <c r="BK5" s="7">
        <v>1.0</v>
      </c>
      <c r="BL5" s="7"/>
      <c r="BM5" s="39">
        <f t="shared" si="16"/>
        <v>3</v>
      </c>
      <c r="BN5" s="7"/>
      <c r="BO5" s="7"/>
      <c r="BP5" s="7">
        <v>1.0</v>
      </c>
      <c r="BQ5" s="39">
        <f t="shared" si="17"/>
        <v>7</v>
      </c>
      <c r="BR5" s="7">
        <v>1.0</v>
      </c>
      <c r="BS5" s="7">
        <v>1.0</v>
      </c>
      <c r="BT5" s="7"/>
      <c r="BU5" s="39">
        <f t="shared" si="18"/>
        <v>3</v>
      </c>
      <c r="BV5" s="7">
        <v>1.0</v>
      </c>
      <c r="BW5" s="7">
        <v>1.0</v>
      </c>
      <c r="BX5" s="7"/>
      <c r="BY5" s="39">
        <f t="shared" si="19"/>
        <v>3</v>
      </c>
      <c r="BZ5" s="7">
        <v>1.0</v>
      </c>
      <c r="CA5" s="7">
        <v>1.0</v>
      </c>
      <c r="CB5" s="7"/>
      <c r="CC5" s="39">
        <f t="shared" si="20"/>
        <v>3</v>
      </c>
      <c r="CD5" s="7">
        <v>1.0</v>
      </c>
      <c r="CE5" s="7">
        <v>1.0</v>
      </c>
      <c r="CF5" s="7">
        <v>1.0</v>
      </c>
      <c r="CG5" s="39">
        <f t="shared" si="21"/>
        <v>5</v>
      </c>
      <c r="CH5" s="7">
        <v>1.0</v>
      </c>
      <c r="CI5" s="7">
        <v>1.0</v>
      </c>
      <c r="CJ5" s="7"/>
      <c r="CK5" s="39">
        <f t="shared" si="22"/>
        <v>3</v>
      </c>
      <c r="CL5" s="7">
        <v>1.0</v>
      </c>
      <c r="CM5" s="7">
        <v>1.0</v>
      </c>
      <c r="CN5" s="7"/>
      <c r="CO5" s="39">
        <f t="shared" si="23"/>
        <v>3</v>
      </c>
      <c r="CP5" s="7">
        <v>1.0</v>
      </c>
      <c r="CQ5" s="7">
        <v>1.0</v>
      </c>
      <c r="CR5" s="7"/>
      <c r="CS5" s="39">
        <f t="shared" si="24"/>
        <v>3</v>
      </c>
      <c r="CT5" s="7">
        <v>1.0</v>
      </c>
      <c r="CU5" s="7">
        <v>1.0</v>
      </c>
      <c r="CV5" s="7">
        <v>1.0</v>
      </c>
      <c r="CW5" s="39">
        <f t="shared" si="25"/>
        <v>5</v>
      </c>
      <c r="CX5" s="7"/>
      <c r="CY5" s="7"/>
      <c r="CZ5" s="7"/>
      <c r="DA5" s="39">
        <f t="shared" si="26"/>
        <v>0</v>
      </c>
      <c r="DB5" s="7">
        <v>1.0</v>
      </c>
      <c r="DC5" s="7">
        <v>1.0</v>
      </c>
      <c r="DD5" s="7"/>
      <c r="DE5" s="39">
        <f t="shared" si="27"/>
        <v>3</v>
      </c>
      <c r="DF5" s="7">
        <v>1.0</v>
      </c>
      <c r="DG5" s="7">
        <v>1.0</v>
      </c>
      <c r="DH5" s="7"/>
      <c r="DI5" s="39">
        <f t="shared" si="28"/>
        <v>3</v>
      </c>
      <c r="DJ5" s="7">
        <v>1.0</v>
      </c>
      <c r="DK5" s="7">
        <v>1.0</v>
      </c>
      <c r="DL5" s="7"/>
      <c r="DM5" s="39">
        <f t="shared" si="29"/>
        <v>3</v>
      </c>
      <c r="DN5" s="7">
        <v>1.0</v>
      </c>
      <c r="DO5" s="7">
        <v>1.0</v>
      </c>
      <c r="DP5" s="7"/>
      <c r="DQ5" s="39">
        <f t="shared" si="30"/>
        <v>3</v>
      </c>
      <c r="DR5" s="7"/>
      <c r="DS5" s="7"/>
      <c r="DT5" s="7"/>
      <c r="DU5" s="39">
        <f t="shared" si="31"/>
        <v>0</v>
      </c>
      <c r="DV5" s="7">
        <v>1.0</v>
      </c>
      <c r="DW5" s="7">
        <v>1.0</v>
      </c>
      <c r="DX5" s="7"/>
      <c r="DY5" s="39">
        <f t="shared" si="32"/>
        <v>3</v>
      </c>
      <c r="DZ5" s="7">
        <v>1.0</v>
      </c>
      <c r="EA5" s="7">
        <v>1.0</v>
      </c>
      <c r="EB5" s="7"/>
      <c r="EC5" s="39">
        <f t="shared" si="33"/>
        <v>3</v>
      </c>
      <c r="ED5" s="7">
        <v>1.0</v>
      </c>
      <c r="EE5" s="7">
        <v>1.0</v>
      </c>
      <c r="EF5" s="7">
        <v>1.0</v>
      </c>
      <c r="EG5" s="39">
        <f t="shared" si="34"/>
        <v>5</v>
      </c>
      <c r="EH5" s="7"/>
      <c r="EI5" s="7"/>
      <c r="EJ5" s="7"/>
      <c r="EK5" s="39">
        <f t="shared" si="35"/>
        <v>0</v>
      </c>
      <c r="EL5" s="7"/>
      <c r="EM5" s="7"/>
      <c r="EN5" s="7"/>
      <c r="EO5" s="39">
        <f t="shared" si="36"/>
        <v>0</v>
      </c>
      <c r="EP5" s="7">
        <v>1.0</v>
      </c>
      <c r="EQ5" s="7">
        <v>1.0</v>
      </c>
      <c r="ER5" s="7">
        <v>1.0</v>
      </c>
      <c r="ES5" s="39">
        <f t="shared" si="37"/>
        <v>5</v>
      </c>
      <c r="ET5" s="7">
        <v>1.0</v>
      </c>
      <c r="EU5" s="7">
        <v>1.0</v>
      </c>
      <c r="EV5" s="7">
        <v>1.0</v>
      </c>
      <c r="EW5" s="39">
        <f t="shared" si="38"/>
        <v>5</v>
      </c>
      <c r="EX5" s="7">
        <v>1.0</v>
      </c>
      <c r="EY5" s="7">
        <v>1.0</v>
      </c>
      <c r="EZ5" s="7"/>
      <c r="FA5" s="39">
        <f t="shared" si="39"/>
        <v>3</v>
      </c>
      <c r="FB5" s="7"/>
      <c r="FC5" s="7"/>
      <c r="FD5" s="7"/>
      <c r="FE5" s="39">
        <f t="shared" si="40"/>
        <v>0</v>
      </c>
      <c r="FF5" s="7">
        <v>1.0</v>
      </c>
      <c r="FG5" s="7">
        <v>1.0</v>
      </c>
      <c r="FH5" s="7"/>
      <c r="FI5" s="39">
        <f t="shared" si="41"/>
        <v>3</v>
      </c>
      <c r="FJ5" s="7">
        <v>1.0</v>
      </c>
      <c r="FK5" s="7">
        <v>1.0</v>
      </c>
      <c r="FL5" s="7"/>
      <c r="FM5" s="39">
        <f t="shared" si="42"/>
        <v>3</v>
      </c>
      <c r="FN5" s="7">
        <v>1.0</v>
      </c>
      <c r="FO5" s="7">
        <v>1.0</v>
      </c>
      <c r="FP5" s="7">
        <v>1.0</v>
      </c>
      <c r="FQ5" s="39">
        <f t="shared" si="43"/>
        <v>5</v>
      </c>
      <c r="FR5" s="7">
        <v>1.0</v>
      </c>
      <c r="FS5" s="7">
        <v>1.0</v>
      </c>
      <c r="FT5" s="7">
        <v>1.0</v>
      </c>
      <c r="FU5" s="39">
        <f t="shared" si="44"/>
        <v>5</v>
      </c>
      <c r="FV5" s="7">
        <v>1.0</v>
      </c>
      <c r="FW5" s="7">
        <v>1.0</v>
      </c>
      <c r="FX5" s="7"/>
      <c r="FY5" s="39">
        <f t="shared" si="45"/>
        <v>3</v>
      </c>
      <c r="FZ5" s="7"/>
      <c r="GA5" s="7"/>
      <c r="GB5" s="7">
        <v>1.0</v>
      </c>
      <c r="GC5" s="39">
        <f t="shared" si="46"/>
        <v>7</v>
      </c>
      <c r="GD5" s="7">
        <v>1.0</v>
      </c>
      <c r="GE5" s="7">
        <v>1.0</v>
      </c>
      <c r="GF5" s="7">
        <v>1.0</v>
      </c>
      <c r="GG5" s="39">
        <f t="shared" si="47"/>
        <v>5</v>
      </c>
      <c r="GH5" s="7"/>
      <c r="GI5" s="7"/>
      <c r="GJ5" s="7"/>
      <c r="GK5" s="39">
        <f t="shared" si="48"/>
        <v>0</v>
      </c>
      <c r="GL5" s="7">
        <v>1.0</v>
      </c>
      <c r="GM5" s="7">
        <v>1.0</v>
      </c>
      <c r="GN5" s="7">
        <v>1.0</v>
      </c>
      <c r="GO5" s="39">
        <f t="shared" si="49"/>
        <v>5</v>
      </c>
      <c r="GP5" s="7">
        <v>1.0</v>
      </c>
      <c r="GQ5" s="7">
        <v>1.0</v>
      </c>
      <c r="GR5" s="7"/>
      <c r="GS5" s="39">
        <f t="shared" si="50"/>
        <v>3</v>
      </c>
      <c r="GT5" s="7">
        <v>1.0</v>
      </c>
      <c r="GU5" s="7">
        <v>1.0</v>
      </c>
      <c r="GV5" s="7"/>
      <c r="GW5" s="39">
        <f t="shared" si="51"/>
        <v>3</v>
      </c>
      <c r="GX5" s="7">
        <v>1.0</v>
      </c>
      <c r="GY5" s="7">
        <v>1.0</v>
      </c>
      <c r="GZ5" s="7">
        <v>1.0</v>
      </c>
      <c r="HA5" s="39">
        <f t="shared" si="52"/>
        <v>5</v>
      </c>
    </row>
    <row r="6">
      <c r="A6" s="20" t="s">
        <v>22</v>
      </c>
      <c r="B6" s="21" t="s">
        <v>23</v>
      </c>
      <c r="C6" s="1">
        <f t="shared" si="1"/>
        <v>4</v>
      </c>
      <c r="D6" s="15">
        <v>0.38</v>
      </c>
      <c r="E6" s="37">
        <v>235.98</v>
      </c>
      <c r="F6" s="4"/>
      <c r="G6" s="7"/>
      <c r="H6" s="7">
        <v>1.0</v>
      </c>
      <c r="I6" s="39">
        <f t="shared" si="2"/>
        <v>7</v>
      </c>
      <c r="J6" s="4">
        <v>1.0</v>
      </c>
      <c r="K6" s="7">
        <v>1.0</v>
      </c>
      <c r="L6" s="7"/>
      <c r="M6" s="39">
        <f t="shared" si="3"/>
        <v>3</v>
      </c>
      <c r="N6" s="7"/>
      <c r="O6" s="1"/>
      <c r="P6" s="7"/>
      <c r="Q6" s="39">
        <f t="shared" si="4"/>
        <v>0</v>
      </c>
      <c r="R6" s="7">
        <v>1.0</v>
      </c>
      <c r="S6" s="7">
        <v>1.0</v>
      </c>
      <c r="T6" s="7">
        <v>1.0</v>
      </c>
      <c r="U6" s="39">
        <f t="shared" si="5"/>
        <v>5</v>
      </c>
      <c r="V6" s="7">
        <v>1.0</v>
      </c>
      <c r="W6" s="7">
        <v>1.0</v>
      </c>
      <c r="X6" s="7">
        <v>1.0</v>
      </c>
      <c r="Y6" s="39">
        <f t="shared" si="6"/>
        <v>5</v>
      </c>
      <c r="Z6" s="7">
        <v>1.0</v>
      </c>
      <c r="AA6" s="7">
        <v>1.0</v>
      </c>
      <c r="AB6" s="7">
        <v>1.0</v>
      </c>
      <c r="AC6" s="39">
        <f t="shared" si="7"/>
        <v>5</v>
      </c>
      <c r="AD6" s="7">
        <v>1.0</v>
      </c>
      <c r="AE6" s="7">
        <v>1.0</v>
      </c>
      <c r="AF6" s="7">
        <v>1.0</v>
      </c>
      <c r="AG6" s="39">
        <f t="shared" si="8"/>
        <v>5</v>
      </c>
      <c r="AH6" s="7">
        <v>1.0</v>
      </c>
      <c r="AI6" s="7">
        <v>1.0</v>
      </c>
      <c r="AJ6" s="7">
        <v>1.0</v>
      </c>
      <c r="AK6" s="39">
        <f t="shared" si="9"/>
        <v>5</v>
      </c>
      <c r="AL6" s="4"/>
      <c r="AM6" s="7"/>
      <c r="AN6" s="7"/>
      <c r="AO6" s="39">
        <f t="shared" si="10"/>
        <v>0</v>
      </c>
      <c r="AP6" s="7">
        <v>1.0</v>
      </c>
      <c r="AQ6" s="7">
        <v>1.0</v>
      </c>
      <c r="AR6" s="7">
        <v>1.0</v>
      </c>
      <c r="AS6" s="39">
        <f t="shared" si="11"/>
        <v>5</v>
      </c>
      <c r="AT6" s="7">
        <v>1.0</v>
      </c>
      <c r="AU6" s="7">
        <v>1.0</v>
      </c>
      <c r="AV6" s="7">
        <v>1.0</v>
      </c>
      <c r="AW6" s="39">
        <f t="shared" si="12"/>
        <v>5</v>
      </c>
      <c r="AX6" s="7">
        <v>1.0</v>
      </c>
      <c r="AY6" s="7">
        <v>1.0</v>
      </c>
      <c r="AZ6" s="7">
        <v>1.0</v>
      </c>
      <c r="BA6" s="39">
        <f t="shared" si="13"/>
        <v>5</v>
      </c>
      <c r="BB6" s="7">
        <v>1.0</v>
      </c>
      <c r="BC6" s="7">
        <v>1.0</v>
      </c>
      <c r="BD6" s="7"/>
      <c r="BE6" s="39">
        <f t="shared" si="14"/>
        <v>3</v>
      </c>
      <c r="BF6" s="7">
        <v>1.0</v>
      </c>
      <c r="BG6" s="7">
        <v>1.0</v>
      </c>
      <c r="BH6" s="7">
        <v>1.0</v>
      </c>
      <c r="BI6" s="39">
        <f t="shared" si="15"/>
        <v>5</v>
      </c>
      <c r="BJ6" s="7"/>
      <c r="BK6" s="7"/>
      <c r="BL6" s="7"/>
      <c r="BM6" s="39">
        <f t="shared" si="16"/>
        <v>0</v>
      </c>
      <c r="BN6" s="7">
        <v>1.0</v>
      </c>
      <c r="BO6" s="7">
        <v>1.0</v>
      </c>
      <c r="BP6" s="7">
        <v>1.0</v>
      </c>
      <c r="BQ6" s="39">
        <f t="shared" si="17"/>
        <v>5</v>
      </c>
      <c r="BR6" s="7">
        <v>1.0</v>
      </c>
      <c r="BS6" s="7">
        <v>1.0</v>
      </c>
      <c r="BT6" s="7"/>
      <c r="BU6" s="39">
        <f t="shared" si="18"/>
        <v>3</v>
      </c>
      <c r="BV6" s="7">
        <v>1.0</v>
      </c>
      <c r="BW6" s="7">
        <v>1.0</v>
      </c>
      <c r="BX6" s="7">
        <v>1.0</v>
      </c>
      <c r="BY6" s="39">
        <f t="shared" si="19"/>
        <v>5</v>
      </c>
      <c r="BZ6" s="7">
        <v>1.0</v>
      </c>
      <c r="CA6" s="7">
        <v>1.0</v>
      </c>
      <c r="CB6" s="7"/>
      <c r="CC6" s="39">
        <f t="shared" si="20"/>
        <v>3</v>
      </c>
      <c r="CD6" s="7"/>
      <c r="CE6" s="7"/>
      <c r="CF6" s="7"/>
      <c r="CG6" s="39">
        <f t="shared" si="21"/>
        <v>0</v>
      </c>
      <c r="CH6" s="7">
        <v>1.0</v>
      </c>
      <c r="CI6" s="7">
        <v>1.0</v>
      </c>
      <c r="CJ6" s="7"/>
      <c r="CK6" s="39">
        <f t="shared" si="22"/>
        <v>3</v>
      </c>
      <c r="CL6" s="7">
        <v>1.0</v>
      </c>
      <c r="CM6" s="7">
        <v>1.0</v>
      </c>
      <c r="CN6" s="7">
        <v>1.0</v>
      </c>
      <c r="CO6" s="39">
        <f t="shared" si="23"/>
        <v>5</v>
      </c>
      <c r="CP6" s="7">
        <v>1.0</v>
      </c>
      <c r="CQ6" s="7">
        <v>1.0</v>
      </c>
      <c r="CR6" s="7">
        <v>1.0</v>
      </c>
      <c r="CS6" s="39">
        <f t="shared" si="24"/>
        <v>5</v>
      </c>
      <c r="CT6" s="7">
        <v>1.0</v>
      </c>
      <c r="CU6" s="7">
        <v>1.0</v>
      </c>
      <c r="CV6" s="7"/>
      <c r="CW6" s="39">
        <f t="shared" si="25"/>
        <v>3</v>
      </c>
      <c r="CX6" s="7"/>
      <c r="CY6" s="7"/>
      <c r="CZ6" s="7"/>
      <c r="DA6" s="39">
        <f t="shared" si="26"/>
        <v>0</v>
      </c>
      <c r="DB6" s="7">
        <v>1.0</v>
      </c>
      <c r="DC6" s="7">
        <v>1.0</v>
      </c>
      <c r="DD6" s="7">
        <v>1.0</v>
      </c>
      <c r="DE6" s="39">
        <f t="shared" si="27"/>
        <v>5</v>
      </c>
      <c r="DF6" s="7">
        <v>1.0</v>
      </c>
      <c r="DG6" s="7">
        <v>1.0</v>
      </c>
      <c r="DH6" s="7">
        <v>1.0</v>
      </c>
      <c r="DI6" s="39">
        <f t="shared" si="28"/>
        <v>5</v>
      </c>
      <c r="DJ6" s="7"/>
      <c r="DK6" s="7"/>
      <c r="DL6" s="7"/>
      <c r="DM6" s="39">
        <f t="shared" si="29"/>
        <v>0</v>
      </c>
      <c r="DN6" s="7"/>
      <c r="DO6" s="7"/>
      <c r="DP6" s="7"/>
      <c r="DQ6" s="39">
        <f t="shared" si="30"/>
        <v>0</v>
      </c>
      <c r="DR6" s="7"/>
      <c r="DS6" s="7"/>
      <c r="DT6" s="7"/>
      <c r="DU6" s="39">
        <f t="shared" si="31"/>
        <v>0</v>
      </c>
      <c r="DV6" s="7"/>
      <c r="DW6" s="7"/>
      <c r="DX6" s="7"/>
      <c r="DY6" s="39">
        <f t="shared" si="32"/>
        <v>0</v>
      </c>
      <c r="DZ6" s="7"/>
      <c r="EA6" s="7"/>
      <c r="EB6" s="7"/>
      <c r="EC6" s="39">
        <f t="shared" si="33"/>
        <v>0</v>
      </c>
      <c r="ED6" s="7"/>
      <c r="EE6" s="7"/>
      <c r="EF6" s="7">
        <v>1.0</v>
      </c>
      <c r="EG6" s="39">
        <f t="shared" si="34"/>
        <v>7</v>
      </c>
      <c r="EH6" s="7"/>
      <c r="EI6" s="7"/>
      <c r="EJ6" s="7"/>
      <c r="EK6" s="39">
        <f t="shared" si="35"/>
        <v>0</v>
      </c>
      <c r="EL6" s="7">
        <v>1.0</v>
      </c>
      <c r="EM6" s="7">
        <v>1.0</v>
      </c>
      <c r="EN6" s="7">
        <v>1.0</v>
      </c>
      <c r="EO6" s="39">
        <f t="shared" si="36"/>
        <v>5</v>
      </c>
      <c r="EP6" s="7">
        <v>1.0</v>
      </c>
      <c r="EQ6" s="7">
        <v>1.0</v>
      </c>
      <c r="ER6" s="7">
        <v>1.0</v>
      </c>
      <c r="ES6" s="39">
        <f t="shared" si="37"/>
        <v>5</v>
      </c>
      <c r="ET6" s="7">
        <v>1.0</v>
      </c>
      <c r="EU6" s="7"/>
      <c r="EV6" s="7"/>
      <c r="EW6" s="39">
        <f t="shared" si="38"/>
        <v>-3</v>
      </c>
      <c r="EX6" s="7">
        <v>1.0</v>
      </c>
      <c r="EY6" s="7">
        <v>1.0</v>
      </c>
      <c r="EZ6" s="7">
        <v>1.0</v>
      </c>
      <c r="FA6" s="39">
        <f t="shared" si="39"/>
        <v>5</v>
      </c>
      <c r="FB6" s="7">
        <v>1.0</v>
      </c>
      <c r="FC6" s="7">
        <v>1.0</v>
      </c>
      <c r="FD6" s="7">
        <v>1.0</v>
      </c>
      <c r="FE6" s="39">
        <f t="shared" si="40"/>
        <v>5</v>
      </c>
      <c r="FF6" s="7">
        <v>1.0</v>
      </c>
      <c r="FG6" s="7"/>
      <c r="FH6" s="7"/>
      <c r="FI6" s="39">
        <f t="shared" si="41"/>
        <v>-3</v>
      </c>
      <c r="FJ6" s="7">
        <v>1.0</v>
      </c>
      <c r="FK6" s="7">
        <v>1.0</v>
      </c>
      <c r="FL6" s="7">
        <v>1.0</v>
      </c>
      <c r="FM6" s="39">
        <f t="shared" si="42"/>
        <v>5</v>
      </c>
      <c r="FN6" s="7">
        <v>1.0</v>
      </c>
      <c r="FO6" s="7">
        <v>1.0</v>
      </c>
      <c r="FP6" s="7">
        <v>1.0</v>
      </c>
      <c r="FQ6" s="39">
        <f t="shared" si="43"/>
        <v>5</v>
      </c>
      <c r="FR6" s="7">
        <v>1.0</v>
      </c>
      <c r="FS6" s="7">
        <v>1.0</v>
      </c>
      <c r="FT6" s="7">
        <v>1.0</v>
      </c>
      <c r="FU6" s="39">
        <f t="shared" si="44"/>
        <v>5</v>
      </c>
      <c r="FV6" s="7">
        <v>1.0</v>
      </c>
      <c r="FW6" s="7">
        <v>1.0</v>
      </c>
      <c r="FX6" s="7">
        <v>1.0</v>
      </c>
      <c r="FY6" s="39">
        <f t="shared" si="45"/>
        <v>5</v>
      </c>
      <c r="FZ6" s="7">
        <v>1.0</v>
      </c>
      <c r="GA6" s="7">
        <v>1.0</v>
      </c>
      <c r="GB6" s="7">
        <v>1.0</v>
      </c>
      <c r="GC6" s="39">
        <f t="shared" si="46"/>
        <v>5</v>
      </c>
      <c r="GD6" s="7">
        <v>1.0</v>
      </c>
      <c r="GE6" s="7">
        <v>1.0</v>
      </c>
      <c r="GF6" s="7">
        <v>1.0</v>
      </c>
      <c r="GG6" s="39">
        <f t="shared" si="47"/>
        <v>5</v>
      </c>
      <c r="GH6" s="7">
        <v>1.0</v>
      </c>
      <c r="GI6" s="7">
        <v>1.0</v>
      </c>
      <c r="GJ6" s="7">
        <v>1.0</v>
      </c>
      <c r="GK6" s="39">
        <f t="shared" si="48"/>
        <v>5</v>
      </c>
      <c r="GL6" s="7">
        <v>1.0</v>
      </c>
      <c r="GM6" s="7">
        <v>1.0</v>
      </c>
      <c r="GN6" s="7">
        <v>1.0</v>
      </c>
      <c r="GO6" s="39">
        <f t="shared" si="49"/>
        <v>5</v>
      </c>
      <c r="GP6" s="7"/>
      <c r="GQ6" s="7"/>
      <c r="GR6" s="7"/>
      <c r="GS6" s="39">
        <f t="shared" si="50"/>
        <v>0</v>
      </c>
      <c r="GT6" s="7">
        <v>1.0</v>
      </c>
      <c r="GU6" s="7">
        <v>1.0</v>
      </c>
      <c r="GV6" s="7">
        <v>1.0</v>
      </c>
      <c r="GW6" s="39">
        <f t="shared" si="51"/>
        <v>5</v>
      </c>
      <c r="GX6" s="7">
        <v>1.0</v>
      </c>
      <c r="GY6" s="7">
        <v>1.0</v>
      </c>
      <c r="GZ6" s="7">
        <v>1.0</v>
      </c>
      <c r="HA6" s="39">
        <f t="shared" si="52"/>
        <v>5</v>
      </c>
    </row>
    <row r="7">
      <c r="A7" s="4" t="s">
        <v>21</v>
      </c>
      <c r="B7" s="7" t="s">
        <v>75</v>
      </c>
      <c r="C7" s="1">
        <f t="shared" si="1"/>
        <v>5</v>
      </c>
      <c r="D7" s="15">
        <v>0.16999999999999998</v>
      </c>
      <c r="E7" s="37">
        <v>224.64</v>
      </c>
      <c r="F7" s="4">
        <v>1.0</v>
      </c>
      <c r="G7" s="7">
        <v>1.0</v>
      </c>
      <c r="H7" s="7">
        <v>1.0</v>
      </c>
      <c r="I7" s="39">
        <f t="shared" si="2"/>
        <v>5</v>
      </c>
      <c r="J7" s="4">
        <v>1.0</v>
      </c>
      <c r="K7" s="7">
        <v>1.0</v>
      </c>
      <c r="L7" s="7"/>
      <c r="M7" s="39">
        <f t="shared" si="3"/>
        <v>3</v>
      </c>
      <c r="N7" s="7">
        <v>1.0</v>
      </c>
      <c r="O7" s="7">
        <v>1.0</v>
      </c>
      <c r="P7" s="7">
        <v>1.0</v>
      </c>
      <c r="Q7" s="39">
        <f t="shared" si="4"/>
        <v>5</v>
      </c>
      <c r="R7" s="7">
        <v>1.0</v>
      </c>
      <c r="S7" s="7">
        <v>1.0</v>
      </c>
      <c r="T7" s="7">
        <v>1.0</v>
      </c>
      <c r="U7" s="39">
        <f t="shared" si="5"/>
        <v>5</v>
      </c>
      <c r="V7" s="7"/>
      <c r="W7" s="7"/>
      <c r="X7" s="7"/>
      <c r="Y7" s="39">
        <f t="shared" si="6"/>
        <v>0</v>
      </c>
      <c r="Z7" s="7"/>
      <c r="AA7" s="7"/>
      <c r="AB7" s="7"/>
      <c r="AC7" s="39">
        <f t="shared" si="7"/>
        <v>0</v>
      </c>
      <c r="AD7" s="7">
        <v>1.0</v>
      </c>
      <c r="AE7" s="7">
        <v>1.0</v>
      </c>
      <c r="AF7" s="7">
        <v>1.0</v>
      </c>
      <c r="AG7" s="39">
        <f t="shared" si="8"/>
        <v>5</v>
      </c>
      <c r="AH7" s="7">
        <v>1.0</v>
      </c>
      <c r="AI7" s="7">
        <v>1.0</v>
      </c>
      <c r="AJ7" s="7"/>
      <c r="AK7" s="39">
        <f t="shared" si="9"/>
        <v>3</v>
      </c>
      <c r="AL7" s="4">
        <v>1.0</v>
      </c>
      <c r="AM7" s="7">
        <v>1.0</v>
      </c>
      <c r="AN7" s="7">
        <v>1.0</v>
      </c>
      <c r="AO7" s="39">
        <f t="shared" si="10"/>
        <v>5</v>
      </c>
      <c r="AP7" s="7"/>
      <c r="AQ7" s="7"/>
      <c r="AR7" s="7">
        <v>1.0</v>
      </c>
      <c r="AS7" s="39">
        <f t="shared" si="11"/>
        <v>7</v>
      </c>
      <c r="AT7" s="7"/>
      <c r="AU7" s="7"/>
      <c r="AV7" s="7">
        <v>1.0</v>
      </c>
      <c r="AW7" s="39">
        <f t="shared" si="12"/>
        <v>7</v>
      </c>
      <c r="AX7" s="7">
        <v>1.0</v>
      </c>
      <c r="AY7" s="7">
        <v>1.0</v>
      </c>
      <c r="AZ7" s="7">
        <v>1.0</v>
      </c>
      <c r="BA7" s="39">
        <f t="shared" si="13"/>
        <v>5</v>
      </c>
      <c r="BB7" s="7">
        <v>1.0</v>
      </c>
      <c r="BC7" s="7">
        <v>1.0</v>
      </c>
      <c r="BD7" s="7">
        <v>1.0</v>
      </c>
      <c r="BE7" s="39">
        <f t="shared" si="14"/>
        <v>5</v>
      </c>
      <c r="BF7" s="7">
        <v>1.0</v>
      </c>
      <c r="BG7" s="7">
        <v>1.0</v>
      </c>
      <c r="BH7" s="7">
        <v>1.0</v>
      </c>
      <c r="BI7" s="39">
        <f t="shared" si="15"/>
        <v>5</v>
      </c>
      <c r="BJ7" s="7">
        <v>1.0</v>
      </c>
      <c r="BK7" s="7">
        <v>1.0</v>
      </c>
      <c r="BL7" s="7">
        <v>1.0</v>
      </c>
      <c r="BM7" s="39">
        <f t="shared" si="16"/>
        <v>5</v>
      </c>
      <c r="BN7" s="7">
        <v>1.0</v>
      </c>
      <c r="BO7" s="7">
        <v>1.0</v>
      </c>
      <c r="BP7" s="7"/>
      <c r="BQ7" s="39">
        <f t="shared" si="17"/>
        <v>3</v>
      </c>
      <c r="BR7" s="7">
        <v>1.0</v>
      </c>
      <c r="BS7" s="7">
        <v>1.0</v>
      </c>
      <c r="BT7" s="7">
        <v>1.0</v>
      </c>
      <c r="BU7" s="39">
        <f t="shared" si="18"/>
        <v>5</v>
      </c>
      <c r="BV7" s="7">
        <v>1.0</v>
      </c>
      <c r="BW7" s="7">
        <v>1.0</v>
      </c>
      <c r="BX7" s="7"/>
      <c r="BY7" s="39">
        <f t="shared" si="19"/>
        <v>3</v>
      </c>
      <c r="BZ7" s="7">
        <v>1.0</v>
      </c>
      <c r="CA7" s="7">
        <v>1.0</v>
      </c>
      <c r="CB7" s="7">
        <v>1.0</v>
      </c>
      <c r="CC7" s="39">
        <f t="shared" si="20"/>
        <v>5</v>
      </c>
      <c r="CD7" s="7">
        <v>1.0</v>
      </c>
      <c r="CE7" s="7">
        <v>1.0</v>
      </c>
      <c r="CF7" s="7"/>
      <c r="CG7" s="39">
        <f t="shared" si="21"/>
        <v>3</v>
      </c>
      <c r="CH7" s="7">
        <v>1.0</v>
      </c>
      <c r="CI7" s="7">
        <v>1.0</v>
      </c>
      <c r="CJ7" s="7"/>
      <c r="CK7" s="39">
        <f t="shared" si="22"/>
        <v>3</v>
      </c>
      <c r="CL7" s="7">
        <v>1.0</v>
      </c>
      <c r="CM7" s="7">
        <v>1.0</v>
      </c>
      <c r="CN7" s="7"/>
      <c r="CO7" s="39">
        <f t="shared" si="23"/>
        <v>3</v>
      </c>
      <c r="CP7" s="7">
        <v>1.0</v>
      </c>
      <c r="CQ7" s="7">
        <v>1.0</v>
      </c>
      <c r="CR7" s="7"/>
      <c r="CS7" s="39">
        <f t="shared" si="24"/>
        <v>3</v>
      </c>
      <c r="CT7" s="7">
        <v>1.0</v>
      </c>
      <c r="CU7" s="7">
        <v>1.0</v>
      </c>
      <c r="CV7" s="7"/>
      <c r="CW7" s="39">
        <f t="shared" si="25"/>
        <v>3</v>
      </c>
      <c r="CX7" s="7"/>
      <c r="CY7" s="7"/>
      <c r="CZ7" s="7"/>
      <c r="DA7" s="39">
        <f t="shared" si="26"/>
        <v>0</v>
      </c>
      <c r="DB7" s="7">
        <v>1.0</v>
      </c>
      <c r="DC7" s="7">
        <v>1.0</v>
      </c>
      <c r="DD7" s="7"/>
      <c r="DE7" s="39">
        <f t="shared" si="27"/>
        <v>3</v>
      </c>
      <c r="DF7" s="7">
        <v>1.0</v>
      </c>
      <c r="DG7" s="7">
        <v>1.0</v>
      </c>
      <c r="DH7" s="7">
        <v>1.0</v>
      </c>
      <c r="DI7" s="39">
        <f t="shared" si="28"/>
        <v>5</v>
      </c>
      <c r="DJ7" s="7">
        <v>1.0</v>
      </c>
      <c r="DK7" s="7">
        <v>1.0</v>
      </c>
      <c r="DL7" s="7"/>
      <c r="DM7" s="39">
        <f t="shared" si="29"/>
        <v>3</v>
      </c>
      <c r="DN7" s="7">
        <v>1.0</v>
      </c>
      <c r="DO7" s="7">
        <v>1.0</v>
      </c>
      <c r="DP7" s="7"/>
      <c r="DQ7" s="39">
        <f t="shared" si="30"/>
        <v>3</v>
      </c>
      <c r="DR7" s="7"/>
      <c r="DS7" s="7"/>
      <c r="DT7" s="7"/>
      <c r="DU7" s="39">
        <f t="shared" si="31"/>
        <v>0</v>
      </c>
      <c r="DV7" s="7">
        <v>1.0</v>
      </c>
      <c r="DW7" s="7">
        <v>1.0</v>
      </c>
      <c r="DX7" s="7"/>
      <c r="DY7" s="39">
        <f t="shared" si="32"/>
        <v>3</v>
      </c>
      <c r="DZ7" s="7">
        <v>1.0</v>
      </c>
      <c r="EA7" s="7">
        <v>1.0</v>
      </c>
      <c r="EB7" s="7"/>
      <c r="EC7" s="39">
        <f t="shared" si="33"/>
        <v>3</v>
      </c>
      <c r="ED7" s="7">
        <v>1.0</v>
      </c>
      <c r="EE7" s="7">
        <v>1.0</v>
      </c>
      <c r="EF7" s="7"/>
      <c r="EG7" s="39">
        <f t="shared" si="34"/>
        <v>3</v>
      </c>
      <c r="EH7" s="7">
        <v>1.0</v>
      </c>
      <c r="EI7" s="7">
        <v>1.0</v>
      </c>
      <c r="EJ7" s="7"/>
      <c r="EK7" s="39">
        <f t="shared" si="35"/>
        <v>3</v>
      </c>
      <c r="EL7" s="7">
        <v>1.0</v>
      </c>
      <c r="EM7" s="7">
        <v>1.0</v>
      </c>
      <c r="EN7" s="7">
        <v>1.0</v>
      </c>
      <c r="EO7" s="39">
        <f t="shared" si="36"/>
        <v>5</v>
      </c>
      <c r="EP7" s="7">
        <v>1.0</v>
      </c>
      <c r="EQ7" s="7">
        <v>1.0</v>
      </c>
      <c r="ER7" s="7">
        <v>1.0</v>
      </c>
      <c r="ES7" s="39">
        <f t="shared" si="37"/>
        <v>5</v>
      </c>
      <c r="ET7" s="7">
        <v>1.0</v>
      </c>
      <c r="EU7" s="7">
        <v>1.0</v>
      </c>
      <c r="EV7" s="7">
        <v>1.0</v>
      </c>
      <c r="EW7" s="39">
        <f t="shared" si="38"/>
        <v>5</v>
      </c>
      <c r="EX7" s="7">
        <v>1.0</v>
      </c>
      <c r="EY7" s="7">
        <v>1.0</v>
      </c>
      <c r="EZ7" s="7">
        <v>1.0</v>
      </c>
      <c r="FA7" s="39">
        <f t="shared" si="39"/>
        <v>5</v>
      </c>
      <c r="FB7" s="7">
        <v>1.0</v>
      </c>
      <c r="FC7" s="7">
        <v>1.0</v>
      </c>
      <c r="FD7" s="7"/>
      <c r="FE7" s="39">
        <f t="shared" si="40"/>
        <v>3</v>
      </c>
      <c r="FF7" s="7">
        <v>1.0</v>
      </c>
      <c r="FG7" s="7">
        <v>1.0</v>
      </c>
      <c r="FH7" s="7">
        <v>1.0</v>
      </c>
      <c r="FI7" s="39">
        <f t="shared" si="41"/>
        <v>5</v>
      </c>
      <c r="FJ7" s="7">
        <v>1.0</v>
      </c>
      <c r="FK7" s="7">
        <v>1.0</v>
      </c>
      <c r="FL7" s="7">
        <v>1.0</v>
      </c>
      <c r="FM7" s="39">
        <f t="shared" si="42"/>
        <v>5</v>
      </c>
      <c r="FN7" s="7"/>
      <c r="FO7" s="7"/>
      <c r="FP7" s="7"/>
      <c r="FQ7" s="39">
        <f t="shared" si="43"/>
        <v>0</v>
      </c>
      <c r="FR7" s="7">
        <v>1.0</v>
      </c>
      <c r="FS7" s="7">
        <v>1.0</v>
      </c>
      <c r="FT7" s="7">
        <v>1.0</v>
      </c>
      <c r="FU7" s="39">
        <f t="shared" si="44"/>
        <v>5</v>
      </c>
      <c r="FV7" s="7">
        <v>1.0</v>
      </c>
      <c r="FW7" s="7">
        <v>1.0</v>
      </c>
      <c r="FX7" s="7"/>
      <c r="FY7" s="39">
        <f t="shared" si="45"/>
        <v>3</v>
      </c>
      <c r="FZ7" s="7">
        <v>1.0</v>
      </c>
      <c r="GA7" s="7">
        <v>1.0</v>
      </c>
      <c r="GB7" s="7">
        <v>1.0</v>
      </c>
      <c r="GC7" s="39">
        <f t="shared" si="46"/>
        <v>5</v>
      </c>
      <c r="GD7" s="7">
        <v>1.0</v>
      </c>
      <c r="GE7" s="7">
        <v>1.0</v>
      </c>
      <c r="GF7" s="7"/>
      <c r="GG7" s="39">
        <f t="shared" si="47"/>
        <v>3</v>
      </c>
      <c r="GH7" s="7">
        <v>1.0</v>
      </c>
      <c r="GI7" s="7">
        <v>1.0</v>
      </c>
      <c r="GJ7" s="7">
        <v>1.0</v>
      </c>
      <c r="GK7" s="39">
        <f t="shared" si="48"/>
        <v>5</v>
      </c>
      <c r="GL7" s="7">
        <v>1.0</v>
      </c>
      <c r="GM7" s="7">
        <v>1.0</v>
      </c>
      <c r="GN7" s="7">
        <v>1.0</v>
      </c>
      <c r="GO7" s="39">
        <f t="shared" si="49"/>
        <v>5</v>
      </c>
      <c r="GP7" s="7">
        <v>1.0</v>
      </c>
      <c r="GQ7" s="7">
        <v>1.0</v>
      </c>
      <c r="GR7" s="7"/>
      <c r="GS7" s="39">
        <f t="shared" si="50"/>
        <v>3</v>
      </c>
      <c r="GT7" s="7">
        <v>1.0</v>
      </c>
      <c r="GU7" s="7">
        <v>1.0</v>
      </c>
      <c r="GV7" s="7"/>
      <c r="GW7" s="39">
        <f t="shared" si="51"/>
        <v>3</v>
      </c>
      <c r="GX7" s="7">
        <v>1.0</v>
      </c>
      <c r="GY7" s="7">
        <v>1.0</v>
      </c>
      <c r="GZ7" s="7">
        <v>1.0</v>
      </c>
      <c r="HA7" s="39">
        <f t="shared" si="52"/>
        <v>5</v>
      </c>
    </row>
    <row r="8">
      <c r="A8" s="4" t="s">
        <v>26</v>
      </c>
      <c r="B8" s="7" t="s">
        <v>85</v>
      </c>
      <c r="C8" s="1">
        <f t="shared" si="1"/>
        <v>6</v>
      </c>
      <c r="D8" s="15">
        <v>0.14</v>
      </c>
      <c r="E8" s="37">
        <v>224.58</v>
      </c>
      <c r="F8" s="4">
        <v>1.0</v>
      </c>
      <c r="G8" s="7">
        <v>1.0</v>
      </c>
      <c r="H8" s="7">
        <v>1.0</v>
      </c>
      <c r="I8" s="39">
        <f t="shared" si="2"/>
        <v>5</v>
      </c>
      <c r="J8" s="4"/>
      <c r="K8" s="7"/>
      <c r="L8" s="7"/>
      <c r="M8" s="39">
        <f t="shared" si="3"/>
        <v>0</v>
      </c>
      <c r="N8" s="7">
        <v>1.0</v>
      </c>
      <c r="O8" s="7">
        <v>1.0</v>
      </c>
      <c r="P8" s="7">
        <v>1.0</v>
      </c>
      <c r="Q8" s="39">
        <f t="shared" si="4"/>
        <v>5</v>
      </c>
      <c r="R8" s="7">
        <v>1.0</v>
      </c>
      <c r="S8" s="7">
        <v>1.0</v>
      </c>
      <c r="T8" s="7">
        <v>1.0</v>
      </c>
      <c r="U8" s="39">
        <f t="shared" si="5"/>
        <v>5</v>
      </c>
      <c r="V8" s="7">
        <v>1.0</v>
      </c>
      <c r="W8" s="7">
        <v>1.0</v>
      </c>
      <c r="X8" s="7">
        <v>1.0</v>
      </c>
      <c r="Y8" s="39">
        <f t="shared" si="6"/>
        <v>5</v>
      </c>
      <c r="Z8" s="7">
        <v>1.0</v>
      </c>
      <c r="AA8" s="7">
        <v>1.0</v>
      </c>
      <c r="AB8" s="7">
        <v>1.0</v>
      </c>
      <c r="AC8" s="39">
        <f t="shared" si="7"/>
        <v>5</v>
      </c>
      <c r="AD8" s="7">
        <v>1.0</v>
      </c>
      <c r="AE8" s="7">
        <v>1.0</v>
      </c>
      <c r="AF8" s="7">
        <v>1.0</v>
      </c>
      <c r="AG8" s="39">
        <f t="shared" si="8"/>
        <v>5</v>
      </c>
      <c r="AH8" s="7"/>
      <c r="AI8" s="7"/>
      <c r="AJ8" s="7"/>
      <c r="AK8" s="39">
        <f t="shared" si="9"/>
        <v>0</v>
      </c>
      <c r="AL8" s="4">
        <v>1.0</v>
      </c>
      <c r="AM8" s="7">
        <v>1.0</v>
      </c>
      <c r="AN8" s="7">
        <v>1.0</v>
      </c>
      <c r="AO8" s="39">
        <f t="shared" si="10"/>
        <v>5</v>
      </c>
      <c r="AP8" s="7">
        <v>1.0</v>
      </c>
      <c r="AQ8" s="7">
        <v>1.0</v>
      </c>
      <c r="AR8" s="7">
        <v>1.0</v>
      </c>
      <c r="AS8" s="39">
        <f t="shared" si="11"/>
        <v>5</v>
      </c>
      <c r="AT8" s="7">
        <v>1.0</v>
      </c>
      <c r="AU8" s="7">
        <v>1.0</v>
      </c>
      <c r="AV8" s="7">
        <v>1.0</v>
      </c>
      <c r="AW8" s="39">
        <f t="shared" si="12"/>
        <v>5</v>
      </c>
      <c r="AX8" s="7">
        <v>1.0</v>
      </c>
      <c r="AY8" s="7">
        <v>1.0</v>
      </c>
      <c r="AZ8" s="7">
        <v>1.0</v>
      </c>
      <c r="BA8" s="39">
        <f t="shared" si="13"/>
        <v>5</v>
      </c>
      <c r="BB8" s="7"/>
      <c r="BC8" s="7"/>
      <c r="BD8" s="7">
        <v>1.0</v>
      </c>
      <c r="BE8" s="39">
        <f t="shared" si="14"/>
        <v>7</v>
      </c>
      <c r="BF8" s="7">
        <v>1.0</v>
      </c>
      <c r="BG8" s="7">
        <v>1.0</v>
      </c>
      <c r="BH8" s="7">
        <v>1.0</v>
      </c>
      <c r="BI8" s="39">
        <f t="shared" si="15"/>
        <v>5</v>
      </c>
      <c r="BJ8" s="7"/>
      <c r="BK8" s="7"/>
      <c r="BL8" s="7"/>
      <c r="BM8" s="39">
        <f t="shared" si="16"/>
        <v>0</v>
      </c>
      <c r="BN8" s="7"/>
      <c r="BO8" s="7"/>
      <c r="BP8" s="7"/>
      <c r="BQ8" s="39">
        <f t="shared" si="17"/>
        <v>0</v>
      </c>
      <c r="BR8" s="7">
        <v>1.0</v>
      </c>
      <c r="BS8" s="7">
        <v>1.0</v>
      </c>
      <c r="BT8" s="7"/>
      <c r="BU8" s="39">
        <f t="shared" si="18"/>
        <v>3</v>
      </c>
      <c r="BV8" s="7">
        <v>1.0</v>
      </c>
      <c r="BW8" s="7">
        <v>1.0</v>
      </c>
      <c r="BX8" s="7">
        <v>1.0</v>
      </c>
      <c r="BY8" s="39">
        <f t="shared" si="19"/>
        <v>5</v>
      </c>
      <c r="BZ8" s="7">
        <v>1.0</v>
      </c>
      <c r="CA8" s="7">
        <v>1.0</v>
      </c>
      <c r="CB8" s="7">
        <v>1.0</v>
      </c>
      <c r="CC8" s="39">
        <f t="shared" si="20"/>
        <v>5</v>
      </c>
      <c r="CD8" s="7">
        <v>1.0</v>
      </c>
      <c r="CE8" s="7">
        <v>1.0</v>
      </c>
      <c r="CF8" s="7"/>
      <c r="CG8" s="39">
        <f t="shared" si="21"/>
        <v>3</v>
      </c>
      <c r="CH8" s="7">
        <v>1.0</v>
      </c>
      <c r="CI8" s="7">
        <v>1.0</v>
      </c>
      <c r="CJ8" s="7"/>
      <c r="CK8" s="39">
        <f t="shared" si="22"/>
        <v>3</v>
      </c>
      <c r="CL8" s="7">
        <v>1.0</v>
      </c>
      <c r="CM8" s="7">
        <v>1.0</v>
      </c>
      <c r="CN8" s="7">
        <v>1.0</v>
      </c>
      <c r="CO8" s="39">
        <f t="shared" si="23"/>
        <v>5</v>
      </c>
      <c r="CP8" s="7">
        <v>1.0</v>
      </c>
      <c r="CQ8" s="7">
        <v>1.0</v>
      </c>
      <c r="CR8" s="7">
        <v>1.0</v>
      </c>
      <c r="CS8" s="39">
        <f t="shared" si="24"/>
        <v>5</v>
      </c>
      <c r="CT8" s="7">
        <v>1.0</v>
      </c>
      <c r="CU8" s="7">
        <v>1.0</v>
      </c>
      <c r="CV8" s="7">
        <v>1.0</v>
      </c>
      <c r="CW8" s="39">
        <f t="shared" si="25"/>
        <v>5</v>
      </c>
      <c r="CX8" s="7"/>
      <c r="CY8" s="7"/>
      <c r="CZ8" s="7"/>
      <c r="DA8" s="39">
        <f t="shared" si="26"/>
        <v>0</v>
      </c>
      <c r="DB8" s="7">
        <v>1.0</v>
      </c>
      <c r="DC8" s="7">
        <v>1.0</v>
      </c>
      <c r="DD8" s="7">
        <v>1.0</v>
      </c>
      <c r="DE8" s="39">
        <f t="shared" si="27"/>
        <v>5</v>
      </c>
      <c r="DF8" s="7">
        <v>1.0</v>
      </c>
      <c r="DG8" s="7">
        <v>1.0</v>
      </c>
      <c r="DH8" s="7">
        <v>1.0</v>
      </c>
      <c r="DI8" s="39">
        <f t="shared" si="28"/>
        <v>5</v>
      </c>
      <c r="DJ8" s="7"/>
      <c r="DK8" s="7"/>
      <c r="DL8" s="7"/>
      <c r="DM8" s="39">
        <f t="shared" si="29"/>
        <v>0</v>
      </c>
      <c r="DN8" s="7"/>
      <c r="DO8" s="7"/>
      <c r="DP8" s="7"/>
      <c r="DQ8" s="39">
        <f t="shared" si="30"/>
        <v>0</v>
      </c>
      <c r="DR8" s="7"/>
      <c r="DS8" s="7"/>
      <c r="DT8" s="7"/>
      <c r="DU8" s="39">
        <f t="shared" si="31"/>
        <v>0</v>
      </c>
      <c r="DV8" s="7"/>
      <c r="DW8" s="7"/>
      <c r="DX8" s="7"/>
      <c r="DY8" s="39">
        <f t="shared" si="32"/>
        <v>0</v>
      </c>
      <c r="DZ8" s="7"/>
      <c r="EA8" s="7"/>
      <c r="EB8" s="7"/>
      <c r="EC8" s="39">
        <f t="shared" si="33"/>
        <v>0</v>
      </c>
      <c r="ED8" s="7">
        <v>1.0</v>
      </c>
      <c r="EE8" s="7">
        <v>1.0</v>
      </c>
      <c r="EF8" s="7">
        <v>1.0</v>
      </c>
      <c r="EG8" s="39">
        <f t="shared" si="34"/>
        <v>5</v>
      </c>
      <c r="EH8" s="7">
        <v>1.0</v>
      </c>
      <c r="EI8" s="7">
        <v>1.0</v>
      </c>
      <c r="EJ8" s="7"/>
      <c r="EK8" s="39">
        <f t="shared" si="35"/>
        <v>3</v>
      </c>
      <c r="EL8" s="7">
        <v>1.0</v>
      </c>
      <c r="EM8" s="7">
        <v>1.0</v>
      </c>
      <c r="EN8" s="7">
        <v>1.0</v>
      </c>
      <c r="EO8" s="39">
        <f t="shared" si="36"/>
        <v>5</v>
      </c>
      <c r="EP8" s="7"/>
      <c r="EQ8" s="7"/>
      <c r="ER8" s="7">
        <v>1.0</v>
      </c>
      <c r="ES8" s="39">
        <f t="shared" si="37"/>
        <v>7</v>
      </c>
      <c r="ET8" s="7">
        <v>1.0</v>
      </c>
      <c r="EU8" s="7">
        <v>1.0</v>
      </c>
      <c r="EV8" s="7">
        <v>1.0</v>
      </c>
      <c r="EW8" s="39">
        <f t="shared" si="38"/>
        <v>5</v>
      </c>
      <c r="EX8" s="7">
        <v>1.0</v>
      </c>
      <c r="EY8" s="7">
        <v>1.0</v>
      </c>
      <c r="EZ8" s="7">
        <v>1.0</v>
      </c>
      <c r="FA8" s="39">
        <f t="shared" si="39"/>
        <v>5</v>
      </c>
      <c r="FB8" s="7">
        <v>1.0</v>
      </c>
      <c r="FC8" s="7">
        <v>1.0</v>
      </c>
      <c r="FD8" s="7">
        <v>1.0</v>
      </c>
      <c r="FE8" s="39">
        <f t="shared" si="40"/>
        <v>5</v>
      </c>
      <c r="FF8" s="7">
        <v>1.0</v>
      </c>
      <c r="FG8" s="7">
        <v>1.0</v>
      </c>
      <c r="FH8" s="7">
        <v>1.0</v>
      </c>
      <c r="FI8" s="39">
        <f t="shared" si="41"/>
        <v>5</v>
      </c>
      <c r="FJ8" s="7">
        <v>1.0</v>
      </c>
      <c r="FK8" s="7">
        <v>1.0</v>
      </c>
      <c r="FL8" s="7">
        <v>1.0</v>
      </c>
      <c r="FM8" s="39">
        <f t="shared" si="42"/>
        <v>5</v>
      </c>
      <c r="FN8" s="7">
        <v>1.0</v>
      </c>
      <c r="FO8" s="7">
        <v>1.0</v>
      </c>
      <c r="FP8" s="7">
        <v>1.0</v>
      </c>
      <c r="FQ8" s="39">
        <f t="shared" si="43"/>
        <v>5</v>
      </c>
      <c r="FR8" s="7">
        <v>1.0</v>
      </c>
      <c r="FS8" s="7">
        <v>1.0</v>
      </c>
      <c r="FT8" s="7">
        <v>1.0</v>
      </c>
      <c r="FU8" s="39">
        <f t="shared" si="44"/>
        <v>5</v>
      </c>
      <c r="FV8" s="7">
        <v>1.0</v>
      </c>
      <c r="FW8" s="7">
        <v>1.0</v>
      </c>
      <c r="FX8" s="7">
        <v>1.0</v>
      </c>
      <c r="FY8" s="39">
        <f t="shared" si="45"/>
        <v>5</v>
      </c>
      <c r="FZ8" s="7">
        <v>1.0</v>
      </c>
      <c r="GA8" s="7">
        <v>1.0</v>
      </c>
      <c r="GB8" s="7">
        <v>1.0</v>
      </c>
      <c r="GC8" s="39">
        <f t="shared" si="46"/>
        <v>5</v>
      </c>
      <c r="GD8" s="7">
        <v>1.0</v>
      </c>
      <c r="GE8" s="7">
        <v>1.0</v>
      </c>
      <c r="GF8" s="7">
        <v>1.0</v>
      </c>
      <c r="GG8" s="39">
        <f t="shared" si="47"/>
        <v>5</v>
      </c>
      <c r="GH8" s="7">
        <v>1.0</v>
      </c>
      <c r="GI8" s="7">
        <v>1.0</v>
      </c>
      <c r="GJ8" s="7">
        <v>1.0</v>
      </c>
      <c r="GK8" s="39">
        <f t="shared" si="48"/>
        <v>5</v>
      </c>
      <c r="GL8" s="7">
        <v>1.0</v>
      </c>
      <c r="GM8" s="7">
        <v>1.0</v>
      </c>
      <c r="GN8" s="7">
        <v>1.0</v>
      </c>
      <c r="GO8" s="39">
        <f t="shared" si="49"/>
        <v>5</v>
      </c>
      <c r="GP8" s="7">
        <v>1.0</v>
      </c>
      <c r="GQ8" s="7">
        <v>1.0</v>
      </c>
      <c r="GR8" s="7"/>
      <c r="GS8" s="39">
        <f t="shared" si="50"/>
        <v>3</v>
      </c>
      <c r="GT8" s="7">
        <v>1.0</v>
      </c>
      <c r="GU8" s="7">
        <v>1.0</v>
      </c>
      <c r="GV8" s="7"/>
      <c r="GW8" s="39">
        <f t="shared" si="51"/>
        <v>3</v>
      </c>
      <c r="GX8" s="7">
        <v>1.0</v>
      </c>
      <c r="GY8" s="7">
        <v>1.0</v>
      </c>
      <c r="GZ8" s="7">
        <v>1.0</v>
      </c>
      <c r="HA8" s="39">
        <f t="shared" si="52"/>
        <v>5</v>
      </c>
    </row>
    <row r="9">
      <c r="A9" s="4" t="s">
        <v>117</v>
      </c>
      <c r="B9" s="7"/>
      <c r="C9" s="1">
        <f t="shared" si="1"/>
        <v>7</v>
      </c>
      <c r="D9" s="15">
        <v>0.05</v>
      </c>
      <c r="E9" s="37">
        <v>221.55</v>
      </c>
      <c r="F9" s="4"/>
      <c r="G9" s="7"/>
      <c r="H9" s="7"/>
      <c r="I9" s="39">
        <f t="shared" si="2"/>
        <v>0</v>
      </c>
      <c r="J9" s="161"/>
      <c r="K9" s="1"/>
      <c r="L9" s="1"/>
      <c r="M9" s="39">
        <f t="shared" si="3"/>
        <v>0</v>
      </c>
      <c r="N9" s="1"/>
      <c r="O9" s="1"/>
      <c r="P9" s="1"/>
      <c r="Q9" s="39">
        <f t="shared" si="4"/>
        <v>0</v>
      </c>
      <c r="R9" s="1"/>
      <c r="S9" s="1"/>
      <c r="T9" s="1"/>
      <c r="U9" s="39">
        <f t="shared" si="5"/>
        <v>0</v>
      </c>
      <c r="V9" s="1"/>
      <c r="W9" s="1"/>
      <c r="X9" s="7">
        <v>1.0</v>
      </c>
      <c r="Y9" s="39">
        <f t="shared" si="6"/>
        <v>7</v>
      </c>
      <c r="Z9" s="1"/>
      <c r="AA9" s="1"/>
      <c r="AB9" s="7">
        <v>1.0</v>
      </c>
      <c r="AC9" s="39">
        <f t="shared" si="7"/>
        <v>7</v>
      </c>
      <c r="AD9" s="7"/>
      <c r="AE9" s="7"/>
      <c r="AF9" s="7">
        <v>1.0</v>
      </c>
      <c r="AG9" s="39">
        <f t="shared" si="8"/>
        <v>7</v>
      </c>
      <c r="AH9" s="7"/>
      <c r="AI9" s="7"/>
      <c r="AJ9" s="7">
        <v>1.0</v>
      </c>
      <c r="AK9" s="39">
        <f t="shared" si="9"/>
        <v>7</v>
      </c>
      <c r="AL9" s="4"/>
      <c r="AM9" s="7"/>
      <c r="AN9" s="7">
        <v>1.0</v>
      </c>
      <c r="AO9" s="39">
        <f t="shared" si="10"/>
        <v>7</v>
      </c>
      <c r="AP9" s="7"/>
      <c r="AQ9" s="7"/>
      <c r="AR9" s="7">
        <v>1.0</v>
      </c>
      <c r="AS9" s="39">
        <f t="shared" si="11"/>
        <v>7</v>
      </c>
      <c r="AT9" s="7"/>
      <c r="AU9" s="7"/>
      <c r="AV9" s="7">
        <v>1.0</v>
      </c>
      <c r="AW9" s="39">
        <f t="shared" si="12"/>
        <v>7</v>
      </c>
      <c r="AX9" s="7">
        <v>1.0</v>
      </c>
      <c r="AY9" s="7">
        <v>1.0</v>
      </c>
      <c r="AZ9" s="7">
        <v>1.0</v>
      </c>
      <c r="BA9" s="39">
        <f t="shared" si="13"/>
        <v>5</v>
      </c>
      <c r="BB9" s="7">
        <v>1.0</v>
      </c>
      <c r="BC9" s="7">
        <v>1.0</v>
      </c>
      <c r="BD9" s="7">
        <v>1.0</v>
      </c>
      <c r="BE9" s="39">
        <f t="shared" si="14"/>
        <v>5</v>
      </c>
      <c r="BF9" s="7">
        <v>1.0</v>
      </c>
      <c r="BG9" s="7">
        <v>1.0</v>
      </c>
      <c r="BH9" s="7">
        <v>1.0</v>
      </c>
      <c r="BI9" s="39">
        <f t="shared" si="15"/>
        <v>5</v>
      </c>
      <c r="BJ9" s="7">
        <v>1.0</v>
      </c>
      <c r="BK9" s="7">
        <v>1.0</v>
      </c>
      <c r="BL9" s="7">
        <v>1.0</v>
      </c>
      <c r="BM9" s="39">
        <f t="shared" si="16"/>
        <v>5</v>
      </c>
      <c r="BN9" s="7">
        <v>1.0</v>
      </c>
      <c r="BO9" s="7">
        <v>1.0</v>
      </c>
      <c r="BP9" s="7">
        <v>1.0</v>
      </c>
      <c r="BQ9" s="39">
        <f t="shared" si="17"/>
        <v>5</v>
      </c>
      <c r="BR9" s="7">
        <v>1.0</v>
      </c>
      <c r="BS9" s="7">
        <v>1.0</v>
      </c>
      <c r="BT9" s="7">
        <v>1.0</v>
      </c>
      <c r="BU9" s="39">
        <f t="shared" si="18"/>
        <v>5</v>
      </c>
      <c r="BV9" s="7">
        <v>1.0</v>
      </c>
      <c r="BW9" s="7">
        <v>1.0</v>
      </c>
      <c r="BX9" s="7">
        <v>1.0</v>
      </c>
      <c r="BY9" s="39">
        <f t="shared" si="19"/>
        <v>5</v>
      </c>
      <c r="BZ9" s="7">
        <v>1.0</v>
      </c>
      <c r="CA9" s="7">
        <v>1.0</v>
      </c>
      <c r="CB9" s="7">
        <v>1.0</v>
      </c>
      <c r="CC9" s="39">
        <f t="shared" si="20"/>
        <v>5</v>
      </c>
      <c r="CD9" s="7">
        <v>1.0</v>
      </c>
      <c r="CE9" s="7">
        <v>1.0</v>
      </c>
      <c r="CF9" s="7">
        <v>1.0</v>
      </c>
      <c r="CG9" s="39">
        <f t="shared" si="21"/>
        <v>5</v>
      </c>
      <c r="CH9" s="7">
        <v>1.0</v>
      </c>
      <c r="CI9" s="7">
        <v>1.0</v>
      </c>
      <c r="CJ9" s="7"/>
      <c r="CK9" s="39">
        <f t="shared" si="22"/>
        <v>3</v>
      </c>
      <c r="CL9" s="7">
        <v>1.0</v>
      </c>
      <c r="CM9" s="7">
        <v>1.0</v>
      </c>
      <c r="CN9" s="7">
        <v>1.0</v>
      </c>
      <c r="CO9" s="39">
        <f t="shared" si="23"/>
        <v>5</v>
      </c>
      <c r="CP9" s="7">
        <v>1.0</v>
      </c>
      <c r="CQ9" s="7">
        <v>1.0</v>
      </c>
      <c r="CR9" s="7">
        <v>1.0</v>
      </c>
      <c r="CS9" s="39">
        <f t="shared" si="24"/>
        <v>5</v>
      </c>
      <c r="CT9" s="7">
        <v>1.0</v>
      </c>
      <c r="CU9" s="7">
        <v>1.0</v>
      </c>
      <c r="CV9" s="7">
        <v>1.0</v>
      </c>
      <c r="CW9" s="39">
        <f t="shared" si="25"/>
        <v>5</v>
      </c>
      <c r="CX9" s="7">
        <v>1.0</v>
      </c>
      <c r="CY9" s="7">
        <v>1.0</v>
      </c>
      <c r="CZ9" s="7"/>
      <c r="DA9" s="39">
        <f t="shared" si="26"/>
        <v>3</v>
      </c>
      <c r="DB9" s="7">
        <v>1.0</v>
      </c>
      <c r="DC9" s="7">
        <v>1.0</v>
      </c>
      <c r="DD9" s="7">
        <v>1.0</v>
      </c>
      <c r="DE9" s="39">
        <f t="shared" si="27"/>
        <v>5</v>
      </c>
      <c r="DF9" s="7"/>
      <c r="DG9" s="7"/>
      <c r="DH9" s="7"/>
      <c r="DI9" s="39">
        <f t="shared" si="28"/>
        <v>0</v>
      </c>
      <c r="DJ9" s="7"/>
      <c r="DK9" s="7"/>
      <c r="DL9" s="7"/>
      <c r="DM9" s="39">
        <f t="shared" si="29"/>
        <v>0</v>
      </c>
      <c r="DN9" s="7">
        <v>1.0</v>
      </c>
      <c r="DO9" s="7">
        <v>1.0</v>
      </c>
      <c r="DP9" s="7"/>
      <c r="DQ9" s="39">
        <f t="shared" si="30"/>
        <v>3</v>
      </c>
      <c r="DR9" s="7"/>
      <c r="DS9" s="7"/>
      <c r="DT9" s="7"/>
      <c r="DU9" s="39">
        <f t="shared" si="31"/>
        <v>0</v>
      </c>
      <c r="DV9" s="7">
        <v>1.0</v>
      </c>
      <c r="DW9" s="7">
        <v>1.0</v>
      </c>
      <c r="DX9" s="7"/>
      <c r="DY9" s="39">
        <f t="shared" si="32"/>
        <v>3</v>
      </c>
      <c r="DZ9" s="7">
        <v>1.0</v>
      </c>
      <c r="EA9" s="7">
        <v>1.0</v>
      </c>
      <c r="EB9" s="7"/>
      <c r="EC9" s="39">
        <f t="shared" si="33"/>
        <v>3</v>
      </c>
      <c r="ED9" s="7">
        <v>1.0</v>
      </c>
      <c r="EE9" s="7">
        <v>1.0</v>
      </c>
      <c r="EF9" s="7">
        <v>1.0</v>
      </c>
      <c r="EG9" s="39">
        <f t="shared" si="34"/>
        <v>5</v>
      </c>
      <c r="EH9" s="7">
        <v>1.0</v>
      </c>
      <c r="EI9" s="7">
        <v>1.0</v>
      </c>
      <c r="EJ9" s="7"/>
      <c r="EK9" s="39">
        <f t="shared" si="35"/>
        <v>3</v>
      </c>
      <c r="EL9" s="7">
        <v>1.0</v>
      </c>
      <c r="EM9" s="7">
        <v>1.0</v>
      </c>
      <c r="EN9" s="7">
        <v>1.0</v>
      </c>
      <c r="EO9" s="39">
        <f t="shared" si="36"/>
        <v>5</v>
      </c>
      <c r="EP9" s="7">
        <v>1.0</v>
      </c>
      <c r="EQ9" s="7">
        <v>1.0</v>
      </c>
      <c r="ER9" s="7">
        <v>1.0</v>
      </c>
      <c r="ES9" s="39">
        <f t="shared" si="37"/>
        <v>5</v>
      </c>
      <c r="ET9" s="7">
        <v>1.0</v>
      </c>
      <c r="EU9" s="7">
        <v>1.0</v>
      </c>
      <c r="EV9" s="7"/>
      <c r="EW9" s="39">
        <f t="shared" si="38"/>
        <v>3</v>
      </c>
      <c r="EX9" s="7">
        <v>1.0</v>
      </c>
      <c r="EY9" s="7">
        <v>1.0</v>
      </c>
      <c r="EZ9" s="7">
        <v>1.0</v>
      </c>
      <c r="FA9" s="39">
        <f t="shared" si="39"/>
        <v>5</v>
      </c>
      <c r="FB9" s="7">
        <v>1.0</v>
      </c>
      <c r="FC9" s="7">
        <v>1.0</v>
      </c>
      <c r="FD9" s="7">
        <v>1.0</v>
      </c>
      <c r="FE9" s="39">
        <f t="shared" si="40"/>
        <v>5</v>
      </c>
      <c r="FF9" s="7"/>
      <c r="FG9" s="7"/>
      <c r="FH9" s="7"/>
      <c r="FI9" s="39">
        <f t="shared" si="41"/>
        <v>0</v>
      </c>
      <c r="FJ9" s="7">
        <v>1.0</v>
      </c>
      <c r="FK9" s="7">
        <v>1.0</v>
      </c>
      <c r="FL9" s="7">
        <v>1.0</v>
      </c>
      <c r="FM9" s="39">
        <f t="shared" si="42"/>
        <v>5</v>
      </c>
      <c r="FN9" s="7">
        <v>1.0</v>
      </c>
      <c r="FO9" s="7">
        <v>1.0</v>
      </c>
      <c r="FP9" s="7">
        <v>1.0</v>
      </c>
      <c r="FQ9" s="39">
        <f t="shared" si="43"/>
        <v>5</v>
      </c>
      <c r="FR9" s="7">
        <v>1.0</v>
      </c>
      <c r="FS9" s="7">
        <v>1.0</v>
      </c>
      <c r="FT9" s="7">
        <v>1.0</v>
      </c>
      <c r="FU9" s="39">
        <f t="shared" si="44"/>
        <v>5</v>
      </c>
      <c r="FV9" s="7">
        <v>1.0</v>
      </c>
      <c r="FW9" s="7">
        <v>1.0</v>
      </c>
      <c r="FX9" s="7">
        <v>1.0</v>
      </c>
      <c r="FY9" s="39">
        <f t="shared" si="45"/>
        <v>5</v>
      </c>
      <c r="FZ9" s="7">
        <v>1.0</v>
      </c>
      <c r="GA9" s="7">
        <v>1.0</v>
      </c>
      <c r="GB9" s="7"/>
      <c r="GC9" s="39">
        <f t="shared" si="46"/>
        <v>3</v>
      </c>
      <c r="GD9" s="7">
        <v>1.0</v>
      </c>
      <c r="GE9" s="7">
        <v>1.0</v>
      </c>
      <c r="GF9" s="7">
        <v>1.0</v>
      </c>
      <c r="GG9" s="39">
        <f t="shared" si="47"/>
        <v>5</v>
      </c>
      <c r="GH9" s="7">
        <v>1.0</v>
      </c>
      <c r="GI9" s="7">
        <v>1.0</v>
      </c>
      <c r="GJ9" s="7">
        <v>1.0</v>
      </c>
      <c r="GK9" s="39">
        <f t="shared" si="48"/>
        <v>5</v>
      </c>
      <c r="GL9" s="7">
        <v>1.0</v>
      </c>
      <c r="GM9" s="7">
        <v>1.0</v>
      </c>
      <c r="GN9" s="7">
        <v>1.0</v>
      </c>
      <c r="GO9" s="39">
        <f t="shared" si="49"/>
        <v>5</v>
      </c>
      <c r="GP9" s="7">
        <v>1.0</v>
      </c>
      <c r="GQ9" s="7">
        <v>1.0</v>
      </c>
      <c r="GR9" s="7"/>
      <c r="GS9" s="39">
        <f t="shared" si="50"/>
        <v>3</v>
      </c>
      <c r="GT9" s="7">
        <v>1.0</v>
      </c>
      <c r="GU9" s="7">
        <v>1.0</v>
      </c>
      <c r="GV9" s="7">
        <v>1.0</v>
      </c>
      <c r="GW9" s="39">
        <f t="shared" si="51"/>
        <v>5</v>
      </c>
      <c r="GX9" s="7">
        <v>1.0</v>
      </c>
      <c r="GY9" s="7">
        <v>1.0</v>
      </c>
      <c r="GZ9" s="7">
        <v>1.0</v>
      </c>
      <c r="HA9" s="39">
        <f t="shared" si="52"/>
        <v>5</v>
      </c>
    </row>
    <row r="10">
      <c r="A10" s="20" t="s">
        <v>32</v>
      </c>
      <c r="B10" s="21" t="s">
        <v>33</v>
      </c>
      <c r="C10" s="1">
        <f t="shared" si="1"/>
        <v>8</v>
      </c>
      <c r="D10" s="15">
        <v>0.27</v>
      </c>
      <c r="E10" s="37">
        <v>209.55</v>
      </c>
      <c r="F10" s="4">
        <v>1.0</v>
      </c>
      <c r="G10" s="7">
        <v>1.0</v>
      </c>
      <c r="H10" s="7"/>
      <c r="I10" s="39">
        <f t="shared" si="2"/>
        <v>3</v>
      </c>
      <c r="J10" s="4">
        <v>1.0</v>
      </c>
      <c r="K10" s="7">
        <v>1.0</v>
      </c>
      <c r="L10" s="7"/>
      <c r="M10" s="39">
        <f t="shared" si="3"/>
        <v>3</v>
      </c>
      <c r="N10" s="7">
        <v>1.0</v>
      </c>
      <c r="O10" s="7">
        <v>1.0</v>
      </c>
      <c r="P10" s="7">
        <v>1.0</v>
      </c>
      <c r="Q10" s="39">
        <f t="shared" si="4"/>
        <v>5</v>
      </c>
      <c r="R10" s="7">
        <v>1.0</v>
      </c>
      <c r="S10" s="7">
        <v>1.0</v>
      </c>
      <c r="T10" s="7">
        <v>1.0</v>
      </c>
      <c r="U10" s="39">
        <f t="shared" si="5"/>
        <v>5</v>
      </c>
      <c r="V10" s="7">
        <v>1.0</v>
      </c>
      <c r="W10" s="7">
        <v>1.0</v>
      </c>
      <c r="X10" s="7">
        <v>1.0</v>
      </c>
      <c r="Y10" s="39">
        <f t="shared" si="6"/>
        <v>5</v>
      </c>
      <c r="Z10" s="7">
        <v>1.0</v>
      </c>
      <c r="AA10" s="7">
        <v>1.0</v>
      </c>
      <c r="AB10" s="7">
        <v>1.0</v>
      </c>
      <c r="AC10" s="39">
        <f t="shared" si="7"/>
        <v>5</v>
      </c>
      <c r="AD10" s="7">
        <v>1.0</v>
      </c>
      <c r="AE10" s="7">
        <v>1.0</v>
      </c>
      <c r="AF10" s="7">
        <v>1.0</v>
      </c>
      <c r="AG10" s="39">
        <f t="shared" si="8"/>
        <v>5</v>
      </c>
      <c r="AH10" s="7">
        <v>1.0</v>
      </c>
      <c r="AI10" s="7">
        <v>1.0</v>
      </c>
      <c r="AJ10" s="7">
        <v>1.0</v>
      </c>
      <c r="AK10" s="39">
        <f t="shared" si="9"/>
        <v>5</v>
      </c>
      <c r="AL10" s="4">
        <v>1.0</v>
      </c>
      <c r="AM10" s="7">
        <v>1.0</v>
      </c>
      <c r="AN10" s="7">
        <v>1.0</v>
      </c>
      <c r="AO10" s="39">
        <f t="shared" si="10"/>
        <v>5</v>
      </c>
      <c r="AP10" s="7">
        <v>1.0</v>
      </c>
      <c r="AQ10" s="7">
        <v>1.0</v>
      </c>
      <c r="AR10" s="7">
        <v>1.0</v>
      </c>
      <c r="AS10" s="39">
        <f t="shared" si="11"/>
        <v>5</v>
      </c>
      <c r="AT10" s="7">
        <v>1.0</v>
      </c>
      <c r="AU10" s="7">
        <v>1.0</v>
      </c>
      <c r="AV10" s="7">
        <v>1.0</v>
      </c>
      <c r="AW10" s="39">
        <f t="shared" si="12"/>
        <v>5</v>
      </c>
      <c r="AX10" s="7">
        <v>1.0</v>
      </c>
      <c r="AY10" s="7">
        <v>1.0</v>
      </c>
      <c r="AZ10" s="7"/>
      <c r="BA10" s="39">
        <f t="shared" si="13"/>
        <v>3</v>
      </c>
      <c r="BB10" s="7">
        <v>1.0</v>
      </c>
      <c r="BC10" s="7">
        <v>1.0</v>
      </c>
      <c r="BD10" s="7">
        <v>1.0</v>
      </c>
      <c r="BE10" s="39">
        <f t="shared" si="14"/>
        <v>5</v>
      </c>
      <c r="BF10" s="7">
        <v>1.0</v>
      </c>
      <c r="BG10" s="7">
        <v>1.0</v>
      </c>
      <c r="BH10" s="7">
        <v>1.0</v>
      </c>
      <c r="BI10" s="39">
        <f t="shared" si="15"/>
        <v>5</v>
      </c>
      <c r="BJ10" s="7">
        <v>1.0</v>
      </c>
      <c r="BK10" s="7">
        <v>1.0</v>
      </c>
      <c r="BL10" s="7">
        <v>1.0</v>
      </c>
      <c r="BM10" s="39">
        <f t="shared" si="16"/>
        <v>5</v>
      </c>
      <c r="BN10" s="7">
        <v>1.0</v>
      </c>
      <c r="BO10" s="7">
        <v>1.0</v>
      </c>
      <c r="BP10" s="7"/>
      <c r="BQ10" s="39">
        <f t="shared" si="17"/>
        <v>3</v>
      </c>
      <c r="BR10" s="7">
        <v>1.0</v>
      </c>
      <c r="BS10" s="7">
        <v>1.0</v>
      </c>
      <c r="BT10" s="7">
        <v>1.0</v>
      </c>
      <c r="BU10" s="39">
        <f t="shared" si="18"/>
        <v>5</v>
      </c>
      <c r="BV10" s="7">
        <v>1.0</v>
      </c>
      <c r="BW10" s="7">
        <v>1.0</v>
      </c>
      <c r="BX10" s="7"/>
      <c r="BY10" s="39">
        <f t="shared" si="19"/>
        <v>3</v>
      </c>
      <c r="BZ10" s="7">
        <v>1.0</v>
      </c>
      <c r="CA10" s="7">
        <v>1.0</v>
      </c>
      <c r="CB10" s="7"/>
      <c r="CC10" s="39">
        <f t="shared" si="20"/>
        <v>3</v>
      </c>
      <c r="CD10" s="7">
        <v>1.0</v>
      </c>
      <c r="CE10" s="7">
        <v>1.0</v>
      </c>
      <c r="CF10" s="7"/>
      <c r="CG10" s="39">
        <f t="shared" si="21"/>
        <v>3</v>
      </c>
      <c r="CH10" s="7">
        <v>1.0</v>
      </c>
      <c r="CI10" s="7">
        <v>1.0</v>
      </c>
      <c r="CJ10" s="7"/>
      <c r="CK10" s="39">
        <f t="shared" si="22"/>
        <v>3</v>
      </c>
      <c r="CL10" s="7">
        <v>1.0</v>
      </c>
      <c r="CM10" s="7">
        <v>1.0</v>
      </c>
      <c r="CN10" s="7"/>
      <c r="CO10" s="39">
        <f t="shared" si="23"/>
        <v>3</v>
      </c>
      <c r="CP10" s="7">
        <v>1.0</v>
      </c>
      <c r="CQ10" s="7">
        <v>1.0</v>
      </c>
      <c r="CR10" s="7"/>
      <c r="CS10" s="39">
        <f t="shared" si="24"/>
        <v>3</v>
      </c>
      <c r="CT10" s="7">
        <v>1.0</v>
      </c>
      <c r="CU10" s="7">
        <v>1.0</v>
      </c>
      <c r="CV10" s="7"/>
      <c r="CW10" s="39">
        <f t="shared" si="25"/>
        <v>3</v>
      </c>
      <c r="CX10" s="7">
        <v>1.0</v>
      </c>
      <c r="CY10" s="7">
        <v>1.0</v>
      </c>
      <c r="CZ10" s="7"/>
      <c r="DA10" s="39">
        <f t="shared" si="26"/>
        <v>3</v>
      </c>
      <c r="DB10" s="7"/>
      <c r="DC10" s="7"/>
      <c r="DD10" s="7"/>
      <c r="DE10" s="39">
        <f t="shared" si="27"/>
        <v>0</v>
      </c>
      <c r="DF10" s="7">
        <v>1.0</v>
      </c>
      <c r="DG10" s="7">
        <v>1.0</v>
      </c>
      <c r="DH10" s="7"/>
      <c r="DI10" s="39">
        <f t="shared" si="28"/>
        <v>3</v>
      </c>
      <c r="DJ10" s="7">
        <v>1.0</v>
      </c>
      <c r="DK10" s="7">
        <v>1.0</v>
      </c>
      <c r="DL10" s="7"/>
      <c r="DM10" s="39">
        <f t="shared" si="29"/>
        <v>3</v>
      </c>
      <c r="DN10" s="7">
        <v>1.0</v>
      </c>
      <c r="DO10" s="7">
        <v>1.0</v>
      </c>
      <c r="DP10" s="7"/>
      <c r="DQ10" s="39">
        <f t="shared" si="30"/>
        <v>3</v>
      </c>
      <c r="DR10" s="7"/>
      <c r="DS10" s="7"/>
      <c r="DT10" s="7"/>
      <c r="DU10" s="39">
        <f t="shared" si="31"/>
        <v>0</v>
      </c>
      <c r="DV10" s="7"/>
      <c r="DW10" s="7"/>
      <c r="DX10" s="7"/>
      <c r="DY10" s="39">
        <f t="shared" si="32"/>
        <v>0</v>
      </c>
      <c r="DZ10" s="7">
        <v>1.0</v>
      </c>
      <c r="EA10" s="7">
        <v>1.0</v>
      </c>
      <c r="EB10" s="7"/>
      <c r="EC10" s="39">
        <f t="shared" si="33"/>
        <v>3</v>
      </c>
      <c r="ED10" s="7">
        <v>1.0</v>
      </c>
      <c r="EE10" s="7">
        <v>1.0</v>
      </c>
      <c r="EF10" s="7"/>
      <c r="EG10" s="39">
        <f t="shared" si="34"/>
        <v>3</v>
      </c>
      <c r="EH10" s="7">
        <v>1.0</v>
      </c>
      <c r="EI10" s="7">
        <v>1.0</v>
      </c>
      <c r="EJ10" s="7"/>
      <c r="EK10" s="39">
        <f t="shared" si="35"/>
        <v>3</v>
      </c>
      <c r="EL10" s="7"/>
      <c r="EM10" s="7"/>
      <c r="EN10" s="7"/>
      <c r="EO10" s="39">
        <f t="shared" si="36"/>
        <v>0</v>
      </c>
      <c r="EP10" s="7">
        <v>1.0</v>
      </c>
      <c r="EQ10" s="7">
        <v>1.0</v>
      </c>
      <c r="ER10" s="7"/>
      <c r="ES10" s="39">
        <f t="shared" si="37"/>
        <v>3</v>
      </c>
      <c r="ET10" s="7">
        <v>1.0</v>
      </c>
      <c r="EU10" s="7">
        <v>1.0</v>
      </c>
      <c r="EV10" s="7"/>
      <c r="EW10" s="39">
        <f t="shared" si="38"/>
        <v>3</v>
      </c>
      <c r="EX10" s="7">
        <v>1.0</v>
      </c>
      <c r="EY10" s="7">
        <v>1.0</v>
      </c>
      <c r="EZ10" s="7"/>
      <c r="FA10" s="39">
        <f t="shared" si="39"/>
        <v>3</v>
      </c>
      <c r="FB10" s="7"/>
      <c r="FC10" s="7"/>
      <c r="FD10" s="7"/>
      <c r="FE10" s="39">
        <f t="shared" si="40"/>
        <v>0</v>
      </c>
      <c r="FF10" s="7">
        <v>1.0</v>
      </c>
      <c r="FG10" s="7">
        <v>1.0</v>
      </c>
      <c r="FH10" s="7"/>
      <c r="FI10" s="39">
        <f t="shared" si="41"/>
        <v>3</v>
      </c>
      <c r="FJ10" s="7">
        <v>1.0</v>
      </c>
      <c r="FK10" s="7">
        <v>1.0</v>
      </c>
      <c r="FL10" s="7"/>
      <c r="FM10" s="39">
        <f t="shared" si="42"/>
        <v>3</v>
      </c>
      <c r="FN10" s="7">
        <v>1.0</v>
      </c>
      <c r="FO10" s="7">
        <v>1.0</v>
      </c>
      <c r="FP10" s="7">
        <v>1.0</v>
      </c>
      <c r="FQ10" s="39">
        <f t="shared" si="43"/>
        <v>5</v>
      </c>
      <c r="FR10" s="7">
        <v>1.0</v>
      </c>
      <c r="FS10" s="7">
        <v>1.0</v>
      </c>
      <c r="FT10" s="7"/>
      <c r="FU10" s="39">
        <f t="shared" si="44"/>
        <v>3</v>
      </c>
      <c r="FV10" s="7">
        <v>1.0</v>
      </c>
      <c r="FW10" s="7">
        <v>1.0</v>
      </c>
      <c r="FX10" s="7"/>
      <c r="FY10" s="39">
        <f t="shared" si="45"/>
        <v>3</v>
      </c>
      <c r="FZ10" s="7">
        <v>1.0</v>
      </c>
      <c r="GA10" s="7">
        <v>1.0</v>
      </c>
      <c r="GB10" s="7"/>
      <c r="GC10" s="39">
        <f t="shared" si="46"/>
        <v>3</v>
      </c>
      <c r="GD10" s="7">
        <v>1.0</v>
      </c>
      <c r="GE10" s="7">
        <v>1.0</v>
      </c>
      <c r="GF10" s="7"/>
      <c r="GG10" s="39">
        <f t="shared" si="47"/>
        <v>3</v>
      </c>
      <c r="GH10" s="7">
        <v>1.0</v>
      </c>
      <c r="GI10" s="7">
        <v>1.0</v>
      </c>
      <c r="GJ10" s="7"/>
      <c r="GK10" s="39">
        <f t="shared" si="48"/>
        <v>3</v>
      </c>
      <c r="GL10" s="7"/>
      <c r="GM10" s="7"/>
      <c r="GN10" s="7"/>
      <c r="GO10" s="39">
        <f t="shared" si="49"/>
        <v>0</v>
      </c>
      <c r="GP10" s="7">
        <v>1.0</v>
      </c>
      <c r="GQ10" s="7">
        <v>1.0</v>
      </c>
      <c r="GR10" s="7"/>
      <c r="GS10" s="39">
        <f t="shared" si="50"/>
        <v>3</v>
      </c>
      <c r="GT10" s="7">
        <v>1.0</v>
      </c>
      <c r="GU10" s="7">
        <v>1.0</v>
      </c>
      <c r="GV10" s="7"/>
      <c r="GW10" s="39">
        <f t="shared" si="51"/>
        <v>3</v>
      </c>
      <c r="GX10" s="7">
        <v>1.0</v>
      </c>
      <c r="GY10" s="7">
        <v>1.0</v>
      </c>
      <c r="GZ10" s="7">
        <v>1.0</v>
      </c>
      <c r="HA10" s="39">
        <f t="shared" si="52"/>
        <v>5</v>
      </c>
    </row>
    <row r="11">
      <c r="A11" s="20" t="s">
        <v>27</v>
      </c>
      <c r="B11" s="21" t="s">
        <v>28</v>
      </c>
      <c r="C11" s="1">
        <f t="shared" si="1"/>
        <v>9</v>
      </c>
      <c r="D11" s="15">
        <v>0.33</v>
      </c>
      <c r="E11" s="37">
        <v>204.82000000000002</v>
      </c>
      <c r="F11" s="4">
        <v>1.0</v>
      </c>
      <c r="G11" s="7">
        <v>1.0</v>
      </c>
      <c r="H11" s="7">
        <v>1.0</v>
      </c>
      <c r="I11" s="39">
        <f t="shared" si="2"/>
        <v>5</v>
      </c>
      <c r="J11" s="4"/>
      <c r="K11" s="7"/>
      <c r="L11" s="7"/>
      <c r="M11" s="39">
        <f t="shared" si="3"/>
        <v>0</v>
      </c>
      <c r="N11" s="7">
        <v>1.0</v>
      </c>
      <c r="O11" s="7">
        <v>1.0</v>
      </c>
      <c r="P11" s="7">
        <v>1.0</v>
      </c>
      <c r="Q11" s="39">
        <f t="shared" si="4"/>
        <v>5</v>
      </c>
      <c r="R11" s="7"/>
      <c r="S11" s="7"/>
      <c r="T11" s="7">
        <v>1.0</v>
      </c>
      <c r="U11" s="39">
        <f t="shared" si="5"/>
        <v>7</v>
      </c>
      <c r="V11" s="7">
        <v>1.0</v>
      </c>
      <c r="W11" s="7">
        <v>1.0</v>
      </c>
      <c r="X11" s="7">
        <v>1.0</v>
      </c>
      <c r="Y11" s="39">
        <f t="shared" si="6"/>
        <v>5</v>
      </c>
      <c r="Z11" s="7"/>
      <c r="AA11" s="7"/>
      <c r="AB11" s="7"/>
      <c r="AC11" s="39">
        <f t="shared" si="7"/>
        <v>0</v>
      </c>
      <c r="AD11" s="7"/>
      <c r="AE11" s="7"/>
      <c r="AF11" s="7">
        <v>1.0</v>
      </c>
      <c r="AG11" s="39">
        <f t="shared" si="8"/>
        <v>7</v>
      </c>
      <c r="AH11" s="7">
        <v>1.0</v>
      </c>
      <c r="AI11" s="7">
        <v>1.0</v>
      </c>
      <c r="AJ11" s="7"/>
      <c r="AK11" s="39">
        <f t="shared" si="9"/>
        <v>3</v>
      </c>
      <c r="AL11" s="4"/>
      <c r="AM11" s="7"/>
      <c r="AN11" s="7">
        <v>1.0</v>
      </c>
      <c r="AO11" s="39">
        <f t="shared" si="10"/>
        <v>7</v>
      </c>
      <c r="AP11" s="7"/>
      <c r="AQ11" s="7"/>
      <c r="AR11" s="7">
        <v>1.0</v>
      </c>
      <c r="AS11" s="39">
        <f t="shared" si="11"/>
        <v>7</v>
      </c>
      <c r="AT11" s="7">
        <v>1.0</v>
      </c>
      <c r="AU11" s="7">
        <v>1.0</v>
      </c>
      <c r="AV11" s="7">
        <v>1.0</v>
      </c>
      <c r="AW11" s="39">
        <f t="shared" si="12"/>
        <v>5</v>
      </c>
      <c r="AX11" s="7">
        <v>1.0</v>
      </c>
      <c r="AY11" s="7">
        <v>1.0</v>
      </c>
      <c r="AZ11" s="7">
        <v>1.0</v>
      </c>
      <c r="BA11" s="39">
        <f t="shared" si="13"/>
        <v>5</v>
      </c>
      <c r="BB11" s="7"/>
      <c r="BC11" s="7"/>
      <c r="BD11" s="7">
        <v>1.0</v>
      </c>
      <c r="BE11" s="39">
        <f t="shared" si="14"/>
        <v>7</v>
      </c>
      <c r="BF11" s="7">
        <v>1.0</v>
      </c>
      <c r="BG11" s="7">
        <v>1.0</v>
      </c>
      <c r="BH11" s="7">
        <v>1.0</v>
      </c>
      <c r="BI11" s="39">
        <f t="shared" si="15"/>
        <v>5</v>
      </c>
      <c r="BJ11" s="7">
        <v>1.0</v>
      </c>
      <c r="BK11" s="7">
        <v>1.0</v>
      </c>
      <c r="BL11" s="7">
        <v>1.0</v>
      </c>
      <c r="BM11" s="39">
        <f t="shared" si="16"/>
        <v>5</v>
      </c>
      <c r="BN11" s="7"/>
      <c r="BO11" s="7"/>
      <c r="BP11" s="7"/>
      <c r="BQ11" s="39">
        <f t="shared" si="17"/>
        <v>0</v>
      </c>
      <c r="BR11" s="7">
        <v>1.0</v>
      </c>
      <c r="BS11" s="7">
        <v>1.0</v>
      </c>
      <c r="BT11" s="7">
        <v>1.0</v>
      </c>
      <c r="BU11" s="39">
        <f t="shared" si="18"/>
        <v>5</v>
      </c>
      <c r="BV11" s="7"/>
      <c r="BW11" s="7"/>
      <c r="BX11" s="7"/>
      <c r="BY11" s="39">
        <f t="shared" si="19"/>
        <v>0</v>
      </c>
      <c r="BZ11" s="7">
        <v>1.0</v>
      </c>
      <c r="CA11" s="7">
        <v>1.0</v>
      </c>
      <c r="CB11" s="7">
        <v>1.0</v>
      </c>
      <c r="CC11" s="39">
        <f t="shared" si="20"/>
        <v>5</v>
      </c>
      <c r="CD11" s="7">
        <v>1.0</v>
      </c>
      <c r="CE11" s="7">
        <v>1.0</v>
      </c>
      <c r="CF11" s="7"/>
      <c r="CG11" s="39">
        <f t="shared" si="21"/>
        <v>3</v>
      </c>
      <c r="CH11" s="7">
        <v>1.0</v>
      </c>
      <c r="CI11" s="7">
        <v>1.0</v>
      </c>
      <c r="CJ11" s="7"/>
      <c r="CK11" s="39">
        <f t="shared" si="22"/>
        <v>3</v>
      </c>
      <c r="CL11" s="7">
        <v>1.0</v>
      </c>
      <c r="CM11" s="7">
        <v>1.0</v>
      </c>
      <c r="CN11" s="7"/>
      <c r="CO11" s="39">
        <f t="shared" si="23"/>
        <v>3</v>
      </c>
      <c r="CP11" s="7">
        <v>1.0</v>
      </c>
      <c r="CQ11" s="7">
        <v>1.0</v>
      </c>
      <c r="CR11" s="7">
        <v>1.0</v>
      </c>
      <c r="CS11" s="39">
        <f t="shared" si="24"/>
        <v>5</v>
      </c>
      <c r="CT11" s="7"/>
      <c r="CU11" s="7"/>
      <c r="CV11" s="7"/>
      <c r="CW11" s="39">
        <f t="shared" si="25"/>
        <v>0</v>
      </c>
      <c r="CX11" s="7">
        <v>1.0</v>
      </c>
      <c r="CY11" s="7">
        <v>1.0</v>
      </c>
      <c r="CZ11" s="7"/>
      <c r="DA11" s="39">
        <f t="shared" si="26"/>
        <v>3</v>
      </c>
      <c r="DB11" s="7"/>
      <c r="DC11" s="7"/>
      <c r="DD11" s="7"/>
      <c r="DE11" s="39">
        <f t="shared" si="27"/>
        <v>0</v>
      </c>
      <c r="DF11" s="7"/>
      <c r="DG11" s="7"/>
      <c r="DH11" s="7">
        <v>1.0</v>
      </c>
      <c r="DI11" s="39">
        <f t="shared" si="28"/>
        <v>7</v>
      </c>
      <c r="DJ11" s="7">
        <v>1.0</v>
      </c>
      <c r="DK11" s="7">
        <v>1.0</v>
      </c>
      <c r="DL11" s="7"/>
      <c r="DM11" s="39">
        <f t="shared" si="29"/>
        <v>3</v>
      </c>
      <c r="DN11" s="7"/>
      <c r="DO11" s="7"/>
      <c r="DP11" s="7"/>
      <c r="DQ11" s="39">
        <f t="shared" si="30"/>
        <v>0</v>
      </c>
      <c r="DR11" s="7"/>
      <c r="DS11" s="7"/>
      <c r="DT11" s="7"/>
      <c r="DU11" s="39">
        <f t="shared" si="31"/>
        <v>0</v>
      </c>
      <c r="DV11" s="7"/>
      <c r="DW11" s="7"/>
      <c r="DX11" s="7"/>
      <c r="DY11" s="39">
        <f t="shared" si="32"/>
        <v>0</v>
      </c>
      <c r="DZ11" s="7"/>
      <c r="EA11" s="7"/>
      <c r="EB11" s="7"/>
      <c r="EC11" s="39">
        <f t="shared" si="33"/>
        <v>0</v>
      </c>
      <c r="ED11" s="7"/>
      <c r="EE11" s="7"/>
      <c r="EF11" s="7"/>
      <c r="EG11" s="39">
        <f t="shared" si="34"/>
        <v>0</v>
      </c>
      <c r="EH11" s="7"/>
      <c r="EI11" s="7"/>
      <c r="EJ11" s="7"/>
      <c r="EK11" s="39">
        <f t="shared" si="35"/>
        <v>0</v>
      </c>
      <c r="EL11" s="7"/>
      <c r="EM11" s="7"/>
      <c r="EN11" s="7"/>
      <c r="EO11" s="39">
        <f t="shared" si="36"/>
        <v>0</v>
      </c>
      <c r="EP11" s="7"/>
      <c r="EQ11" s="7"/>
      <c r="ER11" s="7"/>
      <c r="ES11" s="39">
        <f t="shared" si="37"/>
        <v>0</v>
      </c>
      <c r="ET11" s="7"/>
      <c r="EU11" s="7"/>
      <c r="EV11" s="7"/>
      <c r="EW11" s="39">
        <f t="shared" si="38"/>
        <v>0</v>
      </c>
      <c r="EX11" s="7"/>
      <c r="EY11" s="7"/>
      <c r="EZ11" s="7"/>
      <c r="FA11" s="39">
        <f t="shared" si="39"/>
        <v>0</v>
      </c>
      <c r="FB11" s="7"/>
      <c r="FC11" s="7"/>
      <c r="FD11" s="7"/>
      <c r="FE11" s="39">
        <f t="shared" si="40"/>
        <v>0</v>
      </c>
      <c r="FF11" s="7"/>
      <c r="FG11" s="7"/>
      <c r="FH11" s="7"/>
      <c r="FI11" s="39">
        <f t="shared" si="41"/>
        <v>0</v>
      </c>
      <c r="FJ11" s="7">
        <v>1.0</v>
      </c>
      <c r="FK11" s="7">
        <v>1.0</v>
      </c>
      <c r="FL11" s="7">
        <v>1.0</v>
      </c>
      <c r="FM11" s="39">
        <f t="shared" si="42"/>
        <v>5</v>
      </c>
      <c r="FN11" s="7">
        <v>1.0</v>
      </c>
      <c r="FO11" s="7">
        <v>1.0</v>
      </c>
      <c r="FP11" s="7">
        <v>1.0</v>
      </c>
      <c r="FQ11" s="39">
        <f t="shared" si="43"/>
        <v>5</v>
      </c>
      <c r="FR11" s="7">
        <v>1.0</v>
      </c>
      <c r="FS11" s="7">
        <v>1.0</v>
      </c>
      <c r="FT11" s="7">
        <v>1.0</v>
      </c>
      <c r="FU11" s="39">
        <f t="shared" si="44"/>
        <v>5</v>
      </c>
      <c r="FV11" s="7"/>
      <c r="FW11" s="7"/>
      <c r="FX11" s="7">
        <v>1.0</v>
      </c>
      <c r="FY11" s="39">
        <f t="shared" si="45"/>
        <v>7</v>
      </c>
      <c r="FZ11" s="7">
        <v>1.0</v>
      </c>
      <c r="GA11" s="7">
        <v>1.0</v>
      </c>
      <c r="GB11" s="7">
        <v>1.0</v>
      </c>
      <c r="GC11" s="39">
        <f t="shared" si="46"/>
        <v>5</v>
      </c>
      <c r="GD11" s="7"/>
      <c r="GE11" s="7"/>
      <c r="GF11" s="7">
        <v>1.0</v>
      </c>
      <c r="GG11" s="39">
        <f t="shared" si="47"/>
        <v>7</v>
      </c>
      <c r="GH11" s="7"/>
      <c r="GI11" s="7"/>
      <c r="GJ11" s="7"/>
      <c r="GK11" s="39">
        <f t="shared" si="48"/>
        <v>0</v>
      </c>
      <c r="GL11" s="7"/>
      <c r="GM11" s="7"/>
      <c r="GN11" s="7"/>
      <c r="GO11" s="39">
        <f t="shared" si="49"/>
        <v>0</v>
      </c>
      <c r="GP11" s="7">
        <v>1.0</v>
      </c>
      <c r="GQ11" s="7">
        <v>1.0</v>
      </c>
      <c r="GR11" s="7"/>
      <c r="GS11" s="39">
        <f t="shared" si="50"/>
        <v>3</v>
      </c>
      <c r="GT11" s="7"/>
      <c r="GU11" s="7"/>
      <c r="GV11" s="7"/>
      <c r="GW11" s="39">
        <f t="shared" si="51"/>
        <v>0</v>
      </c>
      <c r="GX11" s="7"/>
      <c r="GY11" s="7"/>
      <c r="GZ11" s="7">
        <v>1.0</v>
      </c>
      <c r="HA11" s="39">
        <f t="shared" si="52"/>
        <v>7</v>
      </c>
    </row>
    <row r="12">
      <c r="A12" s="4" t="s">
        <v>101</v>
      </c>
      <c r="B12" s="7"/>
      <c r="C12" s="1">
        <f t="shared" si="1"/>
        <v>10</v>
      </c>
      <c r="D12" s="15">
        <v>0.08</v>
      </c>
      <c r="E12" s="37">
        <v>203.04000000000002</v>
      </c>
      <c r="F12" s="4">
        <v>1.0</v>
      </c>
      <c r="G12" s="7">
        <v>1.0</v>
      </c>
      <c r="H12" s="7">
        <v>1.0</v>
      </c>
      <c r="I12" s="39">
        <f t="shared" si="2"/>
        <v>5</v>
      </c>
      <c r="J12" s="4">
        <v>1.0</v>
      </c>
      <c r="K12" s="7">
        <v>1.0</v>
      </c>
      <c r="L12" s="7"/>
      <c r="M12" s="39">
        <f t="shared" si="3"/>
        <v>3</v>
      </c>
      <c r="N12" s="7">
        <v>1.0</v>
      </c>
      <c r="O12" s="7">
        <v>1.0</v>
      </c>
      <c r="P12" s="7">
        <v>1.0</v>
      </c>
      <c r="Q12" s="39">
        <f t="shared" si="4"/>
        <v>5</v>
      </c>
      <c r="R12" s="7">
        <v>1.0</v>
      </c>
      <c r="S12" s="7">
        <v>1.0</v>
      </c>
      <c r="T12" s="7">
        <v>1.0</v>
      </c>
      <c r="U12" s="39">
        <f t="shared" si="5"/>
        <v>5</v>
      </c>
      <c r="V12" s="7">
        <v>1.0</v>
      </c>
      <c r="W12" s="7">
        <v>1.0</v>
      </c>
      <c r="X12" s="7">
        <v>1.0</v>
      </c>
      <c r="Y12" s="39">
        <f t="shared" si="6"/>
        <v>5</v>
      </c>
      <c r="Z12" s="7">
        <v>1.0</v>
      </c>
      <c r="AA12" s="7">
        <v>1.0</v>
      </c>
      <c r="AB12" s="7">
        <v>1.0</v>
      </c>
      <c r="AC12" s="39">
        <f t="shared" si="7"/>
        <v>5</v>
      </c>
      <c r="AD12" s="7"/>
      <c r="AE12" s="7"/>
      <c r="AF12" s="7"/>
      <c r="AG12" s="39">
        <f t="shared" si="8"/>
        <v>0</v>
      </c>
      <c r="AH12" s="7">
        <v>1.0</v>
      </c>
      <c r="AI12" s="7">
        <v>1.0</v>
      </c>
      <c r="AJ12" s="7">
        <v>1.0</v>
      </c>
      <c r="AK12" s="39">
        <f t="shared" si="9"/>
        <v>5</v>
      </c>
      <c r="AL12" s="4">
        <v>1.0</v>
      </c>
      <c r="AM12" s="7">
        <v>1.0</v>
      </c>
      <c r="AN12" s="7">
        <v>1.0</v>
      </c>
      <c r="AO12" s="39">
        <f t="shared" si="10"/>
        <v>5</v>
      </c>
      <c r="AP12" s="7">
        <v>1.0</v>
      </c>
      <c r="AQ12" s="7">
        <v>1.0</v>
      </c>
      <c r="AR12" s="7">
        <v>1.0</v>
      </c>
      <c r="AS12" s="39">
        <f t="shared" si="11"/>
        <v>5</v>
      </c>
      <c r="AT12" s="7">
        <v>1.0</v>
      </c>
      <c r="AU12" s="7">
        <v>1.0</v>
      </c>
      <c r="AV12" s="7">
        <v>1.0</v>
      </c>
      <c r="AW12" s="39">
        <f t="shared" si="12"/>
        <v>5</v>
      </c>
      <c r="AX12" s="7">
        <v>1.0</v>
      </c>
      <c r="AY12" s="7">
        <v>1.0</v>
      </c>
      <c r="AZ12" s="7">
        <v>1.0</v>
      </c>
      <c r="BA12" s="39">
        <f t="shared" si="13"/>
        <v>5</v>
      </c>
      <c r="BB12" s="7">
        <v>1.0</v>
      </c>
      <c r="BC12" s="7">
        <v>1.0</v>
      </c>
      <c r="BD12" s="7">
        <v>1.0</v>
      </c>
      <c r="BE12" s="39">
        <f t="shared" si="14"/>
        <v>5</v>
      </c>
      <c r="BF12" s="7"/>
      <c r="BG12" s="7"/>
      <c r="BH12" s="7"/>
      <c r="BI12" s="39">
        <f t="shared" si="15"/>
        <v>0</v>
      </c>
      <c r="BJ12" s="7"/>
      <c r="BK12" s="7"/>
      <c r="BL12" s="7"/>
      <c r="BM12" s="39">
        <f t="shared" si="16"/>
        <v>0</v>
      </c>
      <c r="BN12" s="7"/>
      <c r="BO12" s="7"/>
      <c r="BP12" s="7"/>
      <c r="BQ12" s="39">
        <f t="shared" si="17"/>
        <v>0</v>
      </c>
      <c r="BR12" s="7"/>
      <c r="BS12" s="7"/>
      <c r="BT12" s="7"/>
      <c r="BU12" s="39">
        <f t="shared" si="18"/>
        <v>0</v>
      </c>
      <c r="BV12" s="7">
        <v>1.0</v>
      </c>
      <c r="BW12" s="7">
        <v>1.0</v>
      </c>
      <c r="BX12" s="7">
        <v>1.0</v>
      </c>
      <c r="BY12" s="39">
        <f t="shared" si="19"/>
        <v>5</v>
      </c>
      <c r="BZ12" s="7">
        <v>1.0</v>
      </c>
      <c r="CA12" s="7">
        <v>1.0</v>
      </c>
      <c r="CB12" s="7">
        <v>1.0</v>
      </c>
      <c r="CC12" s="39">
        <f t="shared" si="20"/>
        <v>5</v>
      </c>
      <c r="CD12" s="7">
        <v>1.0</v>
      </c>
      <c r="CE12" s="7">
        <v>1.0</v>
      </c>
      <c r="CF12" s="7"/>
      <c r="CG12" s="39">
        <f t="shared" si="21"/>
        <v>3</v>
      </c>
      <c r="CH12" s="7">
        <v>1.0</v>
      </c>
      <c r="CI12" s="7">
        <v>1.0</v>
      </c>
      <c r="CJ12" s="7"/>
      <c r="CK12" s="39">
        <f t="shared" si="22"/>
        <v>3</v>
      </c>
      <c r="CL12" s="7">
        <v>1.0</v>
      </c>
      <c r="CM12" s="7">
        <v>1.0</v>
      </c>
      <c r="CN12" s="7">
        <v>1.0</v>
      </c>
      <c r="CO12" s="39">
        <f t="shared" si="23"/>
        <v>5</v>
      </c>
      <c r="CP12" s="7">
        <v>1.0</v>
      </c>
      <c r="CQ12" s="7">
        <v>1.0</v>
      </c>
      <c r="CR12" s="7">
        <v>1.0</v>
      </c>
      <c r="CS12" s="39">
        <f t="shared" si="24"/>
        <v>5</v>
      </c>
      <c r="CT12" s="7">
        <v>1.0</v>
      </c>
      <c r="CU12" s="7">
        <v>1.0</v>
      </c>
      <c r="CV12" s="7">
        <v>1.0</v>
      </c>
      <c r="CW12" s="39">
        <f t="shared" si="25"/>
        <v>5</v>
      </c>
      <c r="CX12" s="7">
        <v>1.0</v>
      </c>
      <c r="CY12" s="7">
        <v>1.0</v>
      </c>
      <c r="CZ12" s="7"/>
      <c r="DA12" s="39">
        <f t="shared" si="26"/>
        <v>3</v>
      </c>
      <c r="DB12" s="7">
        <v>1.0</v>
      </c>
      <c r="DC12" s="7">
        <v>1.0</v>
      </c>
      <c r="DD12" s="7">
        <v>1.0</v>
      </c>
      <c r="DE12" s="39">
        <f t="shared" si="27"/>
        <v>5</v>
      </c>
      <c r="DF12" s="7">
        <v>1.0</v>
      </c>
      <c r="DG12" s="7">
        <v>1.0</v>
      </c>
      <c r="DH12" s="7">
        <v>1.0</v>
      </c>
      <c r="DI12" s="39">
        <f t="shared" si="28"/>
        <v>5</v>
      </c>
      <c r="DJ12" s="7"/>
      <c r="DK12" s="7"/>
      <c r="DL12" s="7"/>
      <c r="DM12" s="39">
        <f t="shared" si="29"/>
        <v>0</v>
      </c>
      <c r="DN12" s="7"/>
      <c r="DO12" s="7"/>
      <c r="DP12" s="7"/>
      <c r="DQ12" s="39">
        <f t="shared" si="30"/>
        <v>0</v>
      </c>
      <c r="DR12" s="7"/>
      <c r="DS12" s="7"/>
      <c r="DT12" s="7"/>
      <c r="DU12" s="39">
        <f t="shared" si="31"/>
        <v>0</v>
      </c>
      <c r="DV12" s="7">
        <v>1.0</v>
      </c>
      <c r="DW12" s="7">
        <v>1.0</v>
      </c>
      <c r="DX12" s="7"/>
      <c r="DY12" s="39">
        <f t="shared" si="32"/>
        <v>3</v>
      </c>
      <c r="DZ12" s="7"/>
      <c r="EA12" s="7"/>
      <c r="EB12" s="7"/>
      <c r="EC12" s="39">
        <f t="shared" si="33"/>
        <v>0</v>
      </c>
      <c r="ED12" s="7">
        <v>1.0</v>
      </c>
      <c r="EE12" s="7">
        <v>1.0</v>
      </c>
      <c r="EF12" s="7">
        <v>1.0</v>
      </c>
      <c r="EG12" s="39">
        <f t="shared" si="34"/>
        <v>5</v>
      </c>
      <c r="EH12" s="7">
        <v>1.0</v>
      </c>
      <c r="EI12" s="7">
        <v>1.0</v>
      </c>
      <c r="EJ12" s="7"/>
      <c r="EK12" s="39">
        <f t="shared" si="35"/>
        <v>3</v>
      </c>
      <c r="EL12" s="7">
        <v>1.0</v>
      </c>
      <c r="EM12" s="7">
        <v>1.0</v>
      </c>
      <c r="EN12" s="7">
        <v>1.0</v>
      </c>
      <c r="EO12" s="39">
        <f t="shared" si="36"/>
        <v>5</v>
      </c>
      <c r="EP12" s="7">
        <v>1.0</v>
      </c>
      <c r="EQ12" s="7">
        <v>1.0</v>
      </c>
      <c r="ER12" s="7">
        <v>1.0</v>
      </c>
      <c r="ES12" s="39">
        <f t="shared" si="37"/>
        <v>5</v>
      </c>
      <c r="ET12" s="7">
        <v>1.0</v>
      </c>
      <c r="EU12" s="7">
        <v>1.0</v>
      </c>
      <c r="EV12" s="7">
        <v>1.0</v>
      </c>
      <c r="EW12" s="39">
        <f t="shared" si="38"/>
        <v>5</v>
      </c>
      <c r="EX12" s="7">
        <v>1.0</v>
      </c>
      <c r="EY12" s="7">
        <v>1.0</v>
      </c>
      <c r="EZ12" s="7">
        <v>1.0</v>
      </c>
      <c r="FA12" s="39">
        <f t="shared" si="39"/>
        <v>5</v>
      </c>
      <c r="FB12" s="7">
        <v>1.0</v>
      </c>
      <c r="FC12" s="7">
        <v>1.0</v>
      </c>
      <c r="FD12" s="7">
        <v>1.0</v>
      </c>
      <c r="FE12" s="39">
        <f t="shared" si="40"/>
        <v>5</v>
      </c>
      <c r="FF12" s="7">
        <v>1.0</v>
      </c>
      <c r="FG12" s="7">
        <v>1.0</v>
      </c>
      <c r="FH12" s="7">
        <v>1.0</v>
      </c>
      <c r="FI12" s="39">
        <f t="shared" si="41"/>
        <v>5</v>
      </c>
      <c r="FJ12" s="7">
        <v>1.0</v>
      </c>
      <c r="FK12" s="7">
        <v>1.0</v>
      </c>
      <c r="FL12" s="7">
        <v>1.0</v>
      </c>
      <c r="FM12" s="39">
        <f t="shared" si="42"/>
        <v>5</v>
      </c>
      <c r="FN12" s="7">
        <v>1.0</v>
      </c>
      <c r="FO12" s="7">
        <v>1.0</v>
      </c>
      <c r="FP12" s="7">
        <v>1.0</v>
      </c>
      <c r="FQ12" s="39">
        <f t="shared" si="43"/>
        <v>5</v>
      </c>
      <c r="FR12" s="7">
        <v>1.0</v>
      </c>
      <c r="FS12" s="7">
        <v>1.0</v>
      </c>
      <c r="FT12" s="7">
        <v>1.0</v>
      </c>
      <c r="FU12" s="39">
        <f t="shared" si="44"/>
        <v>5</v>
      </c>
      <c r="FV12" s="7">
        <v>1.0</v>
      </c>
      <c r="FW12" s="7">
        <v>1.0</v>
      </c>
      <c r="FX12" s="7">
        <v>1.0</v>
      </c>
      <c r="FY12" s="39">
        <f t="shared" si="45"/>
        <v>5</v>
      </c>
      <c r="FZ12" s="7">
        <v>1.0</v>
      </c>
      <c r="GA12" s="7">
        <v>1.0</v>
      </c>
      <c r="GB12" s="7">
        <v>1.0</v>
      </c>
      <c r="GC12" s="39">
        <f t="shared" si="46"/>
        <v>5</v>
      </c>
      <c r="GD12" s="7">
        <v>1.0</v>
      </c>
      <c r="GE12" s="7">
        <v>1.0</v>
      </c>
      <c r="GF12" s="7">
        <v>1.0</v>
      </c>
      <c r="GG12" s="39">
        <f t="shared" si="47"/>
        <v>5</v>
      </c>
      <c r="GH12" s="7"/>
      <c r="GI12" s="7"/>
      <c r="GJ12" s="7"/>
      <c r="GK12" s="39">
        <f t="shared" si="48"/>
        <v>0</v>
      </c>
      <c r="GL12" s="7">
        <v>1.0</v>
      </c>
      <c r="GM12" s="7">
        <v>1.0</v>
      </c>
      <c r="GN12" s="7">
        <v>1.0</v>
      </c>
      <c r="GO12" s="39">
        <f t="shared" si="49"/>
        <v>5</v>
      </c>
      <c r="GP12" s="7"/>
      <c r="GQ12" s="7"/>
      <c r="GR12" s="7"/>
      <c r="GS12" s="39">
        <f t="shared" si="50"/>
        <v>0</v>
      </c>
      <c r="GT12" s="7">
        <v>1.0</v>
      </c>
      <c r="GU12" s="7">
        <v>1.0</v>
      </c>
      <c r="GV12" s="7">
        <v>1.0</v>
      </c>
      <c r="GW12" s="39">
        <f t="shared" si="51"/>
        <v>5</v>
      </c>
      <c r="GX12" s="7">
        <v>1.0</v>
      </c>
      <c r="GY12" s="7">
        <v>1.0</v>
      </c>
      <c r="GZ12" s="7">
        <v>1.0</v>
      </c>
      <c r="HA12" s="39">
        <f t="shared" si="52"/>
        <v>5</v>
      </c>
    </row>
    <row r="13">
      <c r="A13" s="20" t="s">
        <v>47</v>
      </c>
      <c r="B13" s="23" t="s">
        <v>48</v>
      </c>
      <c r="C13" s="1">
        <f t="shared" si="1"/>
        <v>11</v>
      </c>
      <c r="D13" s="15">
        <v>0.25</v>
      </c>
      <c r="E13" s="37">
        <v>201.25</v>
      </c>
      <c r="F13" s="4">
        <v>1.0</v>
      </c>
      <c r="G13" s="7">
        <v>1.0</v>
      </c>
      <c r="H13" s="7"/>
      <c r="I13" s="39">
        <f t="shared" si="2"/>
        <v>3</v>
      </c>
      <c r="J13" s="4">
        <v>1.0</v>
      </c>
      <c r="K13" s="7">
        <v>1.0</v>
      </c>
      <c r="L13" s="7"/>
      <c r="M13" s="39">
        <f t="shared" si="3"/>
        <v>3</v>
      </c>
      <c r="N13" s="7">
        <v>1.0</v>
      </c>
      <c r="O13" s="7">
        <v>1.0</v>
      </c>
      <c r="P13" s="7">
        <v>1.0</v>
      </c>
      <c r="Q13" s="39">
        <f t="shared" si="4"/>
        <v>5</v>
      </c>
      <c r="R13" s="7">
        <v>1.0</v>
      </c>
      <c r="S13" s="7">
        <v>1.0</v>
      </c>
      <c r="T13" s="7">
        <v>1.0</v>
      </c>
      <c r="U13" s="39">
        <f t="shared" si="5"/>
        <v>5</v>
      </c>
      <c r="V13" s="7">
        <v>1.0</v>
      </c>
      <c r="W13" s="7">
        <v>1.0</v>
      </c>
      <c r="X13" s="7">
        <v>1.0</v>
      </c>
      <c r="Y13" s="39">
        <f t="shared" si="6"/>
        <v>5</v>
      </c>
      <c r="Z13" s="7">
        <v>1.0</v>
      </c>
      <c r="AA13" s="7">
        <v>1.0</v>
      </c>
      <c r="AB13" s="7">
        <v>1.0</v>
      </c>
      <c r="AC13" s="39">
        <f t="shared" si="7"/>
        <v>5</v>
      </c>
      <c r="AD13" s="7">
        <v>1.0</v>
      </c>
      <c r="AE13" s="7">
        <v>1.0</v>
      </c>
      <c r="AF13" s="7">
        <v>1.0</v>
      </c>
      <c r="AG13" s="39">
        <f t="shared" si="8"/>
        <v>5</v>
      </c>
      <c r="AH13" s="7">
        <v>1.0</v>
      </c>
      <c r="AI13" s="7">
        <v>1.0</v>
      </c>
      <c r="AJ13" s="7">
        <v>1.0</v>
      </c>
      <c r="AK13" s="39">
        <f t="shared" si="9"/>
        <v>5</v>
      </c>
      <c r="AL13" s="4">
        <v>1.0</v>
      </c>
      <c r="AM13" s="7">
        <v>1.0</v>
      </c>
      <c r="AN13" s="7">
        <v>1.0</v>
      </c>
      <c r="AO13" s="39">
        <f t="shared" si="10"/>
        <v>5</v>
      </c>
      <c r="AP13" s="7">
        <v>1.0</v>
      </c>
      <c r="AQ13" s="7">
        <v>1.0</v>
      </c>
      <c r="AR13" s="7"/>
      <c r="AS13" s="39">
        <f t="shared" si="11"/>
        <v>3</v>
      </c>
      <c r="AT13" s="7">
        <v>1.0</v>
      </c>
      <c r="AU13" s="7">
        <v>1.0</v>
      </c>
      <c r="AV13" s="7">
        <v>1.0</v>
      </c>
      <c r="AW13" s="39">
        <f t="shared" si="12"/>
        <v>5</v>
      </c>
      <c r="AX13" s="7">
        <v>1.0</v>
      </c>
      <c r="AY13" s="7">
        <v>1.0</v>
      </c>
      <c r="AZ13" s="7"/>
      <c r="BA13" s="39">
        <f t="shared" si="13"/>
        <v>3</v>
      </c>
      <c r="BB13" s="7">
        <v>1.0</v>
      </c>
      <c r="BC13" s="7">
        <v>1.0</v>
      </c>
      <c r="BD13" s="7">
        <v>1.0</v>
      </c>
      <c r="BE13" s="39">
        <f t="shared" si="14"/>
        <v>5</v>
      </c>
      <c r="BF13" s="7">
        <v>1.0</v>
      </c>
      <c r="BG13" s="7">
        <v>1.0</v>
      </c>
      <c r="BH13" s="7">
        <v>1.0</v>
      </c>
      <c r="BI13" s="39">
        <f t="shared" si="15"/>
        <v>5</v>
      </c>
      <c r="BJ13" s="7">
        <v>1.0</v>
      </c>
      <c r="BK13" s="7">
        <v>1.0</v>
      </c>
      <c r="BL13" s="7">
        <v>1.0</v>
      </c>
      <c r="BM13" s="39">
        <f t="shared" si="16"/>
        <v>5</v>
      </c>
      <c r="BN13" s="7">
        <v>1.0</v>
      </c>
      <c r="BO13" s="7">
        <v>1.0</v>
      </c>
      <c r="BP13" s="7"/>
      <c r="BQ13" s="39">
        <f t="shared" si="17"/>
        <v>3</v>
      </c>
      <c r="BR13" s="7">
        <v>1.0</v>
      </c>
      <c r="BS13" s="7">
        <v>1.0</v>
      </c>
      <c r="BT13" s="7">
        <v>1.0</v>
      </c>
      <c r="BU13" s="39">
        <f t="shared" si="18"/>
        <v>5</v>
      </c>
      <c r="BV13" s="7">
        <v>1.0</v>
      </c>
      <c r="BW13" s="7">
        <v>1.0</v>
      </c>
      <c r="BX13" s="7"/>
      <c r="BY13" s="39">
        <f t="shared" si="19"/>
        <v>3</v>
      </c>
      <c r="BZ13" s="7">
        <v>1.0</v>
      </c>
      <c r="CA13" s="7">
        <v>1.0</v>
      </c>
      <c r="CB13" s="7">
        <v>1.0</v>
      </c>
      <c r="CC13" s="39">
        <f t="shared" si="20"/>
        <v>5</v>
      </c>
      <c r="CD13" s="7">
        <v>1.0</v>
      </c>
      <c r="CE13" s="7">
        <v>1.0</v>
      </c>
      <c r="CF13" s="7"/>
      <c r="CG13" s="39">
        <f t="shared" si="21"/>
        <v>3</v>
      </c>
      <c r="CH13" s="7">
        <v>1.0</v>
      </c>
      <c r="CI13" s="7">
        <v>1.0</v>
      </c>
      <c r="CJ13" s="7"/>
      <c r="CK13" s="39">
        <f t="shared" si="22"/>
        <v>3</v>
      </c>
      <c r="CL13" s="7">
        <v>1.0</v>
      </c>
      <c r="CM13" s="7">
        <v>1.0</v>
      </c>
      <c r="CN13" s="7"/>
      <c r="CO13" s="39">
        <f t="shared" si="23"/>
        <v>3</v>
      </c>
      <c r="CP13" s="7">
        <v>1.0</v>
      </c>
      <c r="CQ13" s="7">
        <v>1.0</v>
      </c>
      <c r="CR13" s="7"/>
      <c r="CS13" s="39">
        <f t="shared" si="24"/>
        <v>3</v>
      </c>
      <c r="CT13" s="7">
        <v>1.0</v>
      </c>
      <c r="CU13" s="7">
        <v>1.0</v>
      </c>
      <c r="CV13" s="7"/>
      <c r="CW13" s="39">
        <f t="shared" si="25"/>
        <v>3</v>
      </c>
      <c r="CX13" s="7">
        <v>1.0</v>
      </c>
      <c r="CY13" s="7">
        <v>1.0</v>
      </c>
      <c r="CZ13" s="7"/>
      <c r="DA13" s="39">
        <f t="shared" si="26"/>
        <v>3</v>
      </c>
      <c r="DB13" s="7"/>
      <c r="DC13" s="7"/>
      <c r="DD13" s="7"/>
      <c r="DE13" s="39">
        <f t="shared" si="27"/>
        <v>0</v>
      </c>
      <c r="DF13" s="7">
        <v>1.0</v>
      </c>
      <c r="DG13" s="7">
        <v>1.0</v>
      </c>
      <c r="DH13" s="7"/>
      <c r="DI13" s="39">
        <f t="shared" si="28"/>
        <v>3</v>
      </c>
      <c r="DJ13" s="7">
        <v>1.0</v>
      </c>
      <c r="DK13" s="7">
        <v>1.0</v>
      </c>
      <c r="DL13" s="7"/>
      <c r="DM13" s="39">
        <f t="shared" si="29"/>
        <v>3</v>
      </c>
      <c r="DN13" s="7">
        <v>1.0</v>
      </c>
      <c r="DO13" s="7">
        <v>1.0</v>
      </c>
      <c r="DP13" s="7"/>
      <c r="DQ13" s="39">
        <f t="shared" si="30"/>
        <v>3</v>
      </c>
      <c r="DR13" s="7"/>
      <c r="DS13" s="7"/>
      <c r="DT13" s="7"/>
      <c r="DU13" s="39">
        <f t="shared" si="31"/>
        <v>0</v>
      </c>
      <c r="DV13" s="7"/>
      <c r="DW13" s="7"/>
      <c r="DX13" s="7"/>
      <c r="DY13" s="39">
        <f t="shared" si="32"/>
        <v>0</v>
      </c>
      <c r="DZ13" s="7">
        <v>1.0</v>
      </c>
      <c r="EA13" s="7">
        <v>1.0</v>
      </c>
      <c r="EB13" s="7"/>
      <c r="EC13" s="39">
        <f t="shared" si="33"/>
        <v>3</v>
      </c>
      <c r="ED13" s="7">
        <v>1.0</v>
      </c>
      <c r="EE13" s="7">
        <v>1.0</v>
      </c>
      <c r="EF13" s="7"/>
      <c r="EG13" s="39">
        <f t="shared" si="34"/>
        <v>3</v>
      </c>
      <c r="EH13" s="7">
        <v>1.0</v>
      </c>
      <c r="EI13" s="7">
        <v>1.0</v>
      </c>
      <c r="EJ13" s="7"/>
      <c r="EK13" s="39">
        <f t="shared" si="35"/>
        <v>3</v>
      </c>
      <c r="EL13" s="7"/>
      <c r="EM13" s="7"/>
      <c r="EN13" s="7"/>
      <c r="EO13" s="39">
        <f t="shared" si="36"/>
        <v>0</v>
      </c>
      <c r="EP13" s="7">
        <v>1.0</v>
      </c>
      <c r="EQ13" s="7">
        <v>1.0</v>
      </c>
      <c r="ER13" s="7"/>
      <c r="ES13" s="39">
        <f t="shared" si="37"/>
        <v>3</v>
      </c>
      <c r="ET13" s="7">
        <v>1.0</v>
      </c>
      <c r="EU13" s="7">
        <v>1.0</v>
      </c>
      <c r="EV13" s="7">
        <v>1.0</v>
      </c>
      <c r="EW13" s="39">
        <f t="shared" si="38"/>
        <v>5</v>
      </c>
      <c r="EX13" s="7"/>
      <c r="EY13" s="7"/>
      <c r="EZ13" s="7"/>
      <c r="FA13" s="39">
        <f t="shared" si="39"/>
        <v>0</v>
      </c>
      <c r="FB13" s="7"/>
      <c r="FC13" s="7"/>
      <c r="FD13" s="7"/>
      <c r="FE13" s="39">
        <f t="shared" si="40"/>
        <v>0</v>
      </c>
      <c r="FF13" s="7">
        <v>1.0</v>
      </c>
      <c r="FG13" s="7"/>
      <c r="FH13" s="7"/>
      <c r="FI13" s="39">
        <f t="shared" si="41"/>
        <v>-3</v>
      </c>
      <c r="FJ13" s="7">
        <v>1.0</v>
      </c>
      <c r="FK13" s="7">
        <v>1.0</v>
      </c>
      <c r="FL13" s="7"/>
      <c r="FM13" s="39">
        <f t="shared" si="42"/>
        <v>3</v>
      </c>
      <c r="FN13" s="7">
        <v>1.0</v>
      </c>
      <c r="FO13" s="7">
        <v>1.0</v>
      </c>
      <c r="FP13" s="7">
        <v>1.0</v>
      </c>
      <c r="FQ13" s="39">
        <f t="shared" si="43"/>
        <v>5</v>
      </c>
      <c r="FR13" s="7">
        <v>1.0</v>
      </c>
      <c r="FS13" s="7">
        <v>1.0</v>
      </c>
      <c r="FT13" s="7"/>
      <c r="FU13" s="39">
        <f t="shared" si="44"/>
        <v>3</v>
      </c>
      <c r="FV13" s="7">
        <v>1.0</v>
      </c>
      <c r="FW13" s="7">
        <v>1.0</v>
      </c>
      <c r="FX13" s="7"/>
      <c r="FY13" s="39">
        <f t="shared" si="45"/>
        <v>3</v>
      </c>
      <c r="FZ13" s="7">
        <v>1.0</v>
      </c>
      <c r="GA13" s="7">
        <v>1.0</v>
      </c>
      <c r="GB13" s="7"/>
      <c r="GC13" s="39">
        <f t="shared" si="46"/>
        <v>3</v>
      </c>
      <c r="GD13" s="7">
        <v>1.0</v>
      </c>
      <c r="GE13" s="7">
        <v>1.0</v>
      </c>
      <c r="GF13" s="7"/>
      <c r="GG13" s="39">
        <f t="shared" si="47"/>
        <v>3</v>
      </c>
      <c r="GH13" s="7">
        <v>1.0</v>
      </c>
      <c r="GI13" s="7">
        <v>1.0</v>
      </c>
      <c r="GJ13" s="7"/>
      <c r="GK13" s="39">
        <f t="shared" si="48"/>
        <v>3</v>
      </c>
      <c r="GL13" s="7">
        <v>1.0</v>
      </c>
      <c r="GM13" s="7">
        <v>1.0</v>
      </c>
      <c r="GN13" s="7"/>
      <c r="GO13" s="39">
        <f t="shared" si="49"/>
        <v>3</v>
      </c>
      <c r="GP13" s="7">
        <v>1.0</v>
      </c>
      <c r="GQ13" s="7">
        <v>1.0</v>
      </c>
      <c r="GR13" s="7"/>
      <c r="GS13" s="39">
        <f t="shared" si="50"/>
        <v>3</v>
      </c>
      <c r="GT13" s="7">
        <v>1.0</v>
      </c>
      <c r="GU13" s="7">
        <v>1.0</v>
      </c>
      <c r="GV13" s="7"/>
      <c r="GW13" s="39">
        <f t="shared" si="51"/>
        <v>3</v>
      </c>
      <c r="GX13" s="7">
        <v>1.0</v>
      </c>
      <c r="GY13" s="7">
        <v>1.0</v>
      </c>
      <c r="GZ13" s="7">
        <v>1.0</v>
      </c>
      <c r="HA13" s="39">
        <f t="shared" si="52"/>
        <v>5</v>
      </c>
    </row>
    <row r="14">
      <c r="A14" s="4" t="s">
        <v>63</v>
      </c>
      <c r="B14" s="7" t="s">
        <v>155</v>
      </c>
      <c r="C14" s="1">
        <f t="shared" si="1"/>
        <v>12</v>
      </c>
      <c r="D14" s="15">
        <v>0.18</v>
      </c>
      <c r="E14" s="37">
        <v>188.79999999999998</v>
      </c>
      <c r="F14" s="4">
        <v>1.0</v>
      </c>
      <c r="G14" s="7">
        <v>1.0</v>
      </c>
      <c r="H14" s="7">
        <v>1.0</v>
      </c>
      <c r="I14" s="39">
        <f t="shared" si="2"/>
        <v>5</v>
      </c>
      <c r="J14" s="161"/>
      <c r="K14" s="1"/>
      <c r="L14" s="1"/>
      <c r="M14" s="39">
        <f t="shared" si="3"/>
        <v>0</v>
      </c>
      <c r="N14" s="1"/>
      <c r="O14" s="1"/>
      <c r="P14" s="1"/>
      <c r="Q14" s="39">
        <f t="shared" si="4"/>
        <v>0</v>
      </c>
      <c r="R14" s="7"/>
      <c r="S14" s="7"/>
      <c r="T14" s="7">
        <v>1.0</v>
      </c>
      <c r="U14" s="39">
        <f t="shared" si="5"/>
        <v>7</v>
      </c>
      <c r="V14" s="7">
        <v>1.0</v>
      </c>
      <c r="W14" s="7">
        <v>1.0</v>
      </c>
      <c r="X14" s="7">
        <v>1.0</v>
      </c>
      <c r="Y14" s="39">
        <f t="shared" si="6"/>
        <v>5</v>
      </c>
      <c r="Z14" s="7">
        <v>1.0</v>
      </c>
      <c r="AA14" s="7">
        <v>1.0</v>
      </c>
      <c r="AB14" s="7">
        <v>1.0</v>
      </c>
      <c r="AC14" s="39">
        <f t="shared" si="7"/>
        <v>5</v>
      </c>
      <c r="AD14" s="7">
        <v>1.0</v>
      </c>
      <c r="AE14" s="7">
        <v>1.0</v>
      </c>
      <c r="AF14" s="7">
        <v>1.0</v>
      </c>
      <c r="AG14" s="39">
        <f t="shared" si="8"/>
        <v>5</v>
      </c>
      <c r="AH14" s="7">
        <v>1.0</v>
      </c>
      <c r="AI14" s="7">
        <v>1.0</v>
      </c>
      <c r="AJ14" s="7">
        <v>1.0</v>
      </c>
      <c r="AK14" s="39">
        <f t="shared" si="9"/>
        <v>5</v>
      </c>
      <c r="AL14" s="4">
        <v>1.0</v>
      </c>
      <c r="AM14" s="7">
        <v>1.0</v>
      </c>
      <c r="AN14" s="7">
        <v>1.0</v>
      </c>
      <c r="AO14" s="39">
        <f t="shared" si="10"/>
        <v>5</v>
      </c>
      <c r="AP14" s="7">
        <v>1.0</v>
      </c>
      <c r="AQ14" s="7">
        <v>1.0</v>
      </c>
      <c r="AR14" s="7">
        <v>1.0</v>
      </c>
      <c r="AS14" s="39">
        <f t="shared" si="11"/>
        <v>5</v>
      </c>
      <c r="AT14" s="7">
        <v>1.0</v>
      </c>
      <c r="AU14" s="7">
        <v>1.0</v>
      </c>
      <c r="AV14" s="7">
        <v>1.0</v>
      </c>
      <c r="AW14" s="39">
        <f t="shared" si="12"/>
        <v>5</v>
      </c>
      <c r="AX14" s="7">
        <v>1.0</v>
      </c>
      <c r="AY14" s="7">
        <v>1.0</v>
      </c>
      <c r="AZ14" s="7">
        <v>1.0</v>
      </c>
      <c r="BA14" s="39">
        <f t="shared" si="13"/>
        <v>5</v>
      </c>
      <c r="BB14" s="7"/>
      <c r="BC14" s="7"/>
      <c r="BD14" s="7"/>
      <c r="BE14" s="39">
        <f t="shared" si="14"/>
        <v>0</v>
      </c>
      <c r="BF14" s="7"/>
      <c r="BG14" s="7"/>
      <c r="BH14" s="7">
        <v>1.0</v>
      </c>
      <c r="BI14" s="39">
        <f t="shared" si="15"/>
        <v>7</v>
      </c>
      <c r="BJ14" s="7"/>
      <c r="BK14" s="7"/>
      <c r="BL14" s="7"/>
      <c r="BM14" s="39">
        <f t="shared" si="16"/>
        <v>0</v>
      </c>
      <c r="BN14" s="7">
        <v>1.0</v>
      </c>
      <c r="BO14" s="7">
        <v>1.0</v>
      </c>
      <c r="BP14" s="7">
        <v>1.0</v>
      </c>
      <c r="BQ14" s="39">
        <f t="shared" si="17"/>
        <v>5</v>
      </c>
      <c r="BR14" s="7">
        <v>1.0</v>
      </c>
      <c r="BS14" s="7">
        <v>1.0</v>
      </c>
      <c r="BT14" s="7">
        <v>1.0</v>
      </c>
      <c r="BU14" s="39">
        <f t="shared" si="18"/>
        <v>5</v>
      </c>
      <c r="BV14" s="7">
        <v>1.0</v>
      </c>
      <c r="BW14" s="7">
        <v>1.0</v>
      </c>
      <c r="BX14" s="7">
        <v>1.0</v>
      </c>
      <c r="BY14" s="39">
        <f t="shared" si="19"/>
        <v>5</v>
      </c>
      <c r="BZ14" s="7">
        <v>1.0</v>
      </c>
      <c r="CA14" s="7">
        <v>1.0</v>
      </c>
      <c r="CB14" s="7">
        <v>1.0</v>
      </c>
      <c r="CC14" s="39">
        <f t="shared" si="20"/>
        <v>5</v>
      </c>
      <c r="CD14" s="7"/>
      <c r="CE14" s="7"/>
      <c r="CF14" s="7"/>
      <c r="CG14" s="39">
        <f t="shared" si="21"/>
        <v>0</v>
      </c>
      <c r="CH14" s="7"/>
      <c r="CI14" s="7"/>
      <c r="CJ14" s="7"/>
      <c r="CK14" s="39">
        <f t="shared" si="22"/>
        <v>0</v>
      </c>
      <c r="CL14" s="7">
        <v>1.0</v>
      </c>
      <c r="CM14" s="7">
        <v>1.0</v>
      </c>
      <c r="CN14" s="7"/>
      <c r="CO14" s="39">
        <f t="shared" si="23"/>
        <v>3</v>
      </c>
      <c r="CP14" s="7"/>
      <c r="CQ14" s="7"/>
      <c r="CR14" s="7"/>
      <c r="CS14" s="39">
        <f t="shared" si="24"/>
        <v>0</v>
      </c>
      <c r="CT14" s="7">
        <v>1.0</v>
      </c>
      <c r="CU14" s="7">
        <v>1.0</v>
      </c>
      <c r="CV14" s="7">
        <v>1.0</v>
      </c>
      <c r="CW14" s="39">
        <f t="shared" si="25"/>
        <v>5</v>
      </c>
      <c r="CX14" s="7">
        <v>1.0</v>
      </c>
      <c r="CY14" s="7">
        <v>1.0</v>
      </c>
      <c r="CZ14" s="7"/>
      <c r="DA14" s="39">
        <f t="shared" si="26"/>
        <v>3</v>
      </c>
      <c r="DB14" s="7"/>
      <c r="DC14" s="7"/>
      <c r="DD14" s="7"/>
      <c r="DE14" s="39">
        <f t="shared" si="27"/>
        <v>0</v>
      </c>
      <c r="DF14" s="7">
        <v>1.0</v>
      </c>
      <c r="DG14" s="7">
        <v>1.0</v>
      </c>
      <c r="DH14" s="7">
        <v>1.0</v>
      </c>
      <c r="DI14" s="39">
        <f t="shared" si="28"/>
        <v>5</v>
      </c>
      <c r="DJ14" s="7"/>
      <c r="DK14" s="7"/>
      <c r="DL14" s="7"/>
      <c r="DM14" s="39">
        <f t="shared" si="29"/>
        <v>0</v>
      </c>
      <c r="DN14" s="7"/>
      <c r="DO14" s="7"/>
      <c r="DP14" s="7"/>
      <c r="DQ14" s="39">
        <f t="shared" si="30"/>
        <v>0</v>
      </c>
      <c r="DR14" s="7"/>
      <c r="DS14" s="7"/>
      <c r="DT14" s="7"/>
      <c r="DU14" s="39">
        <f t="shared" si="31"/>
        <v>0</v>
      </c>
      <c r="DV14" s="7"/>
      <c r="DW14" s="7"/>
      <c r="DX14" s="7"/>
      <c r="DY14" s="39">
        <f t="shared" si="32"/>
        <v>0</v>
      </c>
      <c r="DZ14" s="7"/>
      <c r="EA14" s="7"/>
      <c r="EB14" s="7"/>
      <c r="EC14" s="39">
        <f t="shared" si="33"/>
        <v>0</v>
      </c>
      <c r="ED14" s="7"/>
      <c r="EE14" s="7"/>
      <c r="EF14" s="7"/>
      <c r="EG14" s="39">
        <f t="shared" si="34"/>
        <v>0</v>
      </c>
      <c r="EH14" s="7"/>
      <c r="EI14" s="7"/>
      <c r="EJ14" s="7"/>
      <c r="EK14" s="39">
        <f t="shared" si="35"/>
        <v>0</v>
      </c>
      <c r="EL14" s="7"/>
      <c r="EM14" s="7"/>
      <c r="EN14" s="7"/>
      <c r="EO14" s="39">
        <f t="shared" si="36"/>
        <v>0</v>
      </c>
      <c r="EP14" s="7"/>
      <c r="EQ14" s="7"/>
      <c r="ER14" s="7"/>
      <c r="ES14" s="39">
        <f t="shared" si="37"/>
        <v>0</v>
      </c>
      <c r="ET14" s="7">
        <v>1.0</v>
      </c>
      <c r="EU14" s="7">
        <v>1.0</v>
      </c>
      <c r="EV14" s="7">
        <v>1.0</v>
      </c>
      <c r="EW14" s="39">
        <f t="shared" si="38"/>
        <v>5</v>
      </c>
      <c r="EX14" s="7">
        <v>1.0</v>
      </c>
      <c r="EY14" s="7">
        <v>1.0</v>
      </c>
      <c r="EZ14" s="7">
        <v>1.0</v>
      </c>
      <c r="FA14" s="39">
        <f t="shared" si="39"/>
        <v>5</v>
      </c>
      <c r="FB14" s="7"/>
      <c r="FC14" s="7"/>
      <c r="FD14" s="7"/>
      <c r="FE14" s="39">
        <f t="shared" si="40"/>
        <v>0</v>
      </c>
      <c r="FF14" s="7">
        <v>1.0</v>
      </c>
      <c r="FG14" s="7">
        <v>1.0</v>
      </c>
      <c r="FH14" s="7">
        <v>1.0</v>
      </c>
      <c r="FI14" s="39">
        <f t="shared" si="41"/>
        <v>5</v>
      </c>
      <c r="FJ14" s="7">
        <v>1.0</v>
      </c>
      <c r="FK14" s="7">
        <v>1.0</v>
      </c>
      <c r="FL14" s="7">
        <v>1.0</v>
      </c>
      <c r="FM14" s="39">
        <f t="shared" si="42"/>
        <v>5</v>
      </c>
      <c r="FN14" s="7">
        <v>1.0</v>
      </c>
      <c r="FO14" s="7">
        <v>1.0</v>
      </c>
      <c r="FP14" s="7">
        <v>1.0</v>
      </c>
      <c r="FQ14" s="39">
        <f t="shared" si="43"/>
        <v>5</v>
      </c>
      <c r="FR14" s="7">
        <v>1.0</v>
      </c>
      <c r="FS14" s="7">
        <v>1.0</v>
      </c>
      <c r="FT14" s="7">
        <v>1.0</v>
      </c>
      <c r="FU14" s="39">
        <f t="shared" si="44"/>
        <v>5</v>
      </c>
      <c r="FV14" s="7">
        <v>1.0</v>
      </c>
      <c r="FW14" s="7">
        <v>1.0</v>
      </c>
      <c r="FX14" s="7">
        <v>1.0</v>
      </c>
      <c r="FY14" s="39">
        <f t="shared" si="45"/>
        <v>5</v>
      </c>
      <c r="FZ14" s="7">
        <v>1.0</v>
      </c>
      <c r="GA14" s="7">
        <v>1.0</v>
      </c>
      <c r="GB14" s="7">
        <v>1.0</v>
      </c>
      <c r="GC14" s="39">
        <f t="shared" si="46"/>
        <v>5</v>
      </c>
      <c r="GD14" s="7">
        <v>1.0</v>
      </c>
      <c r="GE14" s="7">
        <v>1.0</v>
      </c>
      <c r="GF14" s="7">
        <v>1.0</v>
      </c>
      <c r="GG14" s="39">
        <f t="shared" si="47"/>
        <v>5</v>
      </c>
      <c r="GH14" s="7">
        <v>1.0</v>
      </c>
      <c r="GI14" s="7">
        <v>1.0</v>
      </c>
      <c r="GJ14" s="7">
        <v>1.0</v>
      </c>
      <c r="GK14" s="39">
        <f t="shared" si="48"/>
        <v>5</v>
      </c>
      <c r="GL14" s="7">
        <v>1.0</v>
      </c>
      <c r="GM14" s="7">
        <v>1.0</v>
      </c>
      <c r="GN14" s="7">
        <v>1.0</v>
      </c>
      <c r="GO14" s="39">
        <f t="shared" si="49"/>
        <v>5</v>
      </c>
      <c r="GP14" s="7"/>
      <c r="GQ14" s="7"/>
      <c r="GR14" s="7"/>
      <c r="GS14" s="39">
        <f t="shared" si="50"/>
        <v>0</v>
      </c>
      <c r="GT14" s="7">
        <v>1.0</v>
      </c>
      <c r="GU14" s="7">
        <v>1.0</v>
      </c>
      <c r="GV14" s="7">
        <v>1.0</v>
      </c>
      <c r="GW14" s="39">
        <f t="shared" si="51"/>
        <v>5</v>
      </c>
      <c r="GX14" s="7">
        <v>1.0</v>
      </c>
      <c r="GY14" s="7">
        <v>1.0</v>
      </c>
      <c r="GZ14" s="7">
        <v>1.0</v>
      </c>
      <c r="HA14" s="39">
        <f t="shared" si="52"/>
        <v>5</v>
      </c>
    </row>
    <row r="15">
      <c r="A15" s="4" t="s">
        <v>31</v>
      </c>
      <c r="B15" s="7" t="s">
        <v>40</v>
      </c>
      <c r="C15" s="1">
        <f t="shared" si="1"/>
        <v>13</v>
      </c>
      <c r="D15" s="15">
        <v>0.26</v>
      </c>
      <c r="E15" s="37">
        <v>161.28</v>
      </c>
      <c r="F15" s="4"/>
      <c r="G15" s="7"/>
      <c r="H15" s="7"/>
      <c r="I15" s="39">
        <f t="shared" si="2"/>
        <v>0</v>
      </c>
      <c r="J15" s="4"/>
      <c r="K15" s="7"/>
      <c r="L15" s="7"/>
      <c r="M15" s="39">
        <f t="shared" si="3"/>
        <v>0</v>
      </c>
      <c r="N15" s="1"/>
      <c r="O15" s="1"/>
      <c r="P15" s="1"/>
      <c r="Q15" s="39">
        <f t="shared" si="4"/>
        <v>0</v>
      </c>
      <c r="R15" s="7"/>
      <c r="S15" s="7"/>
      <c r="T15" s="1"/>
      <c r="U15" s="39">
        <f t="shared" si="5"/>
        <v>0</v>
      </c>
      <c r="V15" s="1"/>
      <c r="W15" s="1"/>
      <c r="X15" s="7">
        <v>1.0</v>
      </c>
      <c r="Y15" s="39">
        <f t="shared" si="6"/>
        <v>7</v>
      </c>
      <c r="Z15" s="7"/>
      <c r="AA15" s="7"/>
      <c r="AB15" s="7">
        <v>1.0</v>
      </c>
      <c r="AC15" s="39">
        <f t="shared" si="7"/>
        <v>7</v>
      </c>
      <c r="AD15" s="7">
        <v>1.0</v>
      </c>
      <c r="AE15" s="7">
        <v>1.0</v>
      </c>
      <c r="AF15" s="7">
        <v>1.0</v>
      </c>
      <c r="AG15" s="39">
        <f t="shared" si="8"/>
        <v>5</v>
      </c>
      <c r="AH15" s="7"/>
      <c r="AI15" s="7"/>
      <c r="AJ15" s="7">
        <v>1.0</v>
      </c>
      <c r="AK15" s="39">
        <f t="shared" si="9"/>
        <v>7</v>
      </c>
      <c r="AL15" s="4">
        <v>1.0</v>
      </c>
      <c r="AM15" s="7">
        <v>1.0</v>
      </c>
      <c r="AN15" s="7">
        <v>1.0</v>
      </c>
      <c r="AO15" s="39">
        <f t="shared" si="10"/>
        <v>5</v>
      </c>
      <c r="AP15" s="7">
        <v>1.0</v>
      </c>
      <c r="AQ15" s="7">
        <v>1.0</v>
      </c>
      <c r="AR15" s="7">
        <v>1.0</v>
      </c>
      <c r="AS15" s="39">
        <f t="shared" si="11"/>
        <v>5</v>
      </c>
      <c r="AT15" s="7">
        <v>1.0</v>
      </c>
      <c r="AU15" s="7">
        <v>1.0</v>
      </c>
      <c r="AV15" s="7">
        <v>1.0</v>
      </c>
      <c r="AW15" s="39">
        <f t="shared" si="12"/>
        <v>5</v>
      </c>
      <c r="AX15" s="7"/>
      <c r="AY15" s="7"/>
      <c r="AZ15" s="7">
        <v>1.0</v>
      </c>
      <c r="BA15" s="39">
        <f t="shared" si="13"/>
        <v>7</v>
      </c>
      <c r="BB15" s="7">
        <v>1.0</v>
      </c>
      <c r="BC15" s="7">
        <v>1.0</v>
      </c>
      <c r="BD15" s="7">
        <v>1.0</v>
      </c>
      <c r="BE15" s="39">
        <f t="shared" si="14"/>
        <v>5</v>
      </c>
      <c r="BF15" s="7">
        <v>1.0</v>
      </c>
      <c r="BG15" s="7">
        <v>1.0</v>
      </c>
      <c r="BH15" s="7">
        <v>1.0</v>
      </c>
      <c r="BI15" s="39">
        <f t="shared" si="15"/>
        <v>5</v>
      </c>
      <c r="BJ15" s="7">
        <v>1.0</v>
      </c>
      <c r="BK15" s="7">
        <v>1.0</v>
      </c>
      <c r="BL15" s="7"/>
      <c r="BM15" s="39">
        <f t="shared" si="16"/>
        <v>3</v>
      </c>
      <c r="BN15" s="7"/>
      <c r="BO15" s="7"/>
      <c r="BP15" s="7"/>
      <c r="BQ15" s="39">
        <f t="shared" si="17"/>
        <v>0</v>
      </c>
      <c r="BR15" s="7"/>
      <c r="BS15" s="7"/>
      <c r="BT15" s="7"/>
      <c r="BU15" s="39">
        <f t="shared" si="18"/>
        <v>0</v>
      </c>
      <c r="BV15" s="7"/>
      <c r="BW15" s="7"/>
      <c r="BX15" s="7"/>
      <c r="BY15" s="39">
        <f t="shared" si="19"/>
        <v>0</v>
      </c>
      <c r="BZ15" s="7">
        <v>1.0</v>
      </c>
      <c r="CA15" s="7">
        <v>1.0</v>
      </c>
      <c r="CB15" s="7">
        <v>1.0</v>
      </c>
      <c r="CC15" s="39">
        <f t="shared" si="20"/>
        <v>5</v>
      </c>
      <c r="CD15" s="7">
        <v>1.0</v>
      </c>
      <c r="CE15" s="7">
        <v>1.0</v>
      </c>
      <c r="CF15" s="7">
        <v>1.0</v>
      </c>
      <c r="CG15" s="39">
        <f t="shared" si="21"/>
        <v>5</v>
      </c>
      <c r="CH15" s="7"/>
      <c r="CI15" s="7"/>
      <c r="CJ15" s="7"/>
      <c r="CK15" s="39">
        <f t="shared" si="22"/>
        <v>0</v>
      </c>
      <c r="CL15" s="7">
        <v>1.0</v>
      </c>
      <c r="CM15" s="7">
        <v>1.0</v>
      </c>
      <c r="CN15" s="7">
        <v>1.0</v>
      </c>
      <c r="CO15" s="39">
        <f t="shared" si="23"/>
        <v>5</v>
      </c>
      <c r="CP15" s="7">
        <v>1.0</v>
      </c>
      <c r="CQ15" s="7">
        <v>1.0</v>
      </c>
      <c r="CR15" s="7"/>
      <c r="CS15" s="39">
        <f t="shared" si="24"/>
        <v>3</v>
      </c>
      <c r="CT15" s="7">
        <v>1.0</v>
      </c>
      <c r="CU15" s="7">
        <v>1.0</v>
      </c>
      <c r="CV15" s="7">
        <v>1.0</v>
      </c>
      <c r="CW15" s="39">
        <f t="shared" si="25"/>
        <v>5</v>
      </c>
      <c r="CX15" s="7"/>
      <c r="CY15" s="7"/>
      <c r="CZ15" s="7"/>
      <c r="DA15" s="39">
        <f t="shared" si="26"/>
        <v>0</v>
      </c>
      <c r="DB15" s="7"/>
      <c r="DC15" s="7"/>
      <c r="DD15" s="7"/>
      <c r="DE15" s="39">
        <f t="shared" si="27"/>
        <v>0</v>
      </c>
      <c r="DF15" s="7"/>
      <c r="DG15" s="7"/>
      <c r="DH15" s="7"/>
      <c r="DI15" s="39">
        <f t="shared" si="28"/>
        <v>0</v>
      </c>
      <c r="DJ15" s="7"/>
      <c r="DK15" s="7"/>
      <c r="DL15" s="7"/>
      <c r="DM15" s="39">
        <f t="shared" si="29"/>
        <v>0</v>
      </c>
      <c r="DN15" s="7"/>
      <c r="DO15" s="7"/>
      <c r="DP15" s="7"/>
      <c r="DQ15" s="39">
        <f t="shared" si="30"/>
        <v>0</v>
      </c>
      <c r="DR15" s="7"/>
      <c r="DS15" s="7"/>
      <c r="DT15" s="7"/>
      <c r="DU15" s="39">
        <f t="shared" si="31"/>
        <v>0</v>
      </c>
      <c r="DV15" s="7">
        <v>1.0</v>
      </c>
      <c r="DW15" s="7">
        <v>1.0</v>
      </c>
      <c r="DX15" s="7"/>
      <c r="DY15" s="39">
        <f t="shared" si="32"/>
        <v>3</v>
      </c>
      <c r="DZ15" s="7"/>
      <c r="EA15" s="7"/>
      <c r="EB15" s="7"/>
      <c r="EC15" s="39">
        <f t="shared" si="33"/>
        <v>0</v>
      </c>
      <c r="ED15" s="7"/>
      <c r="EE15" s="7"/>
      <c r="EF15" s="7"/>
      <c r="EG15" s="39">
        <f t="shared" si="34"/>
        <v>0</v>
      </c>
      <c r="EH15" s="7"/>
      <c r="EI15" s="7"/>
      <c r="EJ15" s="7"/>
      <c r="EK15" s="39">
        <f t="shared" si="35"/>
        <v>0</v>
      </c>
      <c r="EL15" s="7"/>
      <c r="EM15" s="7"/>
      <c r="EN15" s="7"/>
      <c r="EO15" s="39">
        <f t="shared" si="36"/>
        <v>0</v>
      </c>
      <c r="EP15" s="7"/>
      <c r="EQ15" s="7"/>
      <c r="ER15" s="7"/>
      <c r="ES15" s="39">
        <f t="shared" si="37"/>
        <v>0</v>
      </c>
      <c r="ET15" s="7"/>
      <c r="EU15" s="7"/>
      <c r="EV15" s="7"/>
      <c r="EW15" s="39">
        <f t="shared" si="38"/>
        <v>0</v>
      </c>
      <c r="EX15" s="7"/>
      <c r="EY15" s="7"/>
      <c r="EZ15" s="7"/>
      <c r="FA15" s="39">
        <f t="shared" si="39"/>
        <v>0</v>
      </c>
      <c r="FB15" s="7"/>
      <c r="FC15" s="7"/>
      <c r="FD15" s="7"/>
      <c r="FE15" s="39">
        <f t="shared" si="40"/>
        <v>0</v>
      </c>
      <c r="FF15" s="7"/>
      <c r="FG15" s="7"/>
      <c r="FH15" s="7"/>
      <c r="FI15" s="39">
        <f t="shared" si="41"/>
        <v>0</v>
      </c>
      <c r="FJ15" s="7">
        <v>1.0</v>
      </c>
      <c r="FK15" s="7">
        <v>1.0</v>
      </c>
      <c r="FL15" s="7">
        <v>1.0</v>
      </c>
      <c r="FM15" s="39">
        <f t="shared" si="42"/>
        <v>5</v>
      </c>
      <c r="FN15" s="7"/>
      <c r="FO15" s="7"/>
      <c r="FP15" s="7"/>
      <c r="FQ15" s="39">
        <f t="shared" si="43"/>
        <v>0</v>
      </c>
      <c r="FR15" s="7"/>
      <c r="FS15" s="7"/>
      <c r="FT15" s="7">
        <v>1.0</v>
      </c>
      <c r="FU15" s="39">
        <f t="shared" si="44"/>
        <v>7</v>
      </c>
      <c r="FV15" s="7"/>
      <c r="FW15" s="7"/>
      <c r="FX15" s="7"/>
      <c r="FY15" s="39">
        <f t="shared" si="45"/>
        <v>0</v>
      </c>
      <c r="FZ15" s="7"/>
      <c r="GA15" s="7"/>
      <c r="GB15" s="7">
        <v>1.0</v>
      </c>
      <c r="GC15" s="39">
        <f t="shared" si="46"/>
        <v>7</v>
      </c>
      <c r="GD15" s="7"/>
      <c r="GE15" s="7"/>
      <c r="GF15" s="7">
        <v>1.0</v>
      </c>
      <c r="GG15" s="39">
        <f t="shared" si="47"/>
        <v>7</v>
      </c>
      <c r="GH15" s="7">
        <v>1.0</v>
      </c>
      <c r="GI15" s="7">
        <v>1.0</v>
      </c>
      <c r="GJ15" s="7">
        <v>1.0</v>
      </c>
      <c r="GK15" s="39">
        <f t="shared" si="48"/>
        <v>5</v>
      </c>
      <c r="GL15" s="7">
        <v>1.0</v>
      </c>
      <c r="GM15" s="7">
        <v>1.0</v>
      </c>
      <c r="GN15" s="7">
        <v>1.0</v>
      </c>
      <c r="GO15" s="39">
        <f t="shared" si="49"/>
        <v>5</v>
      </c>
      <c r="GP15" s="7"/>
      <c r="GQ15" s="7"/>
      <c r="GR15" s="7"/>
      <c r="GS15" s="39">
        <f t="shared" si="50"/>
        <v>0</v>
      </c>
      <c r="GT15" s="7"/>
      <c r="GU15" s="7"/>
      <c r="GV15" s="7"/>
      <c r="GW15" s="39">
        <f t="shared" si="51"/>
        <v>0</v>
      </c>
      <c r="GX15" s="7">
        <v>1.0</v>
      </c>
      <c r="GY15" s="7">
        <v>1.0</v>
      </c>
      <c r="GZ15" s="7">
        <v>1.0</v>
      </c>
      <c r="HA15" s="39">
        <f t="shared" si="52"/>
        <v>5</v>
      </c>
    </row>
    <row r="16">
      <c r="A16" s="4" t="s">
        <v>111</v>
      </c>
      <c r="B16" s="7" t="s">
        <v>112</v>
      </c>
      <c r="C16" s="1">
        <f t="shared" si="1"/>
        <v>14</v>
      </c>
      <c r="D16" s="15">
        <v>0.060000000000000005</v>
      </c>
      <c r="E16" s="37">
        <v>156.88</v>
      </c>
      <c r="F16" s="4">
        <v>1.0</v>
      </c>
      <c r="G16" s="7">
        <v>1.0</v>
      </c>
      <c r="H16" s="7">
        <v>1.0</v>
      </c>
      <c r="I16" s="39">
        <f t="shared" si="2"/>
        <v>5</v>
      </c>
      <c r="J16" s="4">
        <v>1.0</v>
      </c>
      <c r="K16" s="7">
        <v>1.0</v>
      </c>
      <c r="L16" s="7"/>
      <c r="M16" s="39">
        <f t="shared" si="3"/>
        <v>3</v>
      </c>
      <c r="N16" s="7">
        <v>1.0</v>
      </c>
      <c r="O16" s="7">
        <v>1.0</v>
      </c>
      <c r="P16" s="7">
        <v>1.0</v>
      </c>
      <c r="Q16" s="39">
        <f t="shared" si="4"/>
        <v>5</v>
      </c>
      <c r="R16" s="7">
        <v>1.0</v>
      </c>
      <c r="S16" s="7">
        <v>1.0</v>
      </c>
      <c r="T16" s="7">
        <v>1.0</v>
      </c>
      <c r="U16" s="39">
        <f t="shared" si="5"/>
        <v>5</v>
      </c>
      <c r="V16" s="7">
        <v>1.0</v>
      </c>
      <c r="W16" s="7">
        <v>1.0</v>
      </c>
      <c r="X16" s="7">
        <v>1.0</v>
      </c>
      <c r="Y16" s="39">
        <f t="shared" si="6"/>
        <v>5</v>
      </c>
      <c r="Z16" s="7">
        <v>1.0</v>
      </c>
      <c r="AA16" s="7">
        <v>1.0</v>
      </c>
      <c r="AB16" s="7">
        <v>1.0</v>
      </c>
      <c r="AC16" s="39">
        <f t="shared" si="7"/>
        <v>5</v>
      </c>
      <c r="AD16" s="7">
        <v>1.0</v>
      </c>
      <c r="AE16" s="7">
        <v>1.0</v>
      </c>
      <c r="AF16" s="7">
        <v>1.0</v>
      </c>
      <c r="AG16" s="39">
        <f t="shared" si="8"/>
        <v>5</v>
      </c>
      <c r="AH16" s="7">
        <v>1.0</v>
      </c>
      <c r="AI16" s="7">
        <v>1.0</v>
      </c>
      <c r="AJ16" s="7">
        <v>1.0</v>
      </c>
      <c r="AK16" s="39">
        <f t="shared" si="9"/>
        <v>5</v>
      </c>
      <c r="AL16" s="4">
        <v>1.0</v>
      </c>
      <c r="AM16" s="7">
        <v>1.0</v>
      </c>
      <c r="AN16" s="7">
        <v>1.0</v>
      </c>
      <c r="AO16" s="39">
        <f t="shared" si="10"/>
        <v>5</v>
      </c>
      <c r="AP16" s="7">
        <v>1.0</v>
      </c>
      <c r="AQ16" s="7">
        <v>1.0</v>
      </c>
      <c r="AR16" s="7">
        <v>1.0</v>
      </c>
      <c r="AS16" s="39">
        <f t="shared" si="11"/>
        <v>5</v>
      </c>
      <c r="AT16" s="7">
        <v>1.0</v>
      </c>
      <c r="AU16" s="7">
        <v>1.0</v>
      </c>
      <c r="AV16" s="7">
        <v>1.0</v>
      </c>
      <c r="AW16" s="39">
        <f t="shared" si="12"/>
        <v>5</v>
      </c>
      <c r="AX16" s="7">
        <v>1.0</v>
      </c>
      <c r="AY16" s="7">
        <v>1.0</v>
      </c>
      <c r="AZ16" s="7">
        <v>1.0</v>
      </c>
      <c r="BA16" s="39">
        <f t="shared" si="13"/>
        <v>5</v>
      </c>
      <c r="BB16" s="7">
        <v>1.0</v>
      </c>
      <c r="BC16" s="7">
        <v>1.0</v>
      </c>
      <c r="BD16" s="7">
        <v>1.0</v>
      </c>
      <c r="BE16" s="39">
        <f t="shared" si="14"/>
        <v>5</v>
      </c>
      <c r="BF16" s="7">
        <v>1.0</v>
      </c>
      <c r="BG16" s="7">
        <v>1.0</v>
      </c>
      <c r="BH16" s="7">
        <v>1.0</v>
      </c>
      <c r="BI16" s="39">
        <f t="shared" si="15"/>
        <v>5</v>
      </c>
      <c r="BJ16" s="7">
        <v>1.0</v>
      </c>
      <c r="BK16" s="7">
        <v>1.0</v>
      </c>
      <c r="BL16" s="7">
        <v>1.0</v>
      </c>
      <c r="BM16" s="39">
        <f t="shared" si="16"/>
        <v>5</v>
      </c>
      <c r="BN16" s="7">
        <v>1.0</v>
      </c>
      <c r="BO16" s="7">
        <v>1.0</v>
      </c>
      <c r="BP16" s="7">
        <v>1.0</v>
      </c>
      <c r="BQ16" s="39">
        <f t="shared" si="17"/>
        <v>5</v>
      </c>
      <c r="BR16" s="7">
        <v>1.0</v>
      </c>
      <c r="BS16" s="7">
        <v>1.0</v>
      </c>
      <c r="BT16" s="7">
        <v>1.0</v>
      </c>
      <c r="BU16" s="39">
        <f t="shared" si="18"/>
        <v>5</v>
      </c>
      <c r="BV16" s="7">
        <v>1.0</v>
      </c>
      <c r="BW16" s="7">
        <v>1.0</v>
      </c>
      <c r="BX16" s="7">
        <v>1.0</v>
      </c>
      <c r="BY16" s="39">
        <f t="shared" si="19"/>
        <v>5</v>
      </c>
      <c r="BZ16" s="7"/>
      <c r="CA16" s="7"/>
      <c r="CB16" s="7"/>
      <c r="CC16" s="39">
        <f t="shared" si="20"/>
        <v>0</v>
      </c>
      <c r="CD16" s="7">
        <v>1.0</v>
      </c>
      <c r="CE16" s="7">
        <v>1.0</v>
      </c>
      <c r="CF16" s="7"/>
      <c r="CG16" s="39">
        <f t="shared" si="21"/>
        <v>3</v>
      </c>
      <c r="CH16" s="7">
        <v>1.0</v>
      </c>
      <c r="CI16" s="7">
        <v>1.0</v>
      </c>
      <c r="CJ16" s="7"/>
      <c r="CK16" s="39">
        <f t="shared" si="22"/>
        <v>3</v>
      </c>
      <c r="CL16" s="7"/>
      <c r="CM16" s="7"/>
      <c r="CN16" s="7"/>
      <c r="CO16" s="39">
        <f t="shared" si="23"/>
        <v>0</v>
      </c>
      <c r="CP16" s="7"/>
      <c r="CQ16" s="7"/>
      <c r="CR16" s="7"/>
      <c r="CS16" s="39">
        <f t="shared" si="24"/>
        <v>0</v>
      </c>
      <c r="CT16" s="7">
        <v>1.0</v>
      </c>
      <c r="CU16" s="7">
        <v>1.0</v>
      </c>
      <c r="CV16" s="7">
        <v>1.0</v>
      </c>
      <c r="CW16" s="39">
        <f t="shared" si="25"/>
        <v>5</v>
      </c>
      <c r="CX16" s="7"/>
      <c r="CY16" s="7"/>
      <c r="CZ16" s="7"/>
      <c r="DA16" s="39">
        <f t="shared" si="26"/>
        <v>0</v>
      </c>
      <c r="DB16" s="7">
        <v>1.0</v>
      </c>
      <c r="DC16" s="7">
        <v>1.0</v>
      </c>
      <c r="DD16" s="7">
        <v>1.0</v>
      </c>
      <c r="DE16" s="39">
        <f t="shared" si="27"/>
        <v>5</v>
      </c>
      <c r="DF16" s="7">
        <v>1.0</v>
      </c>
      <c r="DG16" s="7">
        <v>1.0</v>
      </c>
      <c r="DH16" s="7"/>
      <c r="DI16" s="39">
        <f t="shared" si="28"/>
        <v>3</v>
      </c>
      <c r="DJ16" s="7">
        <v>1.0</v>
      </c>
      <c r="DK16" s="7">
        <v>1.0</v>
      </c>
      <c r="DL16" s="7"/>
      <c r="DM16" s="39">
        <f t="shared" si="29"/>
        <v>3</v>
      </c>
      <c r="DN16" s="7"/>
      <c r="DO16" s="7"/>
      <c r="DP16" s="7"/>
      <c r="DQ16" s="39">
        <f t="shared" si="30"/>
        <v>0</v>
      </c>
      <c r="DR16" s="7"/>
      <c r="DS16" s="7"/>
      <c r="DT16" s="7"/>
      <c r="DU16" s="39">
        <f t="shared" si="31"/>
        <v>0</v>
      </c>
      <c r="DV16" s="7"/>
      <c r="DW16" s="7"/>
      <c r="DX16" s="7"/>
      <c r="DY16" s="39">
        <f t="shared" si="32"/>
        <v>0</v>
      </c>
      <c r="DZ16" s="7"/>
      <c r="EA16" s="7"/>
      <c r="EB16" s="7"/>
      <c r="EC16" s="39">
        <f t="shared" si="33"/>
        <v>0</v>
      </c>
      <c r="ED16" s="7"/>
      <c r="EE16" s="7"/>
      <c r="EF16" s="7"/>
      <c r="EG16" s="39">
        <f t="shared" si="34"/>
        <v>0</v>
      </c>
      <c r="EH16" s="7"/>
      <c r="EI16" s="7"/>
      <c r="EJ16" s="7"/>
      <c r="EK16" s="39">
        <f t="shared" si="35"/>
        <v>0</v>
      </c>
      <c r="EL16" s="7"/>
      <c r="EM16" s="7"/>
      <c r="EN16" s="7"/>
      <c r="EO16" s="39">
        <f t="shared" si="36"/>
        <v>0</v>
      </c>
      <c r="EP16" s="7"/>
      <c r="EQ16" s="7"/>
      <c r="ER16" s="7"/>
      <c r="ES16" s="39">
        <f t="shared" si="37"/>
        <v>0</v>
      </c>
      <c r="ET16" s="7">
        <v>1.0</v>
      </c>
      <c r="EU16" s="7">
        <v>1.0</v>
      </c>
      <c r="EV16" s="7">
        <v>1.0</v>
      </c>
      <c r="EW16" s="39">
        <f t="shared" si="38"/>
        <v>5</v>
      </c>
      <c r="EX16" s="7"/>
      <c r="EY16" s="7"/>
      <c r="EZ16" s="7"/>
      <c r="FA16" s="39">
        <f t="shared" si="39"/>
        <v>0</v>
      </c>
      <c r="FB16" s="7"/>
      <c r="FC16" s="7"/>
      <c r="FD16" s="7"/>
      <c r="FE16" s="39">
        <f t="shared" si="40"/>
        <v>0</v>
      </c>
      <c r="FF16" s="7"/>
      <c r="FG16" s="7"/>
      <c r="FH16" s="7"/>
      <c r="FI16" s="39">
        <f t="shared" si="41"/>
        <v>0</v>
      </c>
      <c r="FJ16" s="7"/>
      <c r="FK16" s="7"/>
      <c r="FL16" s="7"/>
      <c r="FM16" s="39">
        <f t="shared" si="42"/>
        <v>0</v>
      </c>
      <c r="FN16" s="7">
        <v>1.0</v>
      </c>
      <c r="FO16" s="7">
        <v>1.0</v>
      </c>
      <c r="FP16" s="7"/>
      <c r="FQ16" s="39">
        <f t="shared" si="43"/>
        <v>3</v>
      </c>
      <c r="FR16" s="7"/>
      <c r="FS16" s="7"/>
      <c r="FT16" s="7">
        <v>1.0</v>
      </c>
      <c r="FU16" s="39">
        <f t="shared" si="44"/>
        <v>7</v>
      </c>
      <c r="FV16" s="7"/>
      <c r="FW16" s="7"/>
      <c r="FX16" s="7"/>
      <c r="FY16" s="39">
        <f t="shared" si="45"/>
        <v>0</v>
      </c>
      <c r="FZ16" s="7">
        <v>1.0</v>
      </c>
      <c r="GA16" s="7">
        <v>1.0</v>
      </c>
      <c r="GB16" s="7">
        <v>1.0</v>
      </c>
      <c r="GC16" s="39">
        <f t="shared" si="46"/>
        <v>5</v>
      </c>
      <c r="GD16" s="7">
        <v>1.0</v>
      </c>
      <c r="GE16" s="7">
        <v>1.0</v>
      </c>
      <c r="GF16" s="7">
        <v>1.0</v>
      </c>
      <c r="GG16" s="39">
        <f t="shared" si="47"/>
        <v>5</v>
      </c>
      <c r="GH16" s="7">
        <v>1.0</v>
      </c>
      <c r="GI16" s="7">
        <v>1.0</v>
      </c>
      <c r="GJ16" s="7">
        <v>1.0</v>
      </c>
      <c r="GK16" s="39">
        <f t="shared" si="48"/>
        <v>5</v>
      </c>
      <c r="GL16" s="7">
        <v>1.0</v>
      </c>
      <c r="GM16" s="7">
        <v>1.0</v>
      </c>
      <c r="GN16" s="7">
        <v>1.0</v>
      </c>
      <c r="GO16" s="39">
        <f t="shared" si="49"/>
        <v>5</v>
      </c>
      <c r="GP16" s="7">
        <v>1.0</v>
      </c>
      <c r="GQ16" s="7">
        <v>1.0</v>
      </c>
      <c r="GR16" s="7"/>
      <c r="GS16" s="39">
        <f t="shared" si="50"/>
        <v>3</v>
      </c>
      <c r="GT16" s="7"/>
      <c r="GU16" s="7"/>
      <c r="GV16" s="7"/>
      <c r="GW16" s="39">
        <f t="shared" si="51"/>
        <v>0</v>
      </c>
      <c r="GX16" s="7"/>
      <c r="GY16" s="7"/>
      <c r="GZ16" s="7"/>
      <c r="HA16" s="39">
        <f t="shared" si="52"/>
        <v>0</v>
      </c>
    </row>
    <row r="17">
      <c r="A17" s="20" t="s">
        <v>49</v>
      </c>
      <c r="B17" s="21" t="s">
        <v>50</v>
      </c>
      <c r="C17" s="1">
        <f t="shared" si="1"/>
        <v>15</v>
      </c>
      <c r="D17" s="15">
        <v>0.24</v>
      </c>
      <c r="E17" s="37">
        <v>138.88</v>
      </c>
      <c r="F17" s="4"/>
      <c r="G17" s="7"/>
      <c r="H17" s="1"/>
      <c r="I17" s="39">
        <f t="shared" si="2"/>
        <v>0</v>
      </c>
      <c r="J17" s="161"/>
      <c r="K17" s="1"/>
      <c r="L17" s="1"/>
      <c r="M17" s="39">
        <f t="shared" si="3"/>
        <v>0</v>
      </c>
      <c r="N17" s="1"/>
      <c r="O17" s="1"/>
      <c r="P17" s="1"/>
      <c r="Q17" s="39">
        <f t="shared" si="4"/>
        <v>0</v>
      </c>
      <c r="R17" s="1"/>
      <c r="S17" s="1"/>
      <c r="T17" s="1"/>
      <c r="U17" s="39">
        <f t="shared" si="5"/>
        <v>0</v>
      </c>
      <c r="V17" s="1"/>
      <c r="W17" s="1"/>
      <c r="X17" s="1"/>
      <c r="Y17" s="39">
        <f t="shared" si="6"/>
        <v>0</v>
      </c>
      <c r="Z17" s="1"/>
      <c r="AA17" s="1"/>
      <c r="AB17" s="1"/>
      <c r="AC17" s="39">
        <f t="shared" si="7"/>
        <v>0</v>
      </c>
      <c r="AD17" s="7"/>
      <c r="AE17" s="7"/>
      <c r="AF17" s="7"/>
      <c r="AG17" s="39">
        <f t="shared" si="8"/>
        <v>0</v>
      </c>
      <c r="AH17" s="7"/>
      <c r="AI17" s="7"/>
      <c r="AJ17" s="7"/>
      <c r="AK17" s="39">
        <f t="shared" si="9"/>
        <v>0</v>
      </c>
      <c r="AL17" s="4"/>
      <c r="AM17" s="7"/>
      <c r="AN17" s="7"/>
      <c r="AO17" s="39">
        <f t="shared" si="10"/>
        <v>0</v>
      </c>
      <c r="AP17" s="7"/>
      <c r="AQ17" s="7"/>
      <c r="AR17" s="7"/>
      <c r="AS17" s="39">
        <f t="shared" si="11"/>
        <v>0</v>
      </c>
      <c r="AT17" s="7"/>
      <c r="AU17" s="7"/>
      <c r="AV17" s="7"/>
      <c r="AW17" s="39">
        <f t="shared" si="12"/>
        <v>0</v>
      </c>
      <c r="AX17" s="7"/>
      <c r="AY17" s="7"/>
      <c r="AZ17" s="7"/>
      <c r="BA17" s="39">
        <f t="shared" si="13"/>
        <v>0</v>
      </c>
      <c r="BB17" s="7"/>
      <c r="BC17" s="7"/>
      <c r="BD17" s="7"/>
      <c r="BE17" s="39">
        <f t="shared" si="14"/>
        <v>0</v>
      </c>
      <c r="BF17" s="7"/>
      <c r="BG17" s="7"/>
      <c r="BH17" s="7"/>
      <c r="BI17" s="39">
        <f t="shared" si="15"/>
        <v>0</v>
      </c>
      <c r="BJ17" s="7"/>
      <c r="BK17" s="7"/>
      <c r="BL17" s="7"/>
      <c r="BM17" s="39">
        <f t="shared" si="16"/>
        <v>0</v>
      </c>
      <c r="BN17" s="7">
        <v>1.0</v>
      </c>
      <c r="BO17" s="7">
        <v>1.0</v>
      </c>
      <c r="BP17" s="7">
        <v>1.0</v>
      </c>
      <c r="BQ17" s="39">
        <f t="shared" si="17"/>
        <v>5</v>
      </c>
      <c r="BR17" s="7"/>
      <c r="BS17" s="7"/>
      <c r="BT17" s="7">
        <v>1.0</v>
      </c>
      <c r="BU17" s="39">
        <f t="shared" si="18"/>
        <v>7</v>
      </c>
      <c r="BV17" s="7"/>
      <c r="BW17" s="7"/>
      <c r="BX17" s="7">
        <v>1.0</v>
      </c>
      <c r="BY17" s="39">
        <f t="shared" si="19"/>
        <v>7</v>
      </c>
      <c r="BZ17" s="7"/>
      <c r="CA17" s="7"/>
      <c r="CB17" s="7">
        <v>1.0</v>
      </c>
      <c r="CC17" s="39">
        <f t="shared" si="20"/>
        <v>7</v>
      </c>
      <c r="CD17" s="7"/>
      <c r="CE17" s="7"/>
      <c r="CF17" s="7">
        <v>1.0</v>
      </c>
      <c r="CG17" s="39">
        <f t="shared" si="21"/>
        <v>7</v>
      </c>
      <c r="CH17" s="7">
        <v>1.0</v>
      </c>
      <c r="CI17" s="7">
        <v>1.0</v>
      </c>
      <c r="CJ17" s="7"/>
      <c r="CK17" s="39">
        <f t="shared" si="22"/>
        <v>3</v>
      </c>
      <c r="CL17" s="7">
        <v>1.0</v>
      </c>
      <c r="CM17" s="7">
        <v>1.0</v>
      </c>
      <c r="CN17" s="7">
        <v>1.0</v>
      </c>
      <c r="CO17" s="39">
        <f t="shared" si="23"/>
        <v>5</v>
      </c>
      <c r="CP17" s="7">
        <v>1.0</v>
      </c>
      <c r="CQ17" s="7">
        <v>1.0</v>
      </c>
      <c r="CR17" s="7"/>
      <c r="CS17" s="39">
        <f t="shared" si="24"/>
        <v>3</v>
      </c>
      <c r="CT17" s="7">
        <v>1.0</v>
      </c>
      <c r="CU17" s="7">
        <v>1.0</v>
      </c>
      <c r="CV17" s="7"/>
      <c r="CW17" s="39">
        <f t="shared" si="25"/>
        <v>3</v>
      </c>
      <c r="CX17" s="7"/>
      <c r="CY17" s="7"/>
      <c r="CZ17" s="7"/>
      <c r="DA17" s="39">
        <f t="shared" si="26"/>
        <v>0</v>
      </c>
      <c r="DB17" s="7"/>
      <c r="DC17" s="7"/>
      <c r="DD17" s="7"/>
      <c r="DE17" s="39">
        <f t="shared" si="27"/>
        <v>0</v>
      </c>
      <c r="DF17" s="7"/>
      <c r="DG17" s="7"/>
      <c r="DH17" s="7"/>
      <c r="DI17" s="39">
        <f t="shared" si="28"/>
        <v>0</v>
      </c>
      <c r="DJ17" s="7"/>
      <c r="DK17" s="7"/>
      <c r="DL17" s="7"/>
      <c r="DM17" s="39">
        <f t="shared" si="29"/>
        <v>0</v>
      </c>
      <c r="DN17" s="7"/>
      <c r="DO17" s="7"/>
      <c r="DP17" s="7"/>
      <c r="DQ17" s="39">
        <f t="shared" si="30"/>
        <v>0</v>
      </c>
      <c r="DR17" s="7"/>
      <c r="DS17" s="7"/>
      <c r="DT17" s="7"/>
      <c r="DU17" s="39">
        <f t="shared" si="31"/>
        <v>0</v>
      </c>
      <c r="DV17" s="7"/>
      <c r="DW17" s="7"/>
      <c r="DX17" s="7"/>
      <c r="DY17" s="39">
        <f t="shared" si="32"/>
        <v>0</v>
      </c>
      <c r="DZ17" s="7">
        <v>1.0</v>
      </c>
      <c r="EA17" s="7">
        <v>1.0</v>
      </c>
      <c r="EB17" s="7"/>
      <c r="EC17" s="39">
        <f t="shared" si="33"/>
        <v>3</v>
      </c>
      <c r="ED17" s="7">
        <v>1.0</v>
      </c>
      <c r="EE17" s="7">
        <v>1.0</v>
      </c>
      <c r="EF17" s="7">
        <v>1.0</v>
      </c>
      <c r="EG17" s="39">
        <f t="shared" si="34"/>
        <v>5</v>
      </c>
      <c r="EH17" s="7"/>
      <c r="EI17" s="7"/>
      <c r="EJ17" s="7"/>
      <c r="EK17" s="39">
        <f t="shared" si="35"/>
        <v>0</v>
      </c>
      <c r="EL17" s="7"/>
      <c r="EM17" s="7"/>
      <c r="EN17" s="7"/>
      <c r="EO17" s="39">
        <f t="shared" si="36"/>
        <v>0</v>
      </c>
      <c r="EP17" s="7">
        <v>1.0</v>
      </c>
      <c r="EQ17" s="7">
        <v>1.0</v>
      </c>
      <c r="ER17" s="7">
        <v>1.0</v>
      </c>
      <c r="ES17" s="39">
        <f t="shared" si="37"/>
        <v>5</v>
      </c>
      <c r="ET17" s="7">
        <v>1.0</v>
      </c>
      <c r="EU17" s="7">
        <v>1.0</v>
      </c>
      <c r="EV17" s="7">
        <v>1.0</v>
      </c>
      <c r="EW17" s="39">
        <f t="shared" si="38"/>
        <v>5</v>
      </c>
      <c r="EX17" s="7">
        <v>1.0</v>
      </c>
      <c r="EY17" s="7">
        <v>1.0</v>
      </c>
      <c r="EZ17" s="7"/>
      <c r="FA17" s="39">
        <f t="shared" si="39"/>
        <v>3</v>
      </c>
      <c r="FB17" s="7"/>
      <c r="FC17" s="7"/>
      <c r="FD17" s="7"/>
      <c r="FE17" s="39">
        <f t="shared" si="40"/>
        <v>0</v>
      </c>
      <c r="FF17" s="7">
        <v>1.0</v>
      </c>
      <c r="FG17" s="7">
        <v>1.0</v>
      </c>
      <c r="FH17" s="7">
        <v>1.0</v>
      </c>
      <c r="FI17" s="39">
        <f t="shared" si="41"/>
        <v>5</v>
      </c>
      <c r="FJ17" s="7">
        <v>1.0</v>
      </c>
      <c r="FK17" s="7">
        <v>1.0</v>
      </c>
      <c r="FL17" s="7">
        <v>1.0</v>
      </c>
      <c r="FM17" s="39">
        <f t="shared" si="42"/>
        <v>5</v>
      </c>
      <c r="FN17" s="7"/>
      <c r="FO17" s="7"/>
      <c r="FP17" s="7">
        <v>1.0</v>
      </c>
      <c r="FQ17" s="39">
        <f t="shared" si="43"/>
        <v>7</v>
      </c>
      <c r="FR17" s="7"/>
      <c r="FS17" s="7"/>
      <c r="FT17" s="7">
        <v>1.0</v>
      </c>
      <c r="FU17" s="39">
        <f t="shared" si="44"/>
        <v>7</v>
      </c>
      <c r="FV17" s="7">
        <v>1.0</v>
      </c>
      <c r="FW17" s="7">
        <v>1.0</v>
      </c>
      <c r="FX17" s="7">
        <v>1.0</v>
      </c>
      <c r="FY17" s="39">
        <f t="shared" si="45"/>
        <v>5</v>
      </c>
      <c r="FZ17" s="7"/>
      <c r="GA17" s="7"/>
      <c r="GB17" s="7"/>
      <c r="GC17" s="39">
        <f t="shared" si="46"/>
        <v>0</v>
      </c>
      <c r="GD17" s="7"/>
      <c r="GE17" s="7"/>
      <c r="GF17" s="7"/>
      <c r="GG17" s="39">
        <f t="shared" si="47"/>
        <v>0</v>
      </c>
      <c r="GH17" s="7"/>
      <c r="GI17" s="7"/>
      <c r="GJ17" s="7"/>
      <c r="GK17" s="39">
        <f t="shared" si="48"/>
        <v>0</v>
      </c>
      <c r="GL17" s="7"/>
      <c r="GM17" s="7"/>
      <c r="GN17" s="7"/>
      <c r="GO17" s="39">
        <f t="shared" si="49"/>
        <v>0</v>
      </c>
      <c r="GP17" s="7">
        <v>1.0</v>
      </c>
      <c r="GQ17" s="7">
        <v>1.0</v>
      </c>
      <c r="GR17" s="7"/>
      <c r="GS17" s="39">
        <f t="shared" si="50"/>
        <v>3</v>
      </c>
      <c r="GT17" s="7">
        <v>1.0</v>
      </c>
      <c r="GU17" s="7">
        <v>1.0</v>
      </c>
      <c r="GV17" s="7">
        <v>1.0</v>
      </c>
      <c r="GW17" s="39">
        <f t="shared" si="51"/>
        <v>5</v>
      </c>
      <c r="GX17" s="7"/>
      <c r="GY17" s="7"/>
      <c r="GZ17" s="7">
        <v>1.0</v>
      </c>
      <c r="HA17" s="39">
        <f t="shared" si="52"/>
        <v>7</v>
      </c>
    </row>
    <row r="18">
      <c r="A18" s="20" t="s">
        <v>77</v>
      </c>
      <c r="B18" s="21"/>
      <c r="C18" s="1">
        <f t="shared" si="1"/>
        <v>16</v>
      </c>
      <c r="D18" s="15">
        <v>0.15</v>
      </c>
      <c r="E18" s="37">
        <v>123.05</v>
      </c>
      <c r="F18" s="4"/>
      <c r="G18" s="7"/>
      <c r="H18" s="1"/>
      <c r="I18" s="39">
        <f t="shared" si="2"/>
        <v>0</v>
      </c>
      <c r="J18" s="161"/>
      <c r="K18" s="1"/>
      <c r="L18" s="1"/>
      <c r="M18" s="39">
        <f t="shared" si="3"/>
        <v>0</v>
      </c>
      <c r="N18" s="1"/>
      <c r="O18" s="1"/>
      <c r="P18" s="1"/>
      <c r="Q18" s="39">
        <f t="shared" si="4"/>
        <v>0</v>
      </c>
      <c r="R18" s="1"/>
      <c r="S18" s="1"/>
      <c r="T18" s="1"/>
      <c r="U18" s="39">
        <f t="shared" si="5"/>
        <v>0</v>
      </c>
      <c r="V18" s="1"/>
      <c r="W18" s="1"/>
      <c r="X18" s="1"/>
      <c r="Y18" s="39">
        <f t="shared" si="6"/>
        <v>0</v>
      </c>
      <c r="Z18" s="1"/>
      <c r="AA18" s="1"/>
      <c r="AB18" s="1"/>
      <c r="AC18" s="39">
        <f t="shared" si="7"/>
        <v>0</v>
      </c>
      <c r="AD18" s="7"/>
      <c r="AE18" s="7"/>
      <c r="AF18" s="7">
        <v>1.0</v>
      </c>
      <c r="AG18" s="39">
        <f t="shared" si="8"/>
        <v>7</v>
      </c>
      <c r="AH18" s="7"/>
      <c r="AI18" s="7"/>
      <c r="AJ18" s="7">
        <v>1.0</v>
      </c>
      <c r="AK18" s="39">
        <f t="shared" si="9"/>
        <v>7</v>
      </c>
      <c r="AL18" s="4"/>
      <c r="AM18" s="7"/>
      <c r="AN18" s="7">
        <v>1.0</v>
      </c>
      <c r="AO18" s="39">
        <f t="shared" si="10"/>
        <v>7</v>
      </c>
      <c r="AP18" s="7"/>
      <c r="AQ18" s="7"/>
      <c r="AR18" s="7">
        <v>1.0</v>
      </c>
      <c r="AS18" s="39">
        <f t="shared" si="11"/>
        <v>7</v>
      </c>
      <c r="AT18" s="7"/>
      <c r="AU18" s="7"/>
      <c r="AV18" s="7">
        <v>1.0</v>
      </c>
      <c r="AW18" s="39">
        <f t="shared" si="12"/>
        <v>7</v>
      </c>
      <c r="AX18" s="7"/>
      <c r="AY18" s="7"/>
      <c r="AZ18" s="7"/>
      <c r="BA18" s="39">
        <f t="shared" si="13"/>
        <v>0</v>
      </c>
      <c r="BB18" s="7"/>
      <c r="BC18" s="7"/>
      <c r="BD18" s="7"/>
      <c r="BE18" s="39">
        <f t="shared" si="14"/>
        <v>0</v>
      </c>
      <c r="BF18" s="7"/>
      <c r="BG18" s="7"/>
      <c r="BH18" s="7"/>
      <c r="BI18" s="39">
        <f t="shared" si="15"/>
        <v>0</v>
      </c>
      <c r="BJ18" s="7"/>
      <c r="BK18" s="7"/>
      <c r="BL18" s="7"/>
      <c r="BM18" s="39">
        <f t="shared" si="16"/>
        <v>0</v>
      </c>
      <c r="BN18" s="7"/>
      <c r="BO18" s="7"/>
      <c r="BP18" s="7"/>
      <c r="BQ18" s="39">
        <f t="shared" si="17"/>
        <v>0</v>
      </c>
      <c r="BR18" s="7"/>
      <c r="BS18" s="7"/>
      <c r="BT18" s="7"/>
      <c r="BU18" s="39">
        <f t="shared" si="18"/>
        <v>0</v>
      </c>
      <c r="BV18" s="7"/>
      <c r="BW18" s="7"/>
      <c r="BX18" s="7"/>
      <c r="BY18" s="39">
        <f t="shared" si="19"/>
        <v>0</v>
      </c>
      <c r="BZ18" s="7"/>
      <c r="CA18" s="7"/>
      <c r="CB18" s="7"/>
      <c r="CC18" s="39">
        <f t="shared" si="20"/>
        <v>0</v>
      </c>
      <c r="CD18" s="7">
        <v>1.0</v>
      </c>
      <c r="CE18" s="7">
        <v>1.0</v>
      </c>
      <c r="CF18" s="7"/>
      <c r="CG18" s="39">
        <f t="shared" si="21"/>
        <v>3</v>
      </c>
      <c r="CH18" s="7">
        <v>1.0</v>
      </c>
      <c r="CI18" s="7">
        <v>1.0</v>
      </c>
      <c r="CJ18" s="7"/>
      <c r="CK18" s="39">
        <f t="shared" si="22"/>
        <v>3</v>
      </c>
      <c r="CL18" s="7">
        <v>1.0</v>
      </c>
      <c r="CM18" s="7">
        <v>1.0</v>
      </c>
      <c r="CN18" s="7"/>
      <c r="CO18" s="39">
        <f t="shared" si="23"/>
        <v>3</v>
      </c>
      <c r="CP18" s="7">
        <v>1.0</v>
      </c>
      <c r="CQ18" s="7">
        <v>1.0</v>
      </c>
      <c r="CR18" s="7">
        <v>1.0</v>
      </c>
      <c r="CS18" s="39">
        <f t="shared" si="24"/>
        <v>5</v>
      </c>
      <c r="CT18" s="7">
        <v>1.0</v>
      </c>
      <c r="CU18" s="7">
        <v>1.0</v>
      </c>
      <c r="CV18" s="7"/>
      <c r="CW18" s="39">
        <f t="shared" si="25"/>
        <v>3</v>
      </c>
      <c r="CX18" s="7">
        <v>1.0</v>
      </c>
      <c r="CY18" s="7">
        <v>1.0</v>
      </c>
      <c r="CZ18" s="7"/>
      <c r="DA18" s="39">
        <f t="shared" si="26"/>
        <v>3</v>
      </c>
      <c r="DB18" s="7">
        <v>1.0</v>
      </c>
      <c r="DC18" s="7">
        <v>1.0</v>
      </c>
      <c r="DD18" s="7">
        <v>1.0</v>
      </c>
      <c r="DE18" s="39">
        <f t="shared" si="27"/>
        <v>5</v>
      </c>
      <c r="DF18" s="7">
        <v>1.0</v>
      </c>
      <c r="DG18" s="7">
        <v>1.0</v>
      </c>
      <c r="DH18" s="7">
        <v>1.0</v>
      </c>
      <c r="DI18" s="39">
        <f t="shared" si="28"/>
        <v>5</v>
      </c>
      <c r="DJ18" s="7">
        <v>1.0</v>
      </c>
      <c r="DK18" s="7">
        <v>1.0</v>
      </c>
      <c r="DL18" s="7"/>
      <c r="DM18" s="39">
        <f t="shared" si="29"/>
        <v>3</v>
      </c>
      <c r="DN18" s="7">
        <v>1.0</v>
      </c>
      <c r="DO18" s="7">
        <v>1.0</v>
      </c>
      <c r="DP18" s="7"/>
      <c r="DQ18" s="39">
        <f t="shared" si="30"/>
        <v>3</v>
      </c>
      <c r="DR18" s="7"/>
      <c r="DS18" s="7"/>
      <c r="DT18" s="7"/>
      <c r="DU18" s="39">
        <f t="shared" si="31"/>
        <v>0</v>
      </c>
      <c r="DV18" s="7"/>
      <c r="DW18" s="7"/>
      <c r="DX18" s="7"/>
      <c r="DY18" s="39">
        <f t="shared" si="32"/>
        <v>0</v>
      </c>
      <c r="DZ18" s="7"/>
      <c r="EA18" s="7"/>
      <c r="EB18" s="7"/>
      <c r="EC18" s="39">
        <f t="shared" si="33"/>
        <v>0</v>
      </c>
      <c r="ED18" s="7"/>
      <c r="EE18" s="7"/>
      <c r="EF18" s="7"/>
      <c r="EG18" s="39">
        <f t="shared" si="34"/>
        <v>0</v>
      </c>
      <c r="EH18" s="7"/>
      <c r="EI18" s="7"/>
      <c r="EJ18" s="7"/>
      <c r="EK18" s="39">
        <f t="shared" si="35"/>
        <v>0</v>
      </c>
      <c r="EL18" s="7"/>
      <c r="EM18" s="7"/>
      <c r="EN18" s="7"/>
      <c r="EO18" s="39">
        <f t="shared" si="36"/>
        <v>0</v>
      </c>
      <c r="EP18" s="7"/>
      <c r="EQ18" s="7"/>
      <c r="ER18" s="7"/>
      <c r="ES18" s="39">
        <f t="shared" si="37"/>
        <v>0</v>
      </c>
      <c r="ET18" s="7"/>
      <c r="EU18" s="7"/>
      <c r="EV18" s="7"/>
      <c r="EW18" s="39">
        <f t="shared" si="38"/>
        <v>0</v>
      </c>
      <c r="EX18" s="7"/>
      <c r="EY18" s="7"/>
      <c r="EZ18" s="7"/>
      <c r="FA18" s="39">
        <f t="shared" si="39"/>
        <v>0</v>
      </c>
      <c r="FB18" s="7"/>
      <c r="FC18" s="7"/>
      <c r="FD18" s="7"/>
      <c r="FE18" s="39">
        <f t="shared" si="40"/>
        <v>0</v>
      </c>
      <c r="FF18" s="7"/>
      <c r="FG18" s="7"/>
      <c r="FH18" s="7"/>
      <c r="FI18" s="39">
        <f t="shared" si="41"/>
        <v>0</v>
      </c>
      <c r="FJ18" s="7">
        <v>1.0</v>
      </c>
      <c r="FK18" s="7">
        <v>1.0</v>
      </c>
      <c r="FL18" s="7">
        <v>1.0</v>
      </c>
      <c r="FM18" s="39">
        <f t="shared" si="42"/>
        <v>5</v>
      </c>
      <c r="FN18" s="7"/>
      <c r="FO18" s="7"/>
      <c r="FP18" s="7">
        <v>1.0</v>
      </c>
      <c r="FQ18" s="39">
        <f t="shared" si="43"/>
        <v>7</v>
      </c>
      <c r="FR18" s="7"/>
      <c r="FS18" s="7"/>
      <c r="FT18" s="7"/>
      <c r="FU18" s="39">
        <f t="shared" si="44"/>
        <v>0</v>
      </c>
      <c r="FV18" s="7"/>
      <c r="FW18" s="7"/>
      <c r="FX18" s="7">
        <v>1.0</v>
      </c>
      <c r="FY18" s="39">
        <f t="shared" si="45"/>
        <v>7</v>
      </c>
      <c r="FZ18" s="7"/>
      <c r="GA18" s="7"/>
      <c r="GB18" s="7"/>
      <c r="GC18" s="39">
        <f t="shared" si="46"/>
        <v>0</v>
      </c>
      <c r="GD18" s="7"/>
      <c r="GE18" s="7"/>
      <c r="GF18" s="7">
        <v>1.0</v>
      </c>
      <c r="GG18" s="39">
        <f t="shared" si="47"/>
        <v>7</v>
      </c>
      <c r="GH18" s="7"/>
      <c r="GI18" s="7"/>
      <c r="GJ18" s="7"/>
      <c r="GK18" s="39">
        <f t="shared" si="48"/>
        <v>0</v>
      </c>
      <c r="GL18" s="7"/>
      <c r="GM18" s="7"/>
      <c r="GN18" s="7"/>
      <c r="GO18" s="39">
        <f t="shared" si="49"/>
        <v>0</v>
      </c>
      <c r="GP18" s="7">
        <v>1.0</v>
      </c>
      <c r="GQ18" s="7">
        <v>1.0</v>
      </c>
      <c r="GR18" s="7"/>
      <c r="GS18" s="39">
        <f t="shared" si="50"/>
        <v>3</v>
      </c>
      <c r="GT18" s="7"/>
      <c r="GU18" s="7"/>
      <c r="GV18" s="7"/>
      <c r="GW18" s="39">
        <f t="shared" si="51"/>
        <v>0</v>
      </c>
      <c r="GX18" s="7"/>
      <c r="GY18" s="7"/>
      <c r="GZ18" s="7">
        <v>1.0</v>
      </c>
      <c r="HA18" s="39">
        <f t="shared" si="52"/>
        <v>7</v>
      </c>
    </row>
    <row r="19">
      <c r="A19" s="20" t="s">
        <v>106</v>
      </c>
      <c r="B19" s="21" t="s">
        <v>107</v>
      </c>
      <c r="C19" s="1">
        <f t="shared" si="1"/>
        <v>17</v>
      </c>
      <c r="D19" s="15">
        <v>0.06999999999999999</v>
      </c>
      <c r="E19" s="37">
        <v>94.16000000000001</v>
      </c>
      <c r="F19" s="4"/>
      <c r="G19" s="7"/>
      <c r="H19" s="7"/>
      <c r="I19" s="39">
        <f t="shared" si="2"/>
        <v>0</v>
      </c>
      <c r="J19" s="161"/>
      <c r="K19" s="1"/>
      <c r="L19" s="1"/>
      <c r="M19" s="39">
        <f t="shared" si="3"/>
        <v>0</v>
      </c>
      <c r="N19" s="7">
        <v>1.0</v>
      </c>
      <c r="O19" s="7">
        <v>1.0</v>
      </c>
      <c r="P19" s="7">
        <v>1.0</v>
      </c>
      <c r="Q19" s="39">
        <f t="shared" si="4"/>
        <v>5</v>
      </c>
      <c r="R19" s="7"/>
      <c r="S19" s="7"/>
      <c r="T19" s="7">
        <v>1.0</v>
      </c>
      <c r="U19" s="39">
        <f t="shared" si="5"/>
        <v>7</v>
      </c>
      <c r="V19" s="1"/>
      <c r="W19" s="1"/>
      <c r="X19" s="7">
        <v>1.0</v>
      </c>
      <c r="Y19" s="39">
        <f t="shared" si="6"/>
        <v>7</v>
      </c>
      <c r="Z19" s="7">
        <v>1.0</v>
      </c>
      <c r="AA19" s="7">
        <v>1.0</v>
      </c>
      <c r="AB19" s="7">
        <v>1.0</v>
      </c>
      <c r="AC19" s="39">
        <f t="shared" si="7"/>
        <v>5</v>
      </c>
      <c r="AD19" s="7">
        <v>1.0</v>
      </c>
      <c r="AE19" s="7">
        <v>1.0</v>
      </c>
      <c r="AF19" s="7">
        <v>1.0</v>
      </c>
      <c r="AG19" s="39">
        <f t="shared" si="8"/>
        <v>5</v>
      </c>
      <c r="AH19" s="7"/>
      <c r="AI19" s="7"/>
      <c r="AJ19" s="7"/>
      <c r="AK19" s="39">
        <f t="shared" si="9"/>
        <v>0</v>
      </c>
      <c r="AL19" s="4"/>
      <c r="AM19" s="7"/>
      <c r="AN19" s="7"/>
      <c r="AO19" s="39">
        <f t="shared" si="10"/>
        <v>0</v>
      </c>
      <c r="AP19" s="7"/>
      <c r="AQ19" s="7"/>
      <c r="AR19" s="7"/>
      <c r="AS19" s="39">
        <f t="shared" si="11"/>
        <v>0</v>
      </c>
      <c r="AT19" s="7"/>
      <c r="AU19" s="7"/>
      <c r="AV19" s="7"/>
      <c r="AW19" s="39">
        <f t="shared" si="12"/>
        <v>0</v>
      </c>
      <c r="AX19" s="7"/>
      <c r="AY19" s="7"/>
      <c r="AZ19" s="7"/>
      <c r="BA19" s="39">
        <f t="shared" si="13"/>
        <v>0</v>
      </c>
      <c r="BB19" s="7"/>
      <c r="BC19" s="7"/>
      <c r="BD19" s="7"/>
      <c r="BE19" s="39">
        <f t="shared" si="14"/>
        <v>0</v>
      </c>
      <c r="BF19" s="7"/>
      <c r="BG19" s="7"/>
      <c r="BH19" s="7"/>
      <c r="BI19" s="39">
        <f t="shared" si="15"/>
        <v>0</v>
      </c>
      <c r="BJ19" s="7"/>
      <c r="BK19" s="7"/>
      <c r="BL19" s="7"/>
      <c r="BM19" s="39">
        <f t="shared" si="16"/>
        <v>0</v>
      </c>
      <c r="BN19" s="7"/>
      <c r="BO19" s="7"/>
      <c r="BP19" s="7"/>
      <c r="BQ19" s="39">
        <f t="shared" si="17"/>
        <v>0</v>
      </c>
      <c r="BR19" s="7"/>
      <c r="BS19" s="7"/>
      <c r="BT19" s="7"/>
      <c r="BU19" s="39">
        <f t="shared" si="18"/>
        <v>0</v>
      </c>
      <c r="BV19" s="7"/>
      <c r="BW19" s="7"/>
      <c r="BX19" s="7"/>
      <c r="BY19" s="39">
        <f t="shared" si="19"/>
        <v>0</v>
      </c>
      <c r="BZ19" s="7"/>
      <c r="CA19" s="7"/>
      <c r="CB19" s="7"/>
      <c r="CC19" s="39">
        <f t="shared" si="20"/>
        <v>0</v>
      </c>
      <c r="CD19" s="7">
        <v>1.0</v>
      </c>
      <c r="CE19" s="7">
        <v>1.0</v>
      </c>
      <c r="CF19" s="7">
        <v>1.0</v>
      </c>
      <c r="CG19" s="39">
        <f t="shared" si="21"/>
        <v>5</v>
      </c>
      <c r="CH19" s="7">
        <v>1.0</v>
      </c>
      <c r="CI19" s="7">
        <v>1.0</v>
      </c>
      <c r="CJ19" s="7"/>
      <c r="CK19" s="39">
        <f t="shared" si="22"/>
        <v>3</v>
      </c>
      <c r="CL19" s="7">
        <v>1.0</v>
      </c>
      <c r="CM19" s="7">
        <v>1.0</v>
      </c>
      <c r="CN19" s="7">
        <v>1.0</v>
      </c>
      <c r="CO19" s="39">
        <f t="shared" si="23"/>
        <v>5</v>
      </c>
      <c r="CP19" s="7">
        <v>1.0</v>
      </c>
      <c r="CQ19" s="7">
        <v>1.0</v>
      </c>
      <c r="CR19" s="7"/>
      <c r="CS19" s="39">
        <f t="shared" si="24"/>
        <v>3</v>
      </c>
      <c r="CT19" s="7">
        <v>1.0</v>
      </c>
      <c r="CU19" s="7">
        <v>1.0</v>
      </c>
      <c r="CV19" s="7"/>
      <c r="CW19" s="39">
        <f t="shared" si="25"/>
        <v>3</v>
      </c>
      <c r="CX19" s="7">
        <v>1.0</v>
      </c>
      <c r="CY19" s="7">
        <v>1.0</v>
      </c>
      <c r="CZ19" s="7"/>
      <c r="DA19" s="39">
        <f t="shared" si="26"/>
        <v>3</v>
      </c>
      <c r="DB19" s="7">
        <v>1.0</v>
      </c>
      <c r="DC19" s="7">
        <v>1.0</v>
      </c>
      <c r="DD19" s="7"/>
      <c r="DE19" s="39">
        <f t="shared" si="27"/>
        <v>3</v>
      </c>
      <c r="DF19" s="7">
        <v>1.0</v>
      </c>
      <c r="DG19" s="7">
        <v>1.0</v>
      </c>
      <c r="DH19" s="7"/>
      <c r="DI19" s="39">
        <f t="shared" si="28"/>
        <v>3</v>
      </c>
      <c r="DJ19" s="7"/>
      <c r="DK19" s="7"/>
      <c r="DL19" s="7"/>
      <c r="DM19" s="39">
        <f t="shared" si="29"/>
        <v>0</v>
      </c>
      <c r="DN19" s="7"/>
      <c r="DO19" s="7"/>
      <c r="DP19" s="7"/>
      <c r="DQ19" s="39">
        <f t="shared" si="30"/>
        <v>0</v>
      </c>
      <c r="DR19" s="7"/>
      <c r="DS19" s="7"/>
      <c r="DT19" s="7"/>
      <c r="DU19" s="39">
        <f t="shared" si="31"/>
        <v>0</v>
      </c>
      <c r="DV19" s="7">
        <v>1.0</v>
      </c>
      <c r="DW19" s="7">
        <v>1.0</v>
      </c>
      <c r="DX19" s="7"/>
      <c r="DY19" s="39">
        <f t="shared" si="32"/>
        <v>3</v>
      </c>
      <c r="DZ19" s="7"/>
      <c r="EA19" s="7"/>
      <c r="EB19" s="7"/>
      <c r="EC19" s="39">
        <f t="shared" si="33"/>
        <v>0</v>
      </c>
      <c r="ED19" s="7">
        <v>1.0</v>
      </c>
      <c r="EE19" s="7">
        <v>1.0</v>
      </c>
      <c r="EF19" s="7"/>
      <c r="EG19" s="39">
        <f t="shared" si="34"/>
        <v>3</v>
      </c>
      <c r="EH19" s="7"/>
      <c r="EI19" s="7"/>
      <c r="EJ19" s="7"/>
      <c r="EK19" s="39">
        <f t="shared" si="35"/>
        <v>0</v>
      </c>
      <c r="EL19" s="7"/>
      <c r="EM19" s="7"/>
      <c r="EN19" s="7"/>
      <c r="EO19" s="39">
        <f t="shared" si="36"/>
        <v>0</v>
      </c>
      <c r="EP19" s="7">
        <v>1.0</v>
      </c>
      <c r="EQ19" s="7">
        <v>1.0</v>
      </c>
      <c r="ER19" s="7"/>
      <c r="ES19" s="39">
        <f t="shared" si="37"/>
        <v>3</v>
      </c>
      <c r="ET19" s="7">
        <v>1.0</v>
      </c>
      <c r="EU19" s="7">
        <v>1.0</v>
      </c>
      <c r="EV19" s="7"/>
      <c r="EW19" s="39">
        <f t="shared" si="38"/>
        <v>3</v>
      </c>
      <c r="EX19" s="7">
        <v>1.0</v>
      </c>
      <c r="EY19" s="7">
        <v>1.0</v>
      </c>
      <c r="EZ19" s="7">
        <v>1.0</v>
      </c>
      <c r="FA19" s="39">
        <f t="shared" si="39"/>
        <v>5</v>
      </c>
      <c r="FB19" s="7">
        <v>1.0</v>
      </c>
      <c r="FC19" s="7">
        <v>1.0</v>
      </c>
      <c r="FD19" s="7"/>
      <c r="FE19" s="39">
        <f t="shared" si="40"/>
        <v>3</v>
      </c>
      <c r="FF19" s="7">
        <v>1.0</v>
      </c>
      <c r="FG19" s="7">
        <v>1.0</v>
      </c>
      <c r="FH19" s="7"/>
      <c r="FI19" s="39">
        <f t="shared" si="41"/>
        <v>3</v>
      </c>
      <c r="FJ19" s="7">
        <v>1.0</v>
      </c>
      <c r="FK19" s="7">
        <v>1.0</v>
      </c>
      <c r="FL19" s="7">
        <v>1.0</v>
      </c>
      <c r="FM19" s="39">
        <f t="shared" si="42"/>
        <v>5</v>
      </c>
      <c r="FN19" s="7"/>
      <c r="FO19" s="7"/>
      <c r="FP19" s="7"/>
      <c r="FQ19" s="39">
        <f t="shared" si="43"/>
        <v>0</v>
      </c>
      <c r="FR19" s="7"/>
      <c r="FS19" s="7"/>
      <c r="FT19" s="7"/>
      <c r="FU19" s="39">
        <f t="shared" si="44"/>
        <v>0</v>
      </c>
      <c r="FV19" s="7"/>
      <c r="FW19" s="7"/>
      <c r="FX19" s="7"/>
      <c r="FY19" s="39">
        <f t="shared" si="45"/>
        <v>0</v>
      </c>
      <c r="FZ19" s="7"/>
      <c r="GA19" s="7"/>
      <c r="GB19" s="7"/>
      <c r="GC19" s="39">
        <f t="shared" si="46"/>
        <v>0</v>
      </c>
      <c r="GD19" s="7"/>
      <c r="GE19" s="7"/>
      <c r="GF19" s="7"/>
      <c r="GG19" s="39">
        <f t="shared" si="47"/>
        <v>0</v>
      </c>
      <c r="GH19" s="7"/>
      <c r="GI19" s="7"/>
      <c r="GJ19" s="7"/>
      <c r="GK19" s="39">
        <f t="shared" si="48"/>
        <v>0</v>
      </c>
      <c r="GL19" s="7"/>
      <c r="GM19" s="7"/>
      <c r="GN19" s="7"/>
      <c r="GO19" s="39">
        <f t="shared" si="49"/>
        <v>0</v>
      </c>
      <c r="GP19" s="7">
        <v>1.0</v>
      </c>
      <c r="GQ19" s="7">
        <v>1.0</v>
      </c>
      <c r="GR19" s="7"/>
      <c r="GS19" s="39">
        <f t="shared" si="50"/>
        <v>3</v>
      </c>
      <c r="GT19" s="7"/>
      <c r="GU19" s="7"/>
      <c r="GV19" s="7"/>
      <c r="GW19" s="39">
        <f t="shared" si="51"/>
        <v>0</v>
      </c>
      <c r="GX19" s="7"/>
      <c r="GY19" s="7"/>
      <c r="GZ19" s="7"/>
      <c r="HA19" s="39">
        <f t="shared" si="52"/>
        <v>0</v>
      </c>
    </row>
    <row r="20">
      <c r="A20" s="20" t="s">
        <v>42</v>
      </c>
      <c r="B20" s="21" t="s">
        <v>124</v>
      </c>
      <c r="C20" s="1">
        <f t="shared" si="1"/>
        <v>18</v>
      </c>
      <c r="D20" s="15">
        <v>0.03</v>
      </c>
      <c r="E20" s="37">
        <v>90.64</v>
      </c>
      <c r="F20" s="4"/>
      <c r="G20" s="7"/>
      <c r="H20" s="7"/>
      <c r="I20" s="39">
        <f t="shared" si="2"/>
        <v>0</v>
      </c>
      <c r="J20" s="4"/>
      <c r="K20" s="7"/>
      <c r="L20" s="7"/>
      <c r="M20" s="39">
        <f t="shared" si="3"/>
        <v>0</v>
      </c>
      <c r="N20" s="1"/>
      <c r="O20" s="1"/>
      <c r="P20" s="1"/>
      <c r="Q20" s="39">
        <f t="shared" si="4"/>
        <v>0</v>
      </c>
      <c r="R20" s="1"/>
      <c r="S20" s="1"/>
      <c r="T20" s="1"/>
      <c r="U20" s="39">
        <f t="shared" si="5"/>
        <v>0</v>
      </c>
      <c r="V20" s="1"/>
      <c r="W20" s="1"/>
      <c r="X20" s="1"/>
      <c r="Y20" s="39">
        <f t="shared" si="6"/>
        <v>0</v>
      </c>
      <c r="Z20" s="1"/>
      <c r="AA20" s="1"/>
      <c r="AB20" s="1"/>
      <c r="AC20" s="39">
        <f t="shared" si="7"/>
        <v>0</v>
      </c>
      <c r="AD20" s="7"/>
      <c r="AE20" s="7"/>
      <c r="AF20" s="7"/>
      <c r="AG20" s="39">
        <f t="shared" si="8"/>
        <v>0</v>
      </c>
      <c r="AH20" s="7"/>
      <c r="AI20" s="7"/>
      <c r="AJ20" s="7"/>
      <c r="AK20" s="39">
        <f t="shared" si="9"/>
        <v>0</v>
      </c>
      <c r="AL20" s="4"/>
      <c r="AM20" s="7"/>
      <c r="AN20" s="7"/>
      <c r="AO20" s="39">
        <f t="shared" si="10"/>
        <v>0</v>
      </c>
      <c r="AP20" s="7"/>
      <c r="AQ20" s="7"/>
      <c r="AR20" s="7"/>
      <c r="AS20" s="39">
        <f t="shared" si="11"/>
        <v>0</v>
      </c>
      <c r="AT20" s="7"/>
      <c r="AU20" s="7"/>
      <c r="AV20" s="7"/>
      <c r="AW20" s="39">
        <f t="shared" si="12"/>
        <v>0</v>
      </c>
      <c r="AX20" s="7"/>
      <c r="AY20" s="7"/>
      <c r="AZ20" s="7"/>
      <c r="BA20" s="39">
        <f t="shared" si="13"/>
        <v>0</v>
      </c>
      <c r="BB20" s="7"/>
      <c r="BC20" s="7"/>
      <c r="BD20" s="7"/>
      <c r="BE20" s="39">
        <f t="shared" si="14"/>
        <v>0</v>
      </c>
      <c r="BF20" s="7"/>
      <c r="BG20" s="7"/>
      <c r="BH20" s="7"/>
      <c r="BI20" s="39">
        <f t="shared" si="15"/>
        <v>0</v>
      </c>
      <c r="BJ20" s="7"/>
      <c r="BK20" s="7"/>
      <c r="BL20" s="7"/>
      <c r="BM20" s="39">
        <f t="shared" si="16"/>
        <v>0</v>
      </c>
      <c r="BN20" s="7"/>
      <c r="BO20" s="7"/>
      <c r="BP20" s="7"/>
      <c r="BQ20" s="39">
        <f t="shared" si="17"/>
        <v>0</v>
      </c>
      <c r="BR20" s="7"/>
      <c r="BS20" s="7"/>
      <c r="BT20" s="7"/>
      <c r="BU20" s="39">
        <f t="shared" si="18"/>
        <v>0</v>
      </c>
      <c r="BV20" s="7"/>
      <c r="BW20" s="7"/>
      <c r="BX20" s="7"/>
      <c r="BY20" s="39">
        <f t="shared" si="19"/>
        <v>0</v>
      </c>
      <c r="BZ20" s="7"/>
      <c r="CA20" s="7"/>
      <c r="CB20" s="7"/>
      <c r="CC20" s="39">
        <f t="shared" si="20"/>
        <v>0</v>
      </c>
      <c r="CD20" s="7"/>
      <c r="CE20" s="7"/>
      <c r="CF20" s="7"/>
      <c r="CG20" s="39">
        <f t="shared" si="21"/>
        <v>0</v>
      </c>
      <c r="CH20" s="7"/>
      <c r="CI20" s="7"/>
      <c r="CJ20" s="7"/>
      <c r="CK20" s="39">
        <f t="shared" si="22"/>
        <v>0</v>
      </c>
      <c r="CL20" s="7"/>
      <c r="CM20" s="7"/>
      <c r="CN20" s="7"/>
      <c r="CO20" s="39">
        <f t="shared" si="23"/>
        <v>0</v>
      </c>
      <c r="CP20" s="7"/>
      <c r="CQ20" s="7"/>
      <c r="CR20" s="7"/>
      <c r="CS20" s="39">
        <f t="shared" si="24"/>
        <v>0</v>
      </c>
      <c r="CT20" s="7"/>
      <c r="CU20" s="7"/>
      <c r="CV20" s="7"/>
      <c r="CW20" s="39">
        <f t="shared" si="25"/>
        <v>0</v>
      </c>
      <c r="CX20" s="7"/>
      <c r="CY20" s="7"/>
      <c r="CZ20" s="7"/>
      <c r="DA20" s="39">
        <f t="shared" si="26"/>
        <v>0</v>
      </c>
      <c r="DB20" s="7">
        <v>1.0</v>
      </c>
      <c r="DC20" s="7">
        <v>1.0</v>
      </c>
      <c r="DD20" s="7">
        <v>1.0</v>
      </c>
      <c r="DE20" s="39">
        <f t="shared" si="27"/>
        <v>5</v>
      </c>
      <c r="DF20" s="7">
        <v>1.0</v>
      </c>
      <c r="DG20" s="7">
        <v>1.0</v>
      </c>
      <c r="DH20" s="7"/>
      <c r="DI20" s="39">
        <f t="shared" si="28"/>
        <v>3</v>
      </c>
      <c r="DJ20" s="7">
        <v>1.0</v>
      </c>
      <c r="DK20" s="7">
        <v>1.0</v>
      </c>
      <c r="DL20" s="7"/>
      <c r="DM20" s="39">
        <f t="shared" si="29"/>
        <v>3</v>
      </c>
      <c r="DN20" s="7">
        <v>1.0</v>
      </c>
      <c r="DO20" s="7">
        <v>1.0</v>
      </c>
      <c r="DP20" s="7"/>
      <c r="DQ20" s="39">
        <f t="shared" si="30"/>
        <v>3</v>
      </c>
      <c r="DR20" s="7"/>
      <c r="DS20" s="7"/>
      <c r="DT20" s="7"/>
      <c r="DU20" s="39">
        <f t="shared" si="31"/>
        <v>0</v>
      </c>
      <c r="DV20" s="7">
        <v>1.0</v>
      </c>
      <c r="DW20" s="7">
        <v>1.0</v>
      </c>
      <c r="DX20" s="7"/>
      <c r="DY20" s="39">
        <f t="shared" si="32"/>
        <v>3</v>
      </c>
      <c r="DZ20" s="7"/>
      <c r="EA20" s="7"/>
      <c r="EB20" s="7"/>
      <c r="EC20" s="39">
        <f t="shared" si="33"/>
        <v>0</v>
      </c>
      <c r="ED20" s="7">
        <v>1.0</v>
      </c>
      <c r="EE20" s="7">
        <v>1.0</v>
      </c>
      <c r="EF20" s="7"/>
      <c r="EG20" s="39">
        <f t="shared" si="34"/>
        <v>3</v>
      </c>
      <c r="EH20" s="7">
        <v>1.0</v>
      </c>
      <c r="EI20" s="7">
        <v>1.0</v>
      </c>
      <c r="EJ20" s="7"/>
      <c r="EK20" s="39">
        <f t="shared" si="35"/>
        <v>3</v>
      </c>
      <c r="EL20" s="7">
        <v>1.0</v>
      </c>
      <c r="EM20" s="7">
        <v>1.0</v>
      </c>
      <c r="EN20" s="7">
        <v>1.0</v>
      </c>
      <c r="EO20" s="39">
        <f t="shared" si="36"/>
        <v>5</v>
      </c>
      <c r="EP20" s="7">
        <v>1.0</v>
      </c>
      <c r="EQ20" s="7">
        <v>1.0</v>
      </c>
      <c r="ER20" s="7">
        <v>1.0</v>
      </c>
      <c r="ES20" s="39">
        <f t="shared" si="37"/>
        <v>5</v>
      </c>
      <c r="ET20" s="7"/>
      <c r="EU20" s="7"/>
      <c r="EV20" s="7"/>
      <c r="EW20" s="39">
        <f t="shared" si="38"/>
        <v>0</v>
      </c>
      <c r="EX20" s="7">
        <v>1.0</v>
      </c>
      <c r="EY20" s="7">
        <v>1.0</v>
      </c>
      <c r="EZ20" s="7">
        <v>1.0</v>
      </c>
      <c r="FA20" s="39">
        <f t="shared" si="39"/>
        <v>5</v>
      </c>
      <c r="FB20" s="7">
        <v>1.0</v>
      </c>
      <c r="FC20" s="7">
        <v>1.0</v>
      </c>
      <c r="FD20" s="7">
        <v>1.0</v>
      </c>
      <c r="FE20" s="39">
        <f t="shared" si="40"/>
        <v>5</v>
      </c>
      <c r="FF20" s="7">
        <v>1.0</v>
      </c>
      <c r="FG20" s="7">
        <v>1.0</v>
      </c>
      <c r="FH20" s="7">
        <v>1.0</v>
      </c>
      <c r="FI20" s="39">
        <f t="shared" si="41"/>
        <v>5</v>
      </c>
      <c r="FJ20" s="7">
        <v>1.0</v>
      </c>
      <c r="FK20" s="7">
        <v>1.0</v>
      </c>
      <c r="FL20" s="7">
        <v>1.0</v>
      </c>
      <c r="FM20" s="39">
        <f t="shared" si="42"/>
        <v>5</v>
      </c>
      <c r="FN20" s="7"/>
      <c r="FO20" s="7"/>
      <c r="FP20" s="7">
        <v>1.0</v>
      </c>
      <c r="FQ20" s="39">
        <f t="shared" si="43"/>
        <v>7</v>
      </c>
      <c r="FR20" s="7"/>
      <c r="FS20" s="7"/>
      <c r="FT20" s="7">
        <v>1.0</v>
      </c>
      <c r="FU20" s="39">
        <f t="shared" si="44"/>
        <v>7</v>
      </c>
      <c r="FV20" s="7"/>
      <c r="FW20" s="7"/>
      <c r="FX20" s="7"/>
      <c r="FY20" s="39">
        <f t="shared" si="45"/>
        <v>0</v>
      </c>
      <c r="FZ20" s="7"/>
      <c r="GA20" s="7"/>
      <c r="GB20" s="7">
        <v>1.0</v>
      </c>
      <c r="GC20" s="39">
        <f t="shared" si="46"/>
        <v>7</v>
      </c>
      <c r="GD20" s="7"/>
      <c r="GE20" s="7"/>
      <c r="GF20" s="7"/>
      <c r="GG20" s="39">
        <f t="shared" si="47"/>
        <v>0</v>
      </c>
      <c r="GH20" s="7"/>
      <c r="GI20" s="7"/>
      <c r="GJ20" s="7"/>
      <c r="GK20" s="39">
        <f t="shared" si="48"/>
        <v>0</v>
      </c>
      <c r="GL20" s="7"/>
      <c r="GM20" s="7"/>
      <c r="GN20" s="7">
        <v>1.0</v>
      </c>
      <c r="GO20" s="39">
        <f t="shared" si="49"/>
        <v>7</v>
      </c>
      <c r="GP20" s="7"/>
      <c r="GQ20" s="7"/>
      <c r="GR20" s="7"/>
      <c r="GS20" s="39">
        <f t="shared" si="50"/>
        <v>0</v>
      </c>
      <c r="GT20" s="7"/>
      <c r="GU20" s="7"/>
      <c r="GV20" s="7"/>
      <c r="GW20" s="39">
        <f t="shared" si="51"/>
        <v>0</v>
      </c>
      <c r="GX20" s="7"/>
      <c r="GY20" s="7"/>
      <c r="GZ20" s="7">
        <v>1.0</v>
      </c>
      <c r="HA20" s="39">
        <f t="shared" si="52"/>
        <v>7</v>
      </c>
    </row>
    <row r="21">
      <c r="A21" s="20" t="s">
        <v>55</v>
      </c>
      <c r="B21" s="21" t="s">
        <v>69</v>
      </c>
      <c r="C21" s="1">
        <f t="shared" si="1"/>
        <v>19</v>
      </c>
      <c r="D21" s="15">
        <v>0.18</v>
      </c>
      <c r="E21" s="37">
        <v>51.919999999999995</v>
      </c>
      <c r="F21" s="4">
        <v>1.0</v>
      </c>
      <c r="G21" s="7">
        <v>1.0</v>
      </c>
      <c r="H21" s="7">
        <v>1.0</v>
      </c>
      <c r="I21" s="39">
        <f t="shared" si="2"/>
        <v>5</v>
      </c>
      <c r="J21" s="4">
        <v>1.0</v>
      </c>
      <c r="K21" s="7">
        <v>1.0</v>
      </c>
      <c r="L21" s="7"/>
      <c r="M21" s="39">
        <f t="shared" si="3"/>
        <v>3</v>
      </c>
      <c r="N21" s="1"/>
      <c r="O21" s="1"/>
      <c r="P21" s="1"/>
      <c r="Q21" s="39">
        <f t="shared" si="4"/>
        <v>0</v>
      </c>
      <c r="R21" s="7">
        <v>1.0</v>
      </c>
      <c r="S21" s="7">
        <v>1.0</v>
      </c>
      <c r="T21" s="7">
        <v>1.0</v>
      </c>
      <c r="U21" s="39">
        <f t="shared" si="5"/>
        <v>5</v>
      </c>
      <c r="V21" s="1"/>
      <c r="W21" s="1"/>
      <c r="X21" s="1"/>
      <c r="Y21" s="39">
        <f t="shared" si="6"/>
        <v>0</v>
      </c>
      <c r="Z21" s="1"/>
      <c r="AA21" s="1"/>
      <c r="AB21" s="1"/>
      <c r="AC21" s="39">
        <f t="shared" si="7"/>
        <v>0</v>
      </c>
      <c r="AD21" s="7"/>
      <c r="AE21" s="7"/>
      <c r="AF21" s="7"/>
      <c r="AG21" s="39">
        <f t="shared" si="8"/>
        <v>0</v>
      </c>
      <c r="AH21" s="7"/>
      <c r="AI21" s="7"/>
      <c r="AJ21" s="7"/>
      <c r="AK21" s="39">
        <f t="shared" si="9"/>
        <v>0</v>
      </c>
      <c r="AL21" s="4"/>
      <c r="AM21" s="7"/>
      <c r="AN21" s="7"/>
      <c r="AO21" s="39">
        <f t="shared" si="10"/>
        <v>0</v>
      </c>
      <c r="AP21" s="7"/>
      <c r="AQ21" s="7"/>
      <c r="AR21" s="7"/>
      <c r="AS21" s="39">
        <f t="shared" si="11"/>
        <v>0</v>
      </c>
      <c r="AT21" s="7"/>
      <c r="AU21" s="7"/>
      <c r="AV21" s="7"/>
      <c r="AW21" s="39">
        <f t="shared" si="12"/>
        <v>0</v>
      </c>
      <c r="AX21" s="7"/>
      <c r="AY21" s="7"/>
      <c r="AZ21" s="7"/>
      <c r="BA21" s="39">
        <f t="shared" si="13"/>
        <v>0</v>
      </c>
      <c r="BB21" s="7"/>
      <c r="BC21" s="7"/>
      <c r="BD21" s="7"/>
      <c r="BE21" s="39">
        <f t="shared" si="14"/>
        <v>0</v>
      </c>
      <c r="BF21" s="7"/>
      <c r="BG21" s="7"/>
      <c r="BH21" s="7"/>
      <c r="BI21" s="39">
        <f t="shared" si="15"/>
        <v>0</v>
      </c>
      <c r="BJ21" s="7"/>
      <c r="BK21" s="7"/>
      <c r="BL21" s="7"/>
      <c r="BM21" s="39">
        <f t="shared" si="16"/>
        <v>0</v>
      </c>
      <c r="BN21" s="7"/>
      <c r="BO21" s="7"/>
      <c r="BP21" s="7"/>
      <c r="BQ21" s="39">
        <f t="shared" si="17"/>
        <v>0</v>
      </c>
      <c r="BR21" s="7"/>
      <c r="BS21" s="7"/>
      <c r="BT21" s="7"/>
      <c r="BU21" s="39">
        <f t="shared" si="18"/>
        <v>0</v>
      </c>
      <c r="BV21" s="7"/>
      <c r="BW21" s="7"/>
      <c r="BX21" s="7"/>
      <c r="BY21" s="39">
        <f t="shared" si="19"/>
        <v>0</v>
      </c>
      <c r="BZ21" s="7"/>
      <c r="CA21" s="7"/>
      <c r="CB21" s="7"/>
      <c r="CC21" s="39">
        <f t="shared" si="20"/>
        <v>0</v>
      </c>
      <c r="CD21" s="7"/>
      <c r="CE21" s="7"/>
      <c r="CF21" s="7"/>
      <c r="CG21" s="39">
        <f t="shared" si="21"/>
        <v>0</v>
      </c>
      <c r="CH21" s="7">
        <v>1.0</v>
      </c>
      <c r="CI21" s="7">
        <v>1.0</v>
      </c>
      <c r="CJ21" s="7"/>
      <c r="CK21" s="39">
        <f t="shared" si="22"/>
        <v>3</v>
      </c>
      <c r="CL21" s="7">
        <v>1.0</v>
      </c>
      <c r="CM21" s="7">
        <v>1.0</v>
      </c>
      <c r="CN21" s="7"/>
      <c r="CO21" s="39">
        <f t="shared" si="23"/>
        <v>3</v>
      </c>
      <c r="CP21" s="7">
        <v>1.0</v>
      </c>
      <c r="CQ21" s="7">
        <v>1.0</v>
      </c>
      <c r="CR21" s="7">
        <v>1.0</v>
      </c>
      <c r="CS21" s="39">
        <f t="shared" si="24"/>
        <v>5</v>
      </c>
      <c r="CT21" s="7">
        <v>1.0</v>
      </c>
      <c r="CU21" s="7">
        <v>1.0</v>
      </c>
      <c r="CV21" s="7"/>
      <c r="CW21" s="39">
        <f t="shared" si="25"/>
        <v>3</v>
      </c>
      <c r="CX21" s="7"/>
      <c r="CY21" s="7"/>
      <c r="CZ21" s="7"/>
      <c r="DA21" s="39">
        <f t="shared" si="26"/>
        <v>0</v>
      </c>
      <c r="DB21" s="7">
        <v>1.0</v>
      </c>
      <c r="DC21" s="7">
        <v>1.0</v>
      </c>
      <c r="DD21" s="7">
        <v>1.0</v>
      </c>
      <c r="DE21" s="39">
        <f t="shared" si="27"/>
        <v>5</v>
      </c>
      <c r="DF21" s="7">
        <v>1.0</v>
      </c>
      <c r="DG21" s="7">
        <v>1.0</v>
      </c>
      <c r="DH21" s="7"/>
      <c r="DI21" s="39">
        <f t="shared" si="28"/>
        <v>3</v>
      </c>
      <c r="DJ21" s="7"/>
      <c r="DK21" s="7"/>
      <c r="DL21" s="7"/>
      <c r="DM21" s="39">
        <f t="shared" si="29"/>
        <v>0</v>
      </c>
      <c r="DN21" s="7"/>
      <c r="DO21" s="7"/>
      <c r="DP21" s="7"/>
      <c r="DQ21" s="39">
        <f t="shared" si="30"/>
        <v>0</v>
      </c>
      <c r="DR21" s="7"/>
      <c r="DS21" s="7"/>
      <c r="DT21" s="7"/>
      <c r="DU21" s="39">
        <f t="shared" si="31"/>
        <v>0</v>
      </c>
      <c r="DV21" s="7"/>
      <c r="DW21" s="7"/>
      <c r="DX21" s="7"/>
      <c r="DY21" s="39">
        <f t="shared" si="32"/>
        <v>0</v>
      </c>
      <c r="DZ21" s="7"/>
      <c r="EA21" s="7"/>
      <c r="EB21" s="7"/>
      <c r="EC21" s="39">
        <f t="shared" si="33"/>
        <v>0</v>
      </c>
      <c r="ED21" s="7"/>
      <c r="EE21" s="7"/>
      <c r="EF21" s="7"/>
      <c r="EG21" s="39">
        <f t="shared" si="34"/>
        <v>0</v>
      </c>
      <c r="EH21" s="7"/>
      <c r="EI21" s="7"/>
      <c r="EJ21" s="7"/>
      <c r="EK21" s="39">
        <f t="shared" si="35"/>
        <v>0</v>
      </c>
      <c r="EL21" s="7"/>
      <c r="EM21" s="7"/>
      <c r="EN21" s="7"/>
      <c r="EO21" s="39">
        <f t="shared" si="36"/>
        <v>0</v>
      </c>
      <c r="EP21" s="7"/>
      <c r="EQ21" s="7"/>
      <c r="ER21" s="7"/>
      <c r="ES21" s="39">
        <f t="shared" si="37"/>
        <v>0</v>
      </c>
      <c r="ET21" s="7"/>
      <c r="EU21" s="7"/>
      <c r="EV21" s="7"/>
      <c r="EW21" s="39">
        <f t="shared" si="38"/>
        <v>0</v>
      </c>
      <c r="EX21" s="7">
        <v>1.0</v>
      </c>
      <c r="EY21" s="7">
        <v>1.0</v>
      </c>
      <c r="EZ21" s="7"/>
      <c r="FA21" s="39">
        <f t="shared" si="39"/>
        <v>3</v>
      </c>
      <c r="FB21" s="7"/>
      <c r="FC21" s="7"/>
      <c r="FD21" s="7"/>
      <c r="FE21" s="39">
        <f t="shared" si="40"/>
        <v>0</v>
      </c>
      <c r="FF21" s="7"/>
      <c r="FG21" s="7"/>
      <c r="FH21" s="7"/>
      <c r="FI21" s="39">
        <f t="shared" si="41"/>
        <v>0</v>
      </c>
      <c r="FJ21" s="7">
        <v>1.0</v>
      </c>
      <c r="FK21" s="7">
        <v>1.0</v>
      </c>
      <c r="FL21" s="7"/>
      <c r="FM21" s="39">
        <f t="shared" si="42"/>
        <v>3</v>
      </c>
      <c r="FN21" s="7"/>
      <c r="FO21" s="7"/>
      <c r="FP21" s="7"/>
      <c r="FQ21" s="39">
        <f t="shared" si="43"/>
        <v>0</v>
      </c>
      <c r="FR21" s="7"/>
      <c r="FS21" s="7"/>
      <c r="FT21" s="7"/>
      <c r="FU21" s="39">
        <f t="shared" si="44"/>
        <v>0</v>
      </c>
      <c r="FV21" s="7"/>
      <c r="FW21" s="7"/>
      <c r="FX21" s="7"/>
      <c r="FY21" s="39">
        <f t="shared" si="45"/>
        <v>0</v>
      </c>
      <c r="FZ21" s="7"/>
      <c r="GA21" s="7"/>
      <c r="GB21" s="7"/>
      <c r="GC21" s="39">
        <f t="shared" si="46"/>
        <v>0</v>
      </c>
      <c r="GD21" s="7"/>
      <c r="GE21" s="7"/>
      <c r="GF21" s="7"/>
      <c r="GG21" s="39">
        <f t="shared" si="47"/>
        <v>0</v>
      </c>
      <c r="GH21" s="7"/>
      <c r="GI21" s="7"/>
      <c r="GJ21" s="7"/>
      <c r="GK21" s="39">
        <f t="shared" si="48"/>
        <v>0</v>
      </c>
      <c r="GL21" s="7"/>
      <c r="GM21" s="7"/>
      <c r="GN21" s="7"/>
      <c r="GO21" s="39">
        <f t="shared" si="49"/>
        <v>0</v>
      </c>
      <c r="GP21" s="7">
        <v>1.0</v>
      </c>
      <c r="GQ21" s="7">
        <v>1.0</v>
      </c>
      <c r="GR21" s="7"/>
      <c r="GS21" s="39">
        <f t="shared" si="50"/>
        <v>3</v>
      </c>
      <c r="GT21" s="7"/>
      <c r="GU21" s="7"/>
      <c r="GV21" s="7"/>
      <c r="GW21" s="39">
        <f t="shared" si="51"/>
        <v>0</v>
      </c>
      <c r="GX21" s="7"/>
      <c r="GY21" s="7"/>
      <c r="GZ21" s="7"/>
      <c r="HA21" s="39">
        <f t="shared" si="52"/>
        <v>0</v>
      </c>
    </row>
    <row r="22">
      <c r="A22" s="4" t="s">
        <v>59</v>
      </c>
      <c r="B22" s="7" t="s">
        <v>60</v>
      </c>
      <c r="C22" s="30">
        <f t="shared" si="1"/>
        <v>20</v>
      </c>
      <c r="D22" s="15">
        <v>0.2</v>
      </c>
      <c r="E22" s="37">
        <v>48.0</v>
      </c>
      <c r="F22" s="4"/>
      <c r="G22" s="7"/>
      <c r="H22" s="7">
        <v>1.0</v>
      </c>
      <c r="I22" s="39">
        <f t="shared" si="2"/>
        <v>7</v>
      </c>
      <c r="J22" s="161"/>
      <c r="K22" s="1"/>
      <c r="L22" s="1"/>
      <c r="M22" s="39">
        <f t="shared" si="3"/>
        <v>0</v>
      </c>
      <c r="N22" s="1"/>
      <c r="O22" s="1"/>
      <c r="P22" s="1"/>
      <c r="Q22" s="39">
        <f t="shared" si="4"/>
        <v>0</v>
      </c>
      <c r="R22" s="7">
        <v>1.0</v>
      </c>
      <c r="S22" s="7">
        <v>1.0</v>
      </c>
      <c r="T22" s="7">
        <v>1.0</v>
      </c>
      <c r="U22" s="39">
        <f t="shared" si="5"/>
        <v>5</v>
      </c>
      <c r="V22" s="7">
        <v>1.0</v>
      </c>
      <c r="W22" s="7">
        <v>1.0</v>
      </c>
      <c r="X22" s="7">
        <v>1.0</v>
      </c>
      <c r="Y22" s="39">
        <f t="shared" si="6"/>
        <v>5</v>
      </c>
      <c r="Z22" s="7">
        <v>1.0</v>
      </c>
      <c r="AA22" s="7">
        <v>1.0</v>
      </c>
      <c r="AB22" s="1"/>
      <c r="AC22" s="39">
        <f t="shared" si="7"/>
        <v>3</v>
      </c>
      <c r="AD22" s="7">
        <v>1.0</v>
      </c>
      <c r="AE22" s="7">
        <v>1.0</v>
      </c>
      <c r="AF22" s="7">
        <v>1.0</v>
      </c>
      <c r="AG22" s="39">
        <f t="shared" si="8"/>
        <v>5</v>
      </c>
      <c r="AH22" s="7">
        <v>1.0</v>
      </c>
      <c r="AI22" s="7">
        <v>1.0</v>
      </c>
      <c r="AJ22" s="7">
        <v>1.0</v>
      </c>
      <c r="AK22" s="39">
        <f t="shared" si="9"/>
        <v>5</v>
      </c>
      <c r="AL22" s="4">
        <v>1.0</v>
      </c>
      <c r="AM22" s="7">
        <v>1.0</v>
      </c>
      <c r="AN22" s="7">
        <v>1.0</v>
      </c>
      <c r="AO22" s="39">
        <f t="shared" si="10"/>
        <v>5</v>
      </c>
      <c r="AP22" s="7">
        <v>1.0</v>
      </c>
      <c r="AQ22" s="7">
        <v>1.0</v>
      </c>
      <c r="AR22" s="7">
        <v>1.0</v>
      </c>
      <c r="AS22" s="39">
        <f t="shared" si="11"/>
        <v>5</v>
      </c>
      <c r="AT22" s="7"/>
      <c r="AU22" s="7"/>
      <c r="AV22" s="7"/>
      <c r="AW22" s="39">
        <f t="shared" si="12"/>
        <v>0</v>
      </c>
      <c r="AX22" s="7"/>
      <c r="AY22" s="7"/>
      <c r="AZ22" s="7"/>
      <c r="BA22" s="39">
        <f t="shared" si="13"/>
        <v>0</v>
      </c>
      <c r="BB22" s="7"/>
      <c r="BC22" s="7"/>
      <c r="BD22" s="7"/>
      <c r="BE22" s="39">
        <f t="shared" si="14"/>
        <v>0</v>
      </c>
      <c r="BF22" s="7"/>
      <c r="BG22" s="7"/>
      <c r="BH22" s="7"/>
      <c r="BI22" s="39">
        <f t="shared" si="15"/>
        <v>0</v>
      </c>
      <c r="BJ22" s="7"/>
      <c r="BK22" s="7"/>
      <c r="BL22" s="7"/>
      <c r="BM22" s="39">
        <f t="shared" si="16"/>
        <v>0</v>
      </c>
      <c r="BN22" s="7"/>
      <c r="BO22" s="7"/>
      <c r="BP22" s="7"/>
      <c r="BQ22" s="39">
        <f t="shared" si="17"/>
        <v>0</v>
      </c>
      <c r="BR22" s="7"/>
      <c r="BS22" s="7"/>
      <c r="BT22" s="7"/>
      <c r="BU22" s="39">
        <f t="shared" si="18"/>
        <v>0</v>
      </c>
      <c r="BV22" s="7"/>
      <c r="BW22" s="7"/>
      <c r="BX22" s="7"/>
      <c r="BY22" s="39">
        <f t="shared" si="19"/>
        <v>0</v>
      </c>
      <c r="BZ22" s="7"/>
      <c r="CA22" s="7"/>
      <c r="CB22" s="7"/>
      <c r="CC22" s="39">
        <f t="shared" si="20"/>
        <v>0</v>
      </c>
      <c r="CD22" s="7"/>
      <c r="CE22" s="7"/>
      <c r="CF22" s="7"/>
      <c r="CG22" s="39">
        <f t="shared" si="21"/>
        <v>0</v>
      </c>
      <c r="CH22" s="7"/>
      <c r="CI22" s="7"/>
      <c r="CJ22" s="7"/>
      <c r="CK22" s="39">
        <f t="shared" si="22"/>
        <v>0</v>
      </c>
      <c r="CL22" s="7"/>
      <c r="CM22" s="7"/>
      <c r="CN22" s="7"/>
      <c r="CO22" s="39">
        <f t="shared" si="23"/>
        <v>0</v>
      </c>
      <c r="CP22" s="7"/>
      <c r="CQ22" s="7"/>
      <c r="CR22" s="7"/>
      <c r="CS22" s="39">
        <f t="shared" si="24"/>
        <v>0</v>
      </c>
      <c r="CT22" s="7"/>
      <c r="CU22" s="7"/>
      <c r="CV22" s="7"/>
      <c r="CW22" s="39">
        <f t="shared" si="25"/>
        <v>0</v>
      </c>
      <c r="CX22" s="7"/>
      <c r="CY22" s="7"/>
      <c r="CZ22" s="7"/>
      <c r="DA22" s="39">
        <f t="shared" si="26"/>
        <v>0</v>
      </c>
      <c r="DB22" s="7"/>
      <c r="DC22" s="7"/>
      <c r="DD22" s="7"/>
      <c r="DE22" s="39">
        <f t="shared" si="27"/>
        <v>0</v>
      </c>
      <c r="DF22" s="7"/>
      <c r="DG22" s="7"/>
      <c r="DH22" s="7"/>
      <c r="DI22" s="39">
        <f t="shared" si="28"/>
        <v>0</v>
      </c>
      <c r="DJ22" s="7"/>
      <c r="DK22" s="7"/>
      <c r="DL22" s="7"/>
      <c r="DM22" s="39">
        <f t="shared" si="29"/>
        <v>0</v>
      </c>
      <c r="DN22" s="7"/>
      <c r="DO22" s="7"/>
      <c r="DP22" s="7"/>
      <c r="DQ22" s="39">
        <f t="shared" si="30"/>
        <v>0</v>
      </c>
      <c r="DR22" s="7"/>
      <c r="DS22" s="7"/>
      <c r="DT22" s="7"/>
      <c r="DU22" s="39">
        <f t="shared" si="31"/>
        <v>0</v>
      </c>
      <c r="DV22" s="7"/>
      <c r="DW22" s="7"/>
      <c r="DX22" s="7"/>
      <c r="DY22" s="39">
        <f t="shared" si="32"/>
        <v>0</v>
      </c>
      <c r="DZ22" s="7"/>
      <c r="EA22" s="7"/>
      <c r="EB22" s="7"/>
      <c r="EC22" s="39">
        <f t="shared" si="33"/>
        <v>0</v>
      </c>
      <c r="ED22" s="7"/>
      <c r="EE22" s="7"/>
      <c r="EF22" s="7"/>
      <c r="EG22" s="39">
        <f t="shared" si="34"/>
        <v>0</v>
      </c>
      <c r="EH22" s="7"/>
      <c r="EI22" s="7"/>
      <c r="EJ22" s="7"/>
      <c r="EK22" s="39">
        <f t="shared" si="35"/>
        <v>0</v>
      </c>
      <c r="EL22" s="7"/>
      <c r="EM22" s="7"/>
      <c r="EN22" s="7"/>
      <c r="EO22" s="39">
        <f t="shared" si="36"/>
        <v>0</v>
      </c>
      <c r="EP22" s="7"/>
      <c r="EQ22" s="7"/>
      <c r="ER22" s="7"/>
      <c r="ES22" s="39">
        <f t="shared" si="37"/>
        <v>0</v>
      </c>
      <c r="ET22" s="7"/>
      <c r="EU22" s="7"/>
      <c r="EV22" s="7"/>
      <c r="EW22" s="39">
        <f t="shared" si="38"/>
        <v>0</v>
      </c>
      <c r="EX22" s="7"/>
      <c r="EY22" s="7"/>
      <c r="EZ22" s="7"/>
      <c r="FA22" s="39">
        <f t="shared" si="39"/>
        <v>0</v>
      </c>
      <c r="FB22" s="7"/>
      <c r="FC22" s="7"/>
      <c r="FD22" s="7"/>
      <c r="FE22" s="39">
        <f t="shared" si="40"/>
        <v>0</v>
      </c>
      <c r="FF22" s="7"/>
      <c r="FG22" s="7"/>
      <c r="FH22" s="7"/>
      <c r="FI22" s="39">
        <f t="shared" si="41"/>
        <v>0</v>
      </c>
      <c r="FJ22" s="7"/>
      <c r="FK22" s="7"/>
      <c r="FL22" s="7"/>
      <c r="FM22" s="39">
        <f t="shared" si="42"/>
        <v>0</v>
      </c>
      <c r="FN22" s="7"/>
      <c r="FO22" s="7"/>
      <c r="FP22" s="7"/>
      <c r="FQ22" s="39">
        <f t="shared" si="43"/>
        <v>0</v>
      </c>
      <c r="FR22" s="7"/>
      <c r="FS22" s="7"/>
      <c r="FT22" s="7"/>
      <c r="FU22" s="39">
        <f t="shared" si="44"/>
        <v>0</v>
      </c>
      <c r="FV22" s="7"/>
      <c r="FW22" s="7"/>
      <c r="FX22" s="7"/>
      <c r="FY22" s="39">
        <f t="shared" si="45"/>
        <v>0</v>
      </c>
      <c r="FZ22" s="7"/>
      <c r="GA22" s="7"/>
      <c r="GB22" s="7"/>
      <c r="GC22" s="39">
        <f t="shared" si="46"/>
        <v>0</v>
      </c>
      <c r="GD22" s="7"/>
      <c r="GE22" s="7"/>
      <c r="GF22" s="7"/>
      <c r="GG22" s="39">
        <f t="shared" si="47"/>
        <v>0</v>
      </c>
      <c r="GH22" s="7"/>
      <c r="GI22" s="7"/>
      <c r="GJ22" s="7"/>
      <c r="GK22" s="39">
        <f t="shared" si="48"/>
        <v>0</v>
      </c>
      <c r="GL22" s="7"/>
      <c r="GM22" s="7"/>
      <c r="GN22" s="7"/>
      <c r="GO22" s="39">
        <f t="shared" si="49"/>
        <v>0</v>
      </c>
      <c r="GP22" s="7"/>
      <c r="GQ22" s="7"/>
      <c r="GR22" s="7"/>
      <c r="GS22" s="39">
        <f t="shared" si="50"/>
        <v>0</v>
      </c>
      <c r="GT22" s="7"/>
      <c r="GU22" s="7"/>
      <c r="GV22" s="7"/>
      <c r="GW22" s="39">
        <f t="shared" si="51"/>
        <v>0</v>
      </c>
      <c r="GX22" s="7"/>
      <c r="GY22" s="7"/>
      <c r="GZ22" s="7"/>
      <c r="HA22" s="39">
        <f t="shared" si="52"/>
        <v>0</v>
      </c>
    </row>
    <row r="23">
      <c r="A23" s="20" t="s">
        <v>56</v>
      </c>
      <c r="B23" s="21" t="s">
        <v>57</v>
      </c>
      <c r="C23" s="1">
        <f t="shared" si="1"/>
        <v>21</v>
      </c>
      <c r="D23" s="15">
        <v>0.21999999999999997</v>
      </c>
      <c r="E23" s="37">
        <v>47.58</v>
      </c>
      <c r="F23" s="4"/>
      <c r="G23" s="7"/>
      <c r="H23" s="1"/>
      <c r="I23" s="39">
        <f t="shared" si="2"/>
        <v>0</v>
      </c>
      <c r="J23" s="161"/>
      <c r="K23" s="1"/>
      <c r="L23" s="1"/>
      <c r="M23" s="39">
        <f t="shared" si="3"/>
        <v>0</v>
      </c>
      <c r="N23" s="1"/>
      <c r="O23" s="1"/>
      <c r="P23" s="1"/>
      <c r="Q23" s="39">
        <f t="shared" si="4"/>
        <v>0</v>
      </c>
      <c r="R23" s="1"/>
      <c r="S23" s="1"/>
      <c r="T23" s="1"/>
      <c r="U23" s="39">
        <f t="shared" si="5"/>
        <v>0</v>
      </c>
      <c r="V23" s="1"/>
      <c r="W23" s="1"/>
      <c r="X23" s="1"/>
      <c r="Y23" s="39">
        <f t="shared" si="6"/>
        <v>0</v>
      </c>
      <c r="Z23" s="1"/>
      <c r="AA23" s="1"/>
      <c r="AB23" s="7">
        <v>1.0</v>
      </c>
      <c r="AC23" s="39">
        <f t="shared" si="7"/>
        <v>7</v>
      </c>
      <c r="AD23" s="7"/>
      <c r="AE23" s="7"/>
      <c r="AF23" s="7">
        <v>1.0</v>
      </c>
      <c r="AG23" s="39">
        <f t="shared" si="8"/>
        <v>7</v>
      </c>
      <c r="AH23" s="7"/>
      <c r="AI23" s="7"/>
      <c r="AJ23" s="7"/>
      <c r="AK23" s="39">
        <f t="shared" si="9"/>
        <v>0</v>
      </c>
      <c r="AL23" s="4"/>
      <c r="AM23" s="7"/>
      <c r="AN23" s="7">
        <v>1.0</v>
      </c>
      <c r="AO23" s="39">
        <f t="shared" si="10"/>
        <v>7</v>
      </c>
      <c r="AP23" s="7"/>
      <c r="AQ23" s="7"/>
      <c r="AR23" s="7"/>
      <c r="AS23" s="39">
        <f t="shared" si="11"/>
        <v>0</v>
      </c>
      <c r="AT23" s="7"/>
      <c r="AU23" s="7"/>
      <c r="AV23" s="7"/>
      <c r="AW23" s="39">
        <f t="shared" si="12"/>
        <v>0</v>
      </c>
      <c r="AX23" s="7"/>
      <c r="AY23" s="7"/>
      <c r="AZ23" s="7"/>
      <c r="BA23" s="39">
        <f t="shared" si="13"/>
        <v>0</v>
      </c>
      <c r="BB23" s="7">
        <v>1.0</v>
      </c>
      <c r="BC23" s="7">
        <v>1.0</v>
      </c>
      <c r="BD23" s="7">
        <v>1.0</v>
      </c>
      <c r="BE23" s="39">
        <f t="shared" si="14"/>
        <v>5</v>
      </c>
      <c r="BF23" s="7"/>
      <c r="BG23" s="7"/>
      <c r="BH23" s="7"/>
      <c r="BI23" s="39">
        <f t="shared" si="15"/>
        <v>0</v>
      </c>
      <c r="BJ23" s="7">
        <v>1.0</v>
      </c>
      <c r="BK23" s="7">
        <v>1.0</v>
      </c>
      <c r="BL23" s="7">
        <v>1.0</v>
      </c>
      <c r="BM23" s="39">
        <f t="shared" si="16"/>
        <v>5</v>
      </c>
      <c r="BN23" s="7">
        <v>1.0</v>
      </c>
      <c r="BO23" s="7">
        <v>1.0</v>
      </c>
      <c r="BP23" s="7">
        <v>1.0</v>
      </c>
      <c r="BQ23" s="39">
        <f t="shared" si="17"/>
        <v>5</v>
      </c>
      <c r="BR23" s="7"/>
      <c r="BS23" s="7"/>
      <c r="BT23" s="7"/>
      <c r="BU23" s="39">
        <f t="shared" si="18"/>
        <v>0</v>
      </c>
      <c r="BV23" s="7"/>
      <c r="BW23" s="7"/>
      <c r="BX23" s="7"/>
      <c r="BY23" s="39">
        <f t="shared" si="19"/>
        <v>0</v>
      </c>
      <c r="BZ23" s="7"/>
      <c r="CA23" s="7"/>
      <c r="CB23" s="7"/>
      <c r="CC23" s="39">
        <f t="shared" si="20"/>
        <v>0</v>
      </c>
      <c r="CD23" s="7"/>
      <c r="CE23" s="7"/>
      <c r="CF23" s="7"/>
      <c r="CG23" s="39">
        <f t="shared" si="21"/>
        <v>0</v>
      </c>
      <c r="CH23" s="7"/>
      <c r="CI23" s="7"/>
      <c r="CJ23" s="7"/>
      <c r="CK23" s="39">
        <f t="shared" si="22"/>
        <v>0</v>
      </c>
      <c r="CL23" s="7"/>
      <c r="CM23" s="7"/>
      <c r="CN23" s="7"/>
      <c r="CO23" s="39">
        <f t="shared" si="23"/>
        <v>0</v>
      </c>
      <c r="CP23" s="7"/>
      <c r="CQ23" s="7"/>
      <c r="CR23" s="7"/>
      <c r="CS23" s="39">
        <f t="shared" si="24"/>
        <v>0</v>
      </c>
      <c r="CT23" s="7"/>
      <c r="CU23" s="7"/>
      <c r="CV23" s="7"/>
      <c r="CW23" s="39">
        <f t="shared" si="25"/>
        <v>0</v>
      </c>
      <c r="CX23" s="7"/>
      <c r="CY23" s="7"/>
      <c r="CZ23" s="7"/>
      <c r="DA23" s="39">
        <f t="shared" si="26"/>
        <v>0</v>
      </c>
      <c r="DB23" s="7"/>
      <c r="DC23" s="7"/>
      <c r="DD23" s="7"/>
      <c r="DE23" s="39">
        <f t="shared" si="27"/>
        <v>0</v>
      </c>
      <c r="DF23" s="7"/>
      <c r="DG23" s="7"/>
      <c r="DH23" s="7"/>
      <c r="DI23" s="39">
        <f t="shared" si="28"/>
        <v>0</v>
      </c>
      <c r="DJ23" s="7"/>
      <c r="DK23" s="7"/>
      <c r="DL23" s="7"/>
      <c r="DM23" s="39">
        <f t="shared" si="29"/>
        <v>0</v>
      </c>
      <c r="DN23" s="7"/>
      <c r="DO23" s="7"/>
      <c r="DP23" s="7"/>
      <c r="DQ23" s="39">
        <f t="shared" si="30"/>
        <v>0</v>
      </c>
      <c r="DR23" s="7"/>
      <c r="DS23" s="7"/>
      <c r="DT23" s="7"/>
      <c r="DU23" s="39">
        <f t="shared" si="31"/>
        <v>0</v>
      </c>
      <c r="DV23" s="7"/>
      <c r="DW23" s="7"/>
      <c r="DX23" s="7"/>
      <c r="DY23" s="39">
        <f t="shared" si="32"/>
        <v>0</v>
      </c>
      <c r="DZ23" s="7"/>
      <c r="EA23" s="7"/>
      <c r="EB23" s="7"/>
      <c r="EC23" s="39">
        <f t="shared" si="33"/>
        <v>0</v>
      </c>
      <c r="ED23" s="7"/>
      <c r="EE23" s="7"/>
      <c r="EF23" s="7"/>
      <c r="EG23" s="39">
        <f t="shared" si="34"/>
        <v>0</v>
      </c>
      <c r="EH23" s="7"/>
      <c r="EI23" s="7"/>
      <c r="EJ23" s="7"/>
      <c r="EK23" s="39">
        <f t="shared" si="35"/>
        <v>0</v>
      </c>
      <c r="EL23" s="7"/>
      <c r="EM23" s="7"/>
      <c r="EN23" s="7"/>
      <c r="EO23" s="39">
        <f t="shared" si="36"/>
        <v>0</v>
      </c>
      <c r="EP23" s="7"/>
      <c r="EQ23" s="7"/>
      <c r="ER23" s="7"/>
      <c r="ES23" s="39">
        <f t="shared" si="37"/>
        <v>0</v>
      </c>
      <c r="ET23" s="7"/>
      <c r="EU23" s="7"/>
      <c r="EV23" s="7"/>
      <c r="EW23" s="39">
        <f t="shared" si="38"/>
        <v>0</v>
      </c>
      <c r="EX23" s="7"/>
      <c r="EY23" s="7"/>
      <c r="EZ23" s="7"/>
      <c r="FA23" s="39">
        <f t="shared" si="39"/>
        <v>0</v>
      </c>
      <c r="FB23" s="7"/>
      <c r="FC23" s="7"/>
      <c r="FD23" s="7"/>
      <c r="FE23" s="39">
        <f t="shared" si="40"/>
        <v>0</v>
      </c>
      <c r="FF23" s="7"/>
      <c r="FG23" s="7"/>
      <c r="FH23" s="7"/>
      <c r="FI23" s="39">
        <f t="shared" si="41"/>
        <v>0</v>
      </c>
      <c r="FJ23" s="7"/>
      <c r="FK23" s="7"/>
      <c r="FL23" s="7"/>
      <c r="FM23" s="39">
        <f t="shared" si="42"/>
        <v>0</v>
      </c>
      <c r="FN23" s="7"/>
      <c r="FO23" s="7"/>
      <c r="FP23" s="7"/>
      <c r="FQ23" s="39">
        <f t="shared" si="43"/>
        <v>0</v>
      </c>
      <c r="FR23" s="7"/>
      <c r="FS23" s="7"/>
      <c r="FT23" s="7"/>
      <c r="FU23" s="39">
        <f t="shared" si="44"/>
        <v>0</v>
      </c>
      <c r="FV23" s="7"/>
      <c r="FW23" s="7"/>
      <c r="FX23" s="7"/>
      <c r="FY23" s="39">
        <f t="shared" si="45"/>
        <v>0</v>
      </c>
      <c r="FZ23" s="7"/>
      <c r="GA23" s="7"/>
      <c r="GB23" s="7"/>
      <c r="GC23" s="39">
        <f t="shared" si="46"/>
        <v>0</v>
      </c>
      <c r="GD23" s="7"/>
      <c r="GE23" s="7"/>
      <c r="GF23" s="7"/>
      <c r="GG23" s="39">
        <f t="shared" si="47"/>
        <v>0</v>
      </c>
      <c r="GH23" s="7">
        <v>1.0</v>
      </c>
      <c r="GI23" s="7">
        <v>1.0</v>
      </c>
      <c r="GJ23" s="7"/>
      <c r="GK23" s="39">
        <f t="shared" si="48"/>
        <v>3</v>
      </c>
      <c r="GL23" s="7"/>
      <c r="GM23" s="7"/>
      <c r="GN23" s="7"/>
      <c r="GO23" s="39">
        <f t="shared" si="49"/>
        <v>0</v>
      </c>
      <c r="GP23" s="7"/>
      <c r="GQ23" s="7"/>
      <c r="GR23" s="7"/>
      <c r="GS23" s="39">
        <f t="shared" si="50"/>
        <v>0</v>
      </c>
      <c r="GT23" s="7"/>
      <c r="GU23" s="7"/>
      <c r="GV23" s="7"/>
      <c r="GW23" s="39">
        <f t="shared" si="51"/>
        <v>0</v>
      </c>
      <c r="GX23" s="7"/>
      <c r="GY23" s="7"/>
      <c r="GZ23" s="7"/>
      <c r="HA23" s="39">
        <f t="shared" si="52"/>
        <v>0</v>
      </c>
    </row>
    <row r="24">
      <c r="A24" s="20" t="s">
        <v>113</v>
      </c>
      <c r="B24" s="21" t="s">
        <v>114</v>
      </c>
      <c r="C24" s="1">
        <f t="shared" si="1"/>
        <v>22</v>
      </c>
      <c r="D24" s="15">
        <v>0.06</v>
      </c>
      <c r="E24" s="37">
        <v>41.34</v>
      </c>
      <c r="F24" s="4"/>
      <c r="G24" s="7"/>
      <c r="H24" s="1"/>
      <c r="I24" s="39">
        <f t="shared" si="2"/>
        <v>0</v>
      </c>
      <c r="J24" s="161"/>
      <c r="K24" s="1"/>
      <c r="L24" s="1"/>
      <c r="M24" s="39">
        <f t="shared" si="3"/>
        <v>0</v>
      </c>
      <c r="N24" s="1"/>
      <c r="O24" s="1"/>
      <c r="P24" s="1"/>
      <c r="Q24" s="39">
        <f t="shared" si="4"/>
        <v>0</v>
      </c>
      <c r="R24" s="1"/>
      <c r="S24" s="1"/>
      <c r="T24" s="1"/>
      <c r="U24" s="39">
        <f t="shared" si="5"/>
        <v>0</v>
      </c>
      <c r="V24" s="1"/>
      <c r="W24" s="1"/>
      <c r="X24" s="1"/>
      <c r="Y24" s="39">
        <f t="shared" si="6"/>
        <v>0</v>
      </c>
      <c r="Z24" s="1"/>
      <c r="AA24" s="1"/>
      <c r="AB24" s="1"/>
      <c r="AC24" s="39">
        <f t="shared" si="7"/>
        <v>0</v>
      </c>
      <c r="AD24" s="7"/>
      <c r="AE24" s="7"/>
      <c r="AF24" s="7"/>
      <c r="AG24" s="39">
        <f t="shared" si="8"/>
        <v>0</v>
      </c>
      <c r="AH24" s="7"/>
      <c r="AI24" s="7"/>
      <c r="AJ24" s="7"/>
      <c r="AK24" s="39">
        <f t="shared" si="9"/>
        <v>0</v>
      </c>
      <c r="AL24" s="4"/>
      <c r="AM24" s="7"/>
      <c r="AN24" s="7"/>
      <c r="AO24" s="39">
        <f t="shared" si="10"/>
        <v>0</v>
      </c>
      <c r="AP24" s="7"/>
      <c r="AQ24" s="7"/>
      <c r="AR24" s="7"/>
      <c r="AS24" s="39">
        <f t="shared" si="11"/>
        <v>0</v>
      </c>
      <c r="AT24" s="7"/>
      <c r="AU24" s="7"/>
      <c r="AV24" s="7"/>
      <c r="AW24" s="39">
        <f t="shared" si="12"/>
        <v>0</v>
      </c>
      <c r="AX24" s="7"/>
      <c r="AY24" s="7"/>
      <c r="AZ24" s="7"/>
      <c r="BA24" s="39">
        <f t="shared" si="13"/>
        <v>0</v>
      </c>
      <c r="BB24" s="7"/>
      <c r="BC24" s="7"/>
      <c r="BD24" s="7"/>
      <c r="BE24" s="39">
        <f t="shared" si="14"/>
        <v>0</v>
      </c>
      <c r="BF24" s="7"/>
      <c r="BG24" s="7"/>
      <c r="BH24" s="7"/>
      <c r="BI24" s="39">
        <f t="shared" si="15"/>
        <v>0</v>
      </c>
      <c r="BJ24" s="7"/>
      <c r="BK24" s="7"/>
      <c r="BL24" s="7"/>
      <c r="BM24" s="39">
        <f t="shared" si="16"/>
        <v>0</v>
      </c>
      <c r="BN24" s="7"/>
      <c r="BO24" s="7"/>
      <c r="BP24" s="7"/>
      <c r="BQ24" s="39">
        <f t="shared" si="17"/>
        <v>0</v>
      </c>
      <c r="BR24" s="7"/>
      <c r="BS24" s="7"/>
      <c r="BT24" s="7"/>
      <c r="BU24" s="39">
        <f t="shared" si="18"/>
        <v>0</v>
      </c>
      <c r="BV24" s="7"/>
      <c r="BW24" s="7"/>
      <c r="BX24" s="7"/>
      <c r="BY24" s="39">
        <f t="shared" si="19"/>
        <v>0</v>
      </c>
      <c r="BZ24" s="7"/>
      <c r="CA24" s="7"/>
      <c r="CB24" s="7"/>
      <c r="CC24" s="39">
        <f t="shared" si="20"/>
        <v>0</v>
      </c>
      <c r="CD24" s="7">
        <v>1.0</v>
      </c>
      <c r="CE24" s="7">
        <v>1.0</v>
      </c>
      <c r="CF24" s="7"/>
      <c r="CG24" s="39">
        <f t="shared" si="21"/>
        <v>3</v>
      </c>
      <c r="CH24" s="7"/>
      <c r="CI24" s="7"/>
      <c r="CJ24" s="7"/>
      <c r="CK24" s="39">
        <f t="shared" si="22"/>
        <v>0</v>
      </c>
      <c r="CL24" s="7">
        <v>1.0</v>
      </c>
      <c r="CM24" s="7">
        <v>1.0</v>
      </c>
      <c r="CN24" s="7"/>
      <c r="CO24" s="39">
        <f t="shared" si="23"/>
        <v>3</v>
      </c>
      <c r="CP24" s="7"/>
      <c r="CQ24" s="7"/>
      <c r="CR24" s="7"/>
      <c r="CS24" s="39">
        <f t="shared" si="24"/>
        <v>0</v>
      </c>
      <c r="CT24" s="7">
        <v>1.0</v>
      </c>
      <c r="CU24" s="7">
        <v>1.0</v>
      </c>
      <c r="CV24" s="7"/>
      <c r="CW24" s="39">
        <f t="shared" si="25"/>
        <v>3</v>
      </c>
      <c r="CX24" s="7"/>
      <c r="CY24" s="7"/>
      <c r="CZ24" s="7"/>
      <c r="DA24" s="39">
        <f t="shared" si="26"/>
        <v>0</v>
      </c>
      <c r="DB24" s="7">
        <v>1.0</v>
      </c>
      <c r="DC24" s="7">
        <v>1.0</v>
      </c>
      <c r="DD24" s="7"/>
      <c r="DE24" s="39">
        <f t="shared" si="27"/>
        <v>3</v>
      </c>
      <c r="DF24" s="7">
        <v>1.0</v>
      </c>
      <c r="DG24" s="7">
        <v>1.0</v>
      </c>
      <c r="DH24" s="7"/>
      <c r="DI24" s="39">
        <f t="shared" si="28"/>
        <v>3</v>
      </c>
      <c r="DJ24" s="7"/>
      <c r="DK24" s="7"/>
      <c r="DL24" s="7"/>
      <c r="DM24" s="39">
        <f t="shared" si="29"/>
        <v>0</v>
      </c>
      <c r="DN24" s="7"/>
      <c r="DO24" s="7"/>
      <c r="DP24" s="7"/>
      <c r="DQ24" s="39">
        <f t="shared" si="30"/>
        <v>0</v>
      </c>
      <c r="DR24" s="7"/>
      <c r="DS24" s="7"/>
      <c r="DT24" s="7"/>
      <c r="DU24" s="39">
        <f t="shared" si="31"/>
        <v>0</v>
      </c>
      <c r="DV24" s="7"/>
      <c r="DW24" s="7"/>
      <c r="DX24" s="7"/>
      <c r="DY24" s="39">
        <f t="shared" si="32"/>
        <v>0</v>
      </c>
      <c r="DZ24" s="7">
        <v>1.0</v>
      </c>
      <c r="EA24" s="7">
        <v>1.0</v>
      </c>
      <c r="EB24" s="7"/>
      <c r="EC24" s="39">
        <f t="shared" si="33"/>
        <v>3</v>
      </c>
      <c r="ED24" s="7">
        <v>1.0</v>
      </c>
      <c r="EE24" s="7">
        <v>1.0</v>
      </c>
      <c r="EF24" s="7"/>
      <c r="EG24" s="39">
        <f t="shared" si="34"/>
        <v>3</v>
      </c>
      <c r="EH24" s="7">
        <v>1.0</v>
      </c>
      <c r="EI24" s="7">
        <v>1.0</v>
      </c>
      <c r="EJ24" s="7"/>
      <c r="EK24" s="39">
        <f t="shared" si="35"/>
        <v>3</v>
      </c>
      <c r="EL24" s="7">
        <v>1.0</v>
      </c>
      <c r="EM24" s="7">
        <v>1.0</v>
      </c>
      <c r="EN24" s="7"/>
      <c r="EO24" s="39">
        <f t="shared" si="36"/>
        <v>3</v>
      </c>
      <c r="EP24" s="7">
        <v>1.0</v>
      </c>
      <c r="EQ24" s="7">
        <v>1.0</v>
      </c>
      <c r="ER24" s="7"/>
      <c r="ES24" s="39">
        <f t="shared" si="37"/>
        <v>3</v>
      </c>
      <c r="ET24" s="7"/>
      <c r="EU24" s="7"/>
      <c r="EV24" s="7"/>
      <c r="EW24" s="39">
        <f t="shared" si="38"/>
        <v>0</v>
      </c>
      <c r="EX24" s="7">
        <v>1.0</v>
      </c>
      <c r="EY24" s="7">
        <v>1.0</v>
      </c>
      <c r="EZ24" s="7"/>
      <c r="FA24" s="39">
        <f t="shared" si="39"/>
        <v>3</v>
      </c>
      <c r="FB24" s="7">
        <v>1.0</v>
      </c>
      <c r="FC24" s="7">
        <v>1.0</v>
      </c>
      <c r="FD24" s="7"/>
      <c r="FE24" s="39">
        <f t="shared" si="40"/>
        <v>3</v>
      </c>
      <c r="FF24" s="7"/>
      <c r="FG24" s="7"/>
      <c r="FH24" s="7"/>
      <c r="FI24" s="39">
        <f t="shared" si="41"/>
        <v>0</v>
      </c>
      <c r="FJ24" s="7"/>
      <c r="FK24" s="7"/>
      <c r="FL24" s="7"/>
      <c r="FM24" s="39">
        <f t="shared" si="42"/>
        <v>0</v>
      </c>
      <c r="FN24" s="7"/>
      <c r="FO24" s="7"/>
      <c r="FP24" s="7"/>
      <c r="FQ24" s="39">
        <f t="shared" si="43"/>
        <v>0</v>
      </c>
      <c r="FR24" s="7"/>
      <c r="FS24" s="7"/>
      <c r="FT24" s="7"/>
      <c r="FU24" s="39">
        <f t="shared" si="44"/>
        <v>0</v>
      </c>
      <c r="FV24" s="7"/>
      <c r="FW24" s="7"/>
      <c r="FX24" s="7"/>
      <c r="FY24" s="39">
        <f t="shared" si="45"/>
        <v>0</v>
      </c>
      <c r="FZ24" s="7"/>
      <c r="GA24" s="7"/>
      <c r="GB24" s="7"/>
      <c r="GC24" s="39">
        <f t="shared" si="46"/>
        <v>0</v>
      </c>
      <c r="GD24" s="7"/>
      <c r="GE24" s="7"/>
      <c r="GF24" s="7"/>
      <c r="GG24" s="39">
        <f t="shared" si="47"/>
        <v>0</v>
      </c>
      <c r="GH24" s="7"/>
      <c r="GI24" s="7"/>
      <c r="GJ24" s="7"/>
      <c r="GK24" s="39">
        <f t="shared" si="48"/>
        <v>0</v>
      </c>
      <c r="GL24" s="7"/>
      <c r="GM24" s="7"/>
      <c r="GN24" s="7"/>
      <c r="GO24" s="39">
        <f t="shared" si="49"/>
        <v>0</v>
      </c>
      <c r="GP24" s="7">
        <v>1.0</v>
      </c>
      <c r="GQ24" s="7">
        <v>1.0</v>
      </c>
      <c r="GR24" s="7"/>
      <c r="GS24" s="39">
        <f t="shared" si="50"/>
        <v>3</v>
      </c>
      <c r="GT24" s="7"/>
      <c r="GU24" s="7"/>
      <c r="GV24" s="7"/>
      <c r="GW24" s="39">
        <f t="shared" si="51"/>
        <v>0</v>
      </c>
      <c r="GX24" s="7"/>
      <c r="GY24" s="7"/>
      <c r="GZ24" s="7"/>
      <c r="HA24" s="39">
        <f t="shared" si="52"/>
        <v>0</v>
      </c>
    </row>
    <row r="25">
      <c r="A25" s="20" t="s">
        <v>80</v>
      </c>
      <c r="B25" s="21" t="s">
        <v>81</v>
      </c>
      <c r="C25" s="1">
        <f t="shared" si="1"/>
        <v>23</v>
      </c>
      <c r="D25" s="15">
        <v>0.15</v>
      </c>
      <c r="E25" s="37">
        <v>40.25</v>
      </c>
      <c r="F25" s="4"/>
      <c r="G25" s="7"/>
      <c r="H25" s="1"/>
      <c r="I25" s="39">
        <f t="shared" si="2"/>
        <v>0</v>
      </c>
      <c r="J25" s="161"/>
      <c r="K25" s="1"/>
      <c r="L25" s="7"/>
      <c r="M25" s="39">
        <f t="shared" si="3"/>
        <v>0</v>
      </c>
      <c r="N25" s="7"/>
      <c r="O25" s="7"/>
      <c r="P25" s="7"/>
      <c r="Q25" s="39">
        <f t="shared" si="4"/>
        <v>0</v>
      </c>
      <c r="R25" s="7"/>
      <c r="S25" s="7"/>
      <c r="T25" s="7"/>
      <c r="U25" s="39">
        <f t="shared" si="5"/>
        <v>0</v>
      </c>
      <c r="V25" s="1"/>
      <c r="W25" s="1"/>
      <c r="X25" s="1"/>
      <c r="Y25" s="39">
        <f t="shared" si="6"/>
        <v>0</v>
      </c>
      <c r="Z25" s="7"/>
      <c r="AA25" s="7"/>
      <c r="AB25" s="7"/>
      <c r="AC25" s="39">
        <f t="shared" si="7"/>
        <v>0</v>
      </c>
      <c r="AD25" s="7"/>
      <c r="AE25" s="7"/>
      <c r="AF25" s="7"/>
      <c r="AG25" s="39">
        <f t="shared" si="8"/>
        <v>0</v>
      </c>
      <c r="AH25" s="7"/>
      <c r="AI25" s="7"/>
      <c r="AJ25" s="7"/>
      <c r="AK25" s="39">
        <f t="shared" si="9"/>
        <v>0</v>
      </c>
      <c r="AL25" s="4"/>
      <c r="AM25" s="7"/>
      <c r="AN25" s="7"/>
      <c r="AO25" s="39">
        <f t="shared" si="10"/>
        <v>0</v>
      </c>
      <c r="AP25" s="7"/>
      <c r="AQ25" s="7"/>
      <c r="AR25" s="7"/>
      <c r="AS25" s="39">
        <f t="shared" si="11"/>
        <v>0</v>
      </c>
      <c r="AT25" s="7"/>
      <c r="AU25" s="7"/>
      <c r="AV25" s="7"/>
      <c r="AW25" s="39">
        <f t="shared" si="12"/>
        <v>0</v>
      </c>
      <c r="AX25" s="7"/>
      <c r="AY25" s="7"/>
      <c r="AZ25" s="7"/>
      <c r="BA25" s="39">
        <f t="shared" si="13"/>
        <v>0</v>
      </c>
      <c r="BB25" s="7"/>
      <c r="BC25" s="7"/>
      <c r="BD25" s="7"/>
      <c r="BE25" s="39">
        <f t="shared" si="14"/>
        <v>0</v>
      </c>
      <c r="BF25" s="7"/>
      <c r="BG25" s="7"/>
      <c r="BH25" s="7"/>
      <c r="BI25" s="39">
        <f t="shared" si="15"/>
        <v>0</v>
      </c>
      <c r="BJ25" s="7"/>
      <c r="BK25" s="7"/>
      <c r="BL25" s="7"/>
      <c r="BM25" s="39">
        <f t="shared" si="16"/>
        <v>0</v>
      </c>
      <c r="BN25" s="7">
        <v>1.0</v>
      </c>
      <c r="BO25" s="7">
        <v>1.0</v>
      </c>
      <c r="BP25" s="7">
        <v>1.0</v>
      </c>
      <c r="BQ25" s="39">
        <f t="shared" si="17"/>
        <v>5</v>
      </c>
      <c r="BR25" s="7"/>
      <c r="BS25" s="7"/>
      <c r="BT25" s="7"/>
      <c r="BU25" s="39">
        <f t="shared" si="18"/>
        <v>0</v>
      </c>
      <c r="BV25" s="7"/>
      <c r="BW25" s="7"/>
      <c r="BX25" s="7"/>
      <c r="BY25" s="39">
        <f t="shared" si="19"/>
        <v>0</v>
      </c>
      <c r="BZ25" s="7"/>
      <c r="CA25" s="7"/>
      <c r="CB25" s="7"/>
      <c r="CC25" s="39">
        <f t="shared" si="20"/>
        <v>0</v>
      </c>
      <c r="CD25" s="7">
        <v>1.0</v>
      </c>
      <c r="CE25" s="7">
        <v>1.0</v>
      </c>
      <c r="CF25" s="7"/>
      <c r="CG25" s="39">
        <f t="shared" si="21"/>
        <v>3</v>
      </c>
      <c r="CH25" s="7">
        <v>1.0</v>
      </c>
      <c r="CI25" s="7">
        <v>1.0</v>
      </c>
      <c r="CJ25" s="7"/>
      <c r="CK25" s="39">
        <f t="shared" si="22"/>
        <v>3</v>
      </c>
      <c r="CL25" s="7">
        <v>1.0</v>
      </c>
      <c r="CM25" s="7">
        <v>1.0</v>
      </c>
      <c r="CN25" s="7"/>
      <c r="CO25" s="39">
        <f t="shared" si="23"/>
        <v>3</v>
      </c>
      <c r="CP25" s="7">
        <v>1.0</v>
      </c>
      <c r="CQ25" s="7">
        <v>1.0</v>
      </c>
      <c r="CR25" s="7"/>
      <c r="CS25" s="39">
        <f t="shared" si="24"/>
        <v>3</v>
      </c>
      <c r="CT25" s="7">
        <v>1.0</v>
      </c>
      <c r="CU25" s="7">
        <v>1.0</v>
      </c>
      <c r="CV25" s="7"/>
      <c r="CW25" s="39">
        <f t="shared" si="25"/>
        <v>3</v>
      </c>
      <c r="CX25" s="7"/>
      <c r="CY25" s="7"/>
      <c r="CZ25" s="7"/>
      <c r="DA25" s="39">
        <f t="shared" si="26"/>
        <v>0</v>
      </c>
      <c r="DB25" s="7">
        <v>1.0</v>
      </c>
      <c r="DC25" s="7">
        <v>1.0</v>
      </c>
      <c r="DD25" s="7"/>
      <c r="DE25" s="39">
        <f t="shared" si="27"/>
        <v>3</v>
      </c>
      <c r="DF25" s="7">
        <v>1.0</v>
      </c>
      <c r="DG25" s="7">
        <v>1.0</v>
      </c>
      <c r="DH25" s="7"/>
      <c r="DI25" s="39">
        <f t="shared" si="28"/>
        <v>3</v>
      </c>
      <c r="DJ25" s="7">
        <v>1.0</v>
      </c>
      <c r="DK25" s="7">
        <v>1.0</v>
      </c>
      <c r="DL25" s="7"/>
      <c r="DM25" s="39">
        <f t="shared" si="29"/>
        <v>3</v>
      </c>
      <c r="DN25" s="7">
        <v>1.0</v>
      </c>
      <c r="DO25" s="7">
        <v>1.0</v>
      </c>
      <c r="DP25" s="7"/>
      <c r="DQ25" s="39">
        <f t="shared" si="30"/>
        <v>3</v>
      </c>
      <c r="DR25" s="7"/>
      <c r="DS25" s="7"/>
      <c r="DT25" s="7"/>
      <c r="DU25" s="39">
        <f t="shared" si="31"/>
        <v>0</v>
      </c>
      <c r="DV25" s="7">
        <v>1.0</v>
      </c>
      <c r="DW25" s="7">
        <v>1.0</v>
      </c>
      <c r="DX25" s="7"/>
      <c r="DY25" s="39">
        <f t="shared" si="32"/>
        <v>3</v>
      </c>
      <c r="DZ25" s="7"/>
      <c r="EA25" s="7"/>
      <c r="EB25" s="7"/>
      <c r="EC25" s="39">
        <f t="shared" si="33"/>
        <v>0</v>
      </c>
      <c r="ED25" s="7"/>
      <c r="EE25" s="7"/>
      <c r="EF25" s="7"/>
      <c r="EG25" s="39">
        <f t="shared" si="34"/>
        <v>0</v>
      </c>
      <c r="EH25" s="7"/>
      <c r="EI25" s="7"/>
      <c r="EJ25" s="7"/>
      <c r="EK25" s="39">
        <f t="shared" si="35"/>
        <v>0</v>
      </c>
      <c r="EL25" s="7"/>
      <c r="EM25" s="7"/>
      <c r="EN25" s="7"/>
      <c r="EO25" s="39">
        <f t="shared" si="36"/>
        <v>0</v>
      </c>
      <c r="EP25" s="7"/>
      <c r="EQ25" s="7"/>
      <c r="ER25" s="7"/>
      <c r="ES25" s="39">
        <f t="shared" si="37"/>
        <v>0</v>
      </c>
      <c r="ET25" s="7"/>
      <c r="EU25" s="7"/>
      <c r="EV25" s="7"/>
      <c r="EW25" s="39">
        <f t="shared" si="38"/>
        <v>0</v>
      </c>
      <c r="EX25" s="7"/>
      <c r="EY25" s="7"/>
      <c r="EZ25" s="7"/>
      <c r="FA25" s="39">
        <f t="shared" si="39"/>
        <v>0</v>
      </c>
      <c r="FB25" s="7"/>
      <c r="FC25" s="7"/>
      <c r="FD25" s="7"/>
      <c r="FE25" s="39">
        <f t="shared" si="40"/>
        <v>0</v>
      </c>
      <c r="FF25" s="7"/>
      <c r="FG25" s="7"/>
      <c r="FH25" s="7"/>
      <c r="FI25" s="39">
        <f t="shared" si="41"/>
        <v>0</v>
      </c>
      <c r="FJ25" s="7"/>
      <c r="FK25" s="7"/>
      <c r="FL25" s="7"/>
      <c r="FM25" s="39">
        <f t="shared" si="42"/>
        <v>0</v>
      </c>
      <c r="FN25" s="7"/>
      <c r="FO25" s="7"/>
      <c r="FP25" s="7"/>
      <c r="FQ25" s="39">
        <f t="shared" si="43"/>
        <v>0</v>
      </c>
      <c r="FR25" s="7"/>
      <c r="FS25" s="7"/>
      <c r="FT25" s="7"/>
      <c r="FU25" s="39">
        <f t="shared" si="44"/>
        <v>0</v>
      </c>
      <c r="FV25" s="7"/>
      <c r="FW25" s="7"/>
      <c r="FX25" s="7"/>
      <c r="FY25" s="39">
        <f t="shared" si="45"/>
        <v>0</v>
      </c>
      <c r="FZ25" s="7"/>
      <c r="GA25" s="7"/>
      <c r="GB25" s="7"/>
      <c r="GC25" s="39">
        <f t="shared" si="46"/>
        <v>0</v>
      </c>
      <c r="GD25" s="7"/>
      <c r="GE25" s="7"/>
      <c r="GF25" s="7"/>
      <c r="GG25" s="39">
        <f t="shared" si="47"/>
        <v>0</v>
      </c>
      <c r="GH25" s="7"/>
      <c r="GI25" s="7"/>
      <c r="GJ25" s="7"/>
      <c r="GK25" s="39">
        <f t="shared" si="48"/>
        <v>0</v>
      </c>
      <c r="GL25" s="7"/>
      <c r="GM25" s="7"/>
      <c r="GN25" s="7"/>
      <c r="GO25" s="39">
        <f t="shared" si="49"/>
        <v>0</v>
      </c>
      <c r="GP25" s="7"/>
      <c r="GQ25" s="7"/>
      <c r="GR25" s="7"/>
      <c r="GS25" s="39">
        <f t="shared" si="50"/>
        <v>0</v>
      </c>
      <c r="GT25" s="7"/>
      <c r="GU25" s="7"/>
      <c r="GV25" s="7"/>
      <c r="GW25" s="39">
        <f t="shared" si="51"/>
        <v>0</v>
      </c>
      <c r="GX25" s="7"/>
      <c r="GY25" s="7"/>
      <c r="GZ25" s="7"/>
      <c r="HA25" s="39">
        <f t="shared" si="52"/>
        <v>0</v>
      </c>
    </row>
    <row r="26">
      <c r="A26" s="20" t="s">
        <v>129</v>
      </c>
      <c r="B26" s="21"/>
      <c r="C26" s="1">
        <f t="shared" si="1"/>
        <v>24</v>
      </c>
      <c r="D26" s="15">
        <v>0.02</v>
      </c>
      <c r="E26" s="37">
        <v>33.660000000000004</v>
      </c>
      <c r="F26" s="4"/>
      <c r="G26" s="7"/>
      <c r="H26" s="1"/>
      <c r="I26" s="39">
        <f t="shared" si="2"/>
        <v>0</v>
      </c>
      <c r="J26" s="161"/>
      <c r="K26" s="1"/>
      <c r="L26" s="1"/>
      <c r="M26" s="39">
        <f t="shared" si="3"/>
        <v>0</v>
      </c>
      <c r="N26" s="1"/>
      <c r="O26" s="1"/>
      <c r="P26" s="1"/>
      <c r="Q26" s="39">
        <f t="shared" si="4"/>
        <v>0</v>
      </c>
      <c r="R26" s="1"/>
      <c r="S26" s="1"/>
      <c r="T26" s="1"/>
      <c r="U26" s="39">
        <f t="shared" si="5"/>
        <v>0</v>
      </c>
      <c r="V26" s="1"/>
      <c r="W26" s="1"/>
      <c r="X26" s="1"/>
      <c r="Y26" s="39">
        <f t="shared" si="6"/>
        <v>0</v>
      </c>
      <c r="Z26" s="1"/>
      <c r="AA26" s="1"/>
      <c r="AB26" s="1"/>
      <c r="AC26" s="39">
        <f t="shared" si="7"/>
        <v>0</v>
      </c>
      <c r="AD26" s="7"/>
      <c r="AE26" s="7"/>
      <c r="AF26" s="7"/>
      <c r="AG26" s="39">
        <f t="shared" si="8"/>
        <v>0</v>
      </c>
      <c r="AH26" s="7"/>
      <c r="AI26" s="7"/>
      <c r="AJ26" s="7"/>
      <c r="AK26" s="39">
        <f t="shared" si="9"/>
        <v>0</v>
      </c>
      <c r="AL26" s="4"/>
      <c r="AM26" s="7"/>
      <c r="AN26" s="7"/>
      <c r="AO26" s="39">
        <f t="shared" si="10"/>
        <v>0</v>
      </c>
      <c r="AP26" s="7"/>
      <c r="AQ26" s="7"/>
      <c r="AR26" s="7"/>
      <c r="AS26" s="39">
        <f t="shared" si="11"/>
        <v>0</v>
      </c>
      <c r="AT26" s="7"/>
      <c r="AU26" s="7"/>
      <c r="AV26" s="7"/>
      <c r="AW26" s="39">
        <f t="shared" si="12"/>
        <v>0</v>
      </c>
      <c r="AX26" s="7"/>
      <c r="AY26" s="7"/>
      <c r="AZ26" s="7"/>
      <c r="BA26" s="39">
        <f t="shared" si="13"/>
        <v>0</v>
      </c>
      <c r="BB26" s="7"/>
      <c r="BC26" s="7"/>
      <c r="BD26" s="7"/>
      <c r="BE26" s="39">
        <f t="shared" si="14"/>
        <v>0</v>
      </c>
      <c r="BF26" s="7"/>
      <c r="BG26" s="7"/>
      <c r="BH26" s="7"/>
      <c r="BI26" s="39">
        <f t="shared" si="15"/>
        <v>0</v>
      </c>
      <c r="BJ26" s="7"/>
      <c r="BK26" s="7"/>
      <c r="BL26" s="7"/>
      <c r="BM26" s="39">
        <f t="shared" si="16"/>
        <v>0</v>
      </c>
      <c r="BN26" s="7"/>
      <c r="BO26" s="7"/>
      <c r="BP26" s="7"/>
      <c r="BQ26" s="39">
        <f t="shared" si="17"/>
        <v>0</v>
      </c>
      <c r="BR26" s="7"/>
      <c r="BS26" s="7"/>
      <c r="BT26" s="7"/>
      <c r="BU26" s="39">
        <f t="shared" si="18"/>
        <v>0</v>
      </c>
      <c r="BV26" s="7"/>
      <c r="BW26" s="7"/>
      <c r="BX26" s="7"/>
      <c r="BY26" s="39">
        <f t="shared" si="19"/>
        <v>0</v>
      </c>
      <c r="BZ26" s="7"/>
      <c r="CA26" s="7"/>
      <c r="CB26" s="7"/>
      <c r="CC26" s="39">
        <f t="shared" si="20"/>
        <v>0</v>
      </c>
      <c r="CD26" s="7"/>
      <c r="CE26" s="7"/>
      <c r="CF26" s="7"/>
      <c r="CG26" s="39">
        <f t="shared" si="21"/>
        <v>0</v>
      </c>
      <c r="CH26" s="7"/>
      <c r="CI26" s="7"/>
      <c r="CJ26" s="7"/>
      <c r="CK26" s="39">
        <f t="shared" si="22"/>
        <v>0</v>
      </c>
      <c r="CL26" s="7"/>
      <c r="CM26" s="7"/>
      <c r="CN26" s="7"/>
      <c r="CO26" s="39">
        <f t="shared" si="23"/>
        <v>0</v>
      </c>
      <c r="CP26" s="7"/>
      <c r="CQ26" s="7"/>
      <c r="CR26" s="7"/>
      <c r="CS26" s="39">
        <f t="shared" si="24"/>
        <v>0</v>
      </c>
      <c r="CT26" s="7"/>
      <c r="CU26" s="7"/>
      <c r="CV26" s="7"/>
      <c r="CW26" s="39">
        <f t="shared" si="25"/>
        <v>0</v>
      </c>
      <c r="CX26" s="7">
        <v>1.0</v>
      </c>
      <c r="CY26" s="7">
        <v>1.0</v>
      </c>
      <c r="CZ26" s="7"/>
      <c r="DA26" s="39">
        <f t="shared" si="26"/>
        <v>3</v>
      </c>
      <c r="DB26" s="7">
        <v>1.0</v>
      </c>
      <c r="DC26" s="7">
        <v>1.0</v>
      </c>
      <c r="DD26" s="7"/>
      <c r="DE26" s="39">
        <f t="shared" si="27"/>
        <v>3</v>
      </c>
      <c r="DF26" s="7"/>
      <c r="DG26" s="7"/>
      <c r="DH26" s="7"/>
      <c r="DI26" s="39">
        <f t="shared" si="28"/>
        <v>0</v>
      </c>
      <c r="DJ26" s="7">
        <v>1.0</v>
      </c>
      <c r="DK26" s="7">
        <v>1.0</v>
      </c>
      <c r="DL26" s="7"/>
      <c r="DM26" s="39">
        <f t="shared" si="29"/>
        <v>3</v>
      </c>
      <c r="DN26" s="7">
        <v>1.0</v>
      </c>
      <c r="DO26" s="7">
        <v>1.0</v>
      </c>
      <c r="DP26" s="7"/>
      <c r="DQ26" s="39">
        <f t="shared" si="30"/>
        <v>3</v>
      </c>
      <c r="DR26" s="7"/>
      <c r="DS26" s="7"/>
      <c r="DT26" s="7"/>
      <c r="DU26" s="39">
        <f t="shared" si="31"/>
        <v>0</v>
      </c>
      <c r="DV26" s="7">
        <v>1.0</v>
      </c>
      <c r="DW26" s="7">
        <v>1.0</v>
      </c>
      <c r="DX26" s="7"/>
      <c r="DY26" s="39">
        <f t="shared" si="32"/>
        <v>3</v>
      </c>
      <c r="DZ26" s="7">
        <v>1.0</v>
      </c>
      <c r="EA26" s="7">
        <v>1.0</v>
      </c>
      <c r="EB26" s="7"/>
      <c r="EC26" s="39">
        <f t="shared" si="33"/>
        <v>3</v>
      </c>
      <c r="ED26" s="7">
        <v>1.0</v>
      </c>
      <c r="EE26" s="7">
        <v>1.0</v>
      </c>
      <c r="EF26" s="7"/>
      <c r="EG26" s="39">
        <f t="shared" si="34"/>
        <v>3</v>
      </c>
      <c r="EH26" s="7"/>
      <c r="EI26" s="7"/>
      <c r="EJ26" s="7"/>
      <c r="EK26" s="39">
        <f t="shared" si="35"/>
        <v>0</v>
      </c>
      <c r="EL26" s="7">
        <v>1.0</v>
      </c>
      <c r="EM26" s="7">
        <v>1.0</v>
      </c>
      <c r="EN26" s="7"/>
      <c r="EO26" s="39">
        <f t="shared" si="36"/>
        <v>3</v>
      </c>
      <c r="EP26" s="7">
        <v>1.0</v>
      </c>
      <c r="EQ26" s="7">
        <v>1.0</v>
      </c>
      <c r="ER26" s="7"/>
      <c r="ES26" s="39">
        <f t="shared" si="37"/>
        <v>3</v>
      </c>
      <c r="ET26" s="7"/>
      <c r="EU26" s="7"/>
      <c r="EV26" s="7"/>
      <c r="EW26" s="39">
        <f t="shared" si="38"/>
        <v>0</v>
      </c>
      <c r="EX26" s="7">
        <v>1.0</v>
      </c>
      <c r="EY26" s="7">
        <v>1.0</v>
      </c>
      <c r="EZ26" s="7"/>
      <c r="FA26" s="39">
        <f t="shared" si="39"/>
        <v>3</v>
      </c>
      <c r="FB26" s="7"/>
      <c r="FC26" s="7"/>
      <c r="FD26" s="7"/>
      <c r="FE26" s="39">
        <f t="shared" si="40"/>
        <v>0</v>
      </c>
      <c r="FF26" s="7"/>
      <c r="FG26" s="7"/>
      <c r="FH26" s="7"/>
      <c r="FI26" s="39">
        <f t="shared" si="41"/>
        <v>0</v>
      </c>
      <c r="FJ26" s="7"/>
      <c r="FK26" s="7"/>
      <c r="FL26" s="7"/>
      <c r="FM26" s="39">
        <f t="shared" si="42"/>
        <v>0</v>
      </c>
      <c r="FN26" s="7"/>
      <c r="FO26" s="7"/>
      <c r="FP26" s="7"/>
      <c r="FQ26" s="39">
        <f t="shared" si="43"/>
        <v>0</v>
      </c>
      <c r="FR26" s="7"/>
      <c r="FS26" s="7"/>
      <c r="FT26" s="7"/>
      <c r="FU26" s="39">
        <f t="shared" si="44"/>
        <v>0</v>
      </c>
      <c r="FV26" s="7"/>
      <c r="FW26" s="7"/>
      <c r="FX26" s="7"/>
      <c r="FY26" s="39">
        <f t="shared" si="45"/>
        <v>0</v>
      </c>
      <c r="FZ26" s="7"/>
      <c r="GA26" s="7"/>
      <c r="GB26" s="7"/>
      <c r="GC26" s="39">
        <f t="shared" si="46"/>
        <v>0</v>
      </c>
      <c r="GD26" s="7"/>
      <c r="GE26" s="7"/>
      <c r="GF26" s="7"/>
      <c r="GG26" s="39">
        <f t="shared" si="47"/>
        <v>0</v>
      </c>
      <c r="GH26" s="7"/>
      <c r="GI26" s="7"/>
      <c r="GJ26" s="7"/>
      <c r="GK26" s="39">
        <f t="shared" si="48"/>
        <v>0</v>
      </c>
      <c r="GL26" s="7"/>
      <c r="GM26" s="7"/>
      <c r="GN26" s="7"/>
      <c r="GO26" s="39">
        <f t="shared" si="49"/>
        <v>0</v>
      </c>
      <c r="GP26" s="7">
        <v>1.0</v>
      </c>
      <c r="GQ26" s="7">
        <v>1.0</v>
      </c>
      <c r="GR26" s="7"/>
      <c r="GS26" s="39">
        <f t="shared" si="50"/>
        <v>3</v>
      </c>
      <c r="GT26" s="7"/>
      <c r="GU26" s="7"/>
      <c r="GV26" s="7"/>
      <c r="GW26" s="39">
        <f t="shared" si="51"/>
        <v>0</v>
      </c>
      <c r="GX26" s="7"/>
      <c r="GY26" s="7"/>
      <c r="GZ26" s="7"/>
      <c r="HA26" s="39">
        <f t="shared" si="52"/>
        <v>0</v>
      </c>
    </row>
    <row r="27">
      <c r="A27" s="20" t="s">
        <v>36</v>
      </c>
      <c r="B27" s="21" t="s">
        <v>37</v>
      </c>
      <c r="C27" s="1">
        <f t="shared" si="1"/>
        <v>25</v>
      </c>
      <c r="D27" s="15">
        <v>0.26999999999999996</v>
      </c>
      <c r="E27" s="37">
        <v>29.21</v>
      </c>
      <c r="F27" s="4">
        <v>1.0</v>
      </c>
      <c r="G27" s="7">
        <v>1.0</v>
      </c>
      <c r="H27" s="7">
        <v>1.0</v>
      </c>
      <c r="I27" s="39">
        <f t="shared" si="2"/>
        <v>5</v>
      </c>
      <c r="J27" s="4">
        <v>1.0</v>
      </c>
      <c r="K27" s="7">
        <v>1.0</v>
      </c>
      <c r="L27" s="7"/>
      <c r="M27" s="39">
        <f t="shared" si="3"/>
        <v>3</v>
      </c>
      <c r="N27" s="1"/>
      <c r="O27" s="1"/>
      <c r="P27" s="1"/>
      <c r="Q27" s="39">
        <f t="shared" si="4"/>
        <v>0</v>
      </c>
      <c r="R27" s="7"/>
      <c r="S27" s="7"/>
      <c r="T27" s="7"/>
      <c r="U27" s="39">
        <f t="shared" si="5"/>
        <v>0</v>
      </c>
      <c r="V27" s="1"/>
      <c r="W27" s="1"/>
      <c r="X27" s="1"/>
      <c r="Y27" s="39">
        <f t="shared" si="6"/>
        <v>0</v>
      </c>
      <c r="Z27" s="7"/>
      <c r="AA27" s="7"/>
      <c r="AB27" s="7"/>
      <c r="AC27" s="39">
        <f t="shared" si="7"/>
        <v>0</v>
      </c>
      <c r="AD27" s="7"/>
      <c r="AE27" s="7"/>
      <c r="AF27" s="7"/>
      <c r="AG27" s="39">
        <f t="shared" si="8"/>
        <v>0</v>
      </c>
      <c r="AH27" s="7"/>
      <c r="AI27" s="7"/>
      <c r="AJ27" s="7"/>
      <c r="AK27" s="39">
        <f t="shared" si="9"/>
        <v>0</v>
      </c>
      <c r="AL27" s="4"/>
      <c r="AM27" s="7"/>
      <c r="AN27" s="7"/>
      <c r="AO27" s="39">
        <f t="shared" si="10"/>
        <v>0</v>
      </c>
      <c r="AP27" s="7"/>
      <c r="AQ27" s="7"/>
      <c r="AR27" s="7"/>
      <c r="AS27" s="39">
        <f t="shared" si="11"/>
        <v>0</v>
      </c>
      <c r="AT27" s="7"/>
      <c r="AU27" s="7"/>
      <c r="AV27" s="7"/>
      <c r="AW27" s="39">
        <f t="shared" si="12"/>
        <v>0</v>
      </c>
      <c r="AX27" s="7"/>
      <c r="AY27" s="7"/>
      <c r="AZ27" s="7"/>
      <c r="BA27" s="39">
        <f t="shared" si="13"/>
        <v>0</v>
      </c>
      <c r="BB27" s="7"/>
      <c r="BC27" s="7"/>
      <c r="BD27" s="7"/>
      <c r="BE27" s="39">
        <f t="shared" si="14"/>
        <v>0</v>
      </c>
      <c r="BF27" s="7"/>
      <c r="BG27" s="7"/>
      <c r="BH27" s="7"/>
      <c r="BI27" s="39">
        <f t="shared" si="15"/>
        <v>0</v>
      </c>
      <c r="BJ27" s="7"/>
      <c r="BK27" s="7"/>
      <c r="BL27" s="7"/>
      <c r="BM27" s="39">
        <f t="shared" si="16"/>
        <v>0</v>
      </c>
      <c r="BN27" s="7"/>
      <c r="BO27" s="7"/>
      <c r="BP27" s="7"/>
      <c r="BQ27" s="39">
        <f t="shared" si="17"/>
        <v>0</v>
      </c>
      <c r="BR27" s="7"/>
      <c r="BS27" s="7"/>
      <c r="BT27" s="7"/>
      <c r="BU27" s="39">
        <f t="shared" si="18"/>
        <v>0</v>
      </c>
      <c r="BV27" s="7"/>
      <c r="BW27" s="7"/>
      <c r="BX27" s="7"/>
      <c r="BY27" s="39">
        <f t="shared" si="19"/>
        <v>0</v>
      </c>
      <c r="BZ27" s="7"/>
      <c r="CA27" s="7"/>
      <c r="CB27" s="7"/>
      <c r="CC27" s="39">
        <f t="shared" si="20"/>
        <v>0</v>
      </c>
      <c r="CD27" s="7">
        <v>1.0</v>
      </c>
      <c r="CE27" s="7">
        <v>1.0</v>
      </c>
      <c r="CF27" s="7"/>
      <c r="CG27" s="39">
        <f t="shared" si="21"/>
        <v>3</v>
      </c>
      <c r="CH27" s="7">
        <v>1.0</v>
      </c>
      <c r="CI27" s="7">
        <v>1.0</v>
      </c>
      <c r="CJ27" s="7"/>
      <c r="CK27" s="39">
        <f t="shared" si="22"/>
        <v>3</v>
      </c>
      <c r="CL27" s="7">
        <v>1.0</v>
      </c>
      <c r="CM27" s="7">
        <v>1.0</v>
      </c>
      <c r="CN27" s="7"/>
      <c r="CO27" s="39">
        <f t="shared" si="23"/>
        <v>3</v>
      </c>
      <c r="CP27" s="7">
        <v>1.0</v>
      </c>
      <c r="CQ27" s="7">
        <v>1.0</v>
      </c>
      <c r="CR27" s="7"/>
      <c r="CS27" s="39">
        <f t="shared" si="24"/>
        <v>3</v>
      </c>
      <c r="CT27" s="7">
        <v>1.0</v>
      </c>
      <c r="CU27" s="7">
        <v>1.0</v>
      </c>
      <c r="CV27" s="7"/>
      <c r="CW27" s="39">
        <f t="shared" si="25"/>
        <v>3</v>
      </c>
      <c r="CX27" s="7"/>
      <c r="CY27" s="7"/>
      <c r="CZ27" s="7"/>
      <c r="DA27" s="39">
        <f t="shared" si="26"/>
        <v>0</v>
      </c>
      <c r="DB27" s="7"/>
      <c r="DC27" s="7"/>
      <c r="DD27" s="7"/>
      <c r="DE27" s="39">
        <f t="shared" si="27"/>
        <v>0</v>
      </c>
      <c r="DF27" s="7"/>
      <c r="DG27" s="7"/>
      <c r="DH27" s="7"/>
      <c r="DI27" s="39">
        <f t="shared" si="28"/>
        <v>0</v>
      </c>
      <c r="DJ27" s="7"/>
      <c r="DK27" s="7"/>
      <c r="DL27" s="7"/>
      <c r="DM27" s="39">
        <f t="shared" si="29"/>
        <v>0</v>
      </c>
      <c r="DN27" s="7"/>
      <c r="DO27" s="7"/>
      <c r="DP27" s="7"/>
      <c r="DQ27" s="39">
        <f t="shared" si="30"/>
        <v>0</v>
      </c>
      <c r="DR27" s="7"/>
      <c r="DS27" s="7"/>
      <c r="DT27" s="7"/>
      <c r="DU27" s="39">
        <f t="shared" si="31"/>
        <v>0</v>
      </c>
      <c r="DV27" s="7"/>
      <c r="DW27" s="7"/>
      <c r="DX27" s="7"/>
      <c r="DY27" s="39">
        <f t="shared" si="32"/>
        <v>0</v>
      </c>
      <c r="DZ27" s="7"/>
      <c r="EA27" s="7"/>
      <c r="EB27" s="7"/>
      <c r="EC27" s="39">
        <f t="shared" si="33"/>
        <v>0</v>
      </c>
      <c r="ED27" s="7"/>
      <c r="EE27" s="7"/>
      <c r="EF27" s="7"/>
      <c r="EG27" s="39">
        <f t="shared" si="34"/>
        <v>0</v>
      </c>
      <c r="EH27" s="7"/>
      <c r="EI27" s="7"/>
      <c r="EJ27" s="7"/>
      <c r="EK27" s="39">
        <f t="shared" si="35"/>
        <v>0</v>
      </c>
      <c r="EL27" s="7"/>
      <c r="EM27" s="7"/>
      <c r="EN27" s="7"/>
      <c r="EO27" s="39">
        <f t="shared" si="36"/>
        <v>0</v>
      </c>
      <c r="EP27" s="7"/>
      <c r="EQ27" s="7"/>
      <c r="ER27" s="7"/>
      <c r="ES27" s="39">
        <f t="shared" si="37"/>
        <v>0</v>
      </c>
      <c r="ET27" s="7"/>
      <c r="EU27" s="7"/>
      <c r="EV27" s="7"/>
      <c r="EW27" s="39">
        <f t="shared" si="38"/>
        <v>0</v>
      </c>
      <c r="EX27" s="7"/>
      <c r="EY27" s="7"/>
      <c r="EZ27" s="7"/>
      <c r="FA27" s="39">
        <f t="shared" si="39"/>
        <v>0</v>
      </c>
      <c r="FB27" s="7"/>
      <c r="FC27" s="7"/>
      <c r="FD27" s="7"/>
      <c r="FE27" s="39">
        <f t="shared" si="40"/>
        <v>0</v>
      </c>
      <c r="FF27" s="7"/>
      <c r="FG27" s="7"/>
      <c r="FH27" s="7"/>
      <c r="FI27" s="39">
        <f t="shared" si="41"/>
        <v>0</v>
      </c>
      <c r="FJ27" s="7"/>
      <c r="FK27" s="7"/>
      <c r="FL27" s="7"/>
      <c r="FM27" s="39">
        <f t="shared" si="42"/>
        <v>0</v>
      </c>
      <c r="FN27" s="7"/>
      <c r="FO27" s="7"/>
      <c r="FP27" s="7"/>
      <c r="FQ27" s="39">
        <f t="shared" si="43"/>
        <v>0</v>
      </c>
      <c r="FR27" s="7"/>
      <c r="FS27" s="7"/>
      <c r="FT27" s="7"/>
      <c r="FU27" s="39">
        <f t="shared" si="44"/>
        <v>0</v>
      </c>
      <c r="FV27" s="7"/>
      <c r="FW27" s="7"/>
      <c r="FX27" s="7"/>
      <c r="FY27" s="39">
        <f t="shared" si="45"/>
        <v>0</v>
      </c>
      <c r="FZ27" s="7"/>
      <c r="GA27" s="7"/>
      <c r="GB27" s="7"/>
      <c r="GC27" s="39">
        <f t="shared" si="46"/>
        <v>0</v>
      </c>
      <c r="GD27" s="7"/>
      <c r="GE27" s="7"/>
      <c r="GF27" s="7"/>
      <c r="GG27" s="39">
        <f t="shared" si="47"/>
        <v>0</v>
      </c>
      <c r="GH27" s="7"/>
      <c r="GI27" s="7"/>
      <c r="GJ27" s="7"/>
      <c r="GK27" s="39">
        <f t="shared" si="48"/>
        <v>0</v>
      </c>
      <c r="GL27" s="7"/>
      <c r="GM27" s="7"/>
      <c r="GN27" s="7"/>
      <c r="GO27" s="39">
        <f t="shared" si="49"/>
        <v>0</v>
      </c>
      <c r="GP27" s="7"/>
      <c r="GQ27" s="7"/>
      <c r="GR27" s="7"/>
      <c r="GS27" s="39">
        <f t="shared" si="50"/>
        <v>0</v>
      </c>
      <c r="GT27" s="7"/>
      <c r="GU27" s="7"/>
      <c r="GV27" s="7"/>
      <c r="GW27" s="39">
        <f t="shared" si="51"/>
        <v>0</v>
      </c>
      <c r="GX27" s="7"/>
      <c r="GY27" s="7"/>
      <c r="GZ27" s="7"/>
      <c r="HA27" s="39">
        <f t="shared" si="52"/>
        <v>0</v>
      </c>
    </row>
    <row r="28">
      <c r="A28" s="20" t="s">
        <v>121</v>
      </c>
      <c r="B28" s="21"/>
      <c r="C28" s="1">
        <f t="shared" si="1"/>
        <v>26</v>
      </c>
      <c r="D28" s="15">
        <v>0.04</v>
      </c>
      <c r="E28" s="37">
        <v>28.080000000000002</v>
      </c>
      <c r="F28" s="4"/>
      <c r="G28" s="7"/>
      <c r="H28" s="7"/>
      <c r="I28" s="39">
        <f t="shared" si="2"/>
        <v>0</v>
      </c>
      <c r="J28" s="161"/>
      <c r="K28" s="1"/>
      <c r="L28" s="1"/>
      <c r="M28" s="39">
        <f t="shared" si="3"/>
        <v>0</v>
      </c>
      <c r="N28" s="1"/>
      <c r="O28" s="1"/>
      <c r="P28" s="7">
        <v>1.0</v>
      </c>
      <c r="Q28" s="39">
        <f t="shared" si="4"/>
        <v>7</v>
      </c>
      <c r="R28" s="1"/>
      <c r="S28" s="1"/>
      <c r="T28" s="7">
        <v>1.0</v>
      </c>
      <c r="U28" s="39">
        <f t="shared" si="5"/>
        <v>7</v>
      </c>
      <c r="V28" s="7"/>
      <c r="W28" s="7"/>
      <c r="X28" s="1"/>
      <c r="Y28" s="39">
        <f t="shared" si="6"/>
        <v>0</v>
      </c>
      <c r="Z28" s="1"/>
      <c r="AA28" s="1"/>
      <c r="AB28" s="1"/>
      <c r="AC28" s="39">
        <f t="shared" si="7"/>
        <v>0</v>
      </c>
      <c r="AD28" s="7"/>
      <c r="AE28" s="7"/>
      <c r="AF28" s="7"/>
      <c r="AG28" s="39">
        <f t="shared" si="8"/>
        <v>0</v>
      </c>
      <c r="AH28" s="7"/>
      <c r="AI28" s="7"/>
      <c r="AJ28" s="7"/>
      <c r="AK28" s="39">
        <f t="shared" si="9"/>
        <v>0</v>
      </c>
      <c r="AL28" s="4"/>
      <c r="AM28" s="7"/>
      <c r="AN28" s="7"/>
      <c r="AO28" s="39">
        <f t="shared" si="10"/>
        <v>0</v>
      </c>
      <c r="AP28" s="7"/>
      <c r="AQ28" s="7"/>
      <c r="AR28" s="7"/>
      <c r="AS28" s="39">
        <f t="shared" si="11"/>
        <v>0</v>
      </c>
      <c r="AT28" s="7"/>
      <c r="AU28" s="7"/>
      <c r="AV28" s="7"/>
      <c r="AW28" s="39">
        <f t="shared" si="12"/>
        <v>0</v>
      </c>
      <c r="AX28" s="7"/>
      <c r="AY28" s="7"/>
      <c r="AZ28" s="7"/>
      <c r="BA28" s="39">
        <f t="shared" si="13"/>
        <v>0</v>
      </c>
      <c r="BB28" s="7"/>
      <c r="BC28" s="7"/>
      <c r="BD28" s="7"/>
      <c r="BE28" s="39">
        <f t="shared" si="14"/>
        <v>0</v>
      </c>
      <c r="BF28" s="7"/>
      <c r="BG28" s="7"/>
      <c r="BH28" s="7"/>
      <c r="BI28" s="39">
        <f t="shared" si="15"/>
        <v>0</v>
      </c>
      <c r="BJ28" s="7"/>
      <c r="BK28" s="7"/>
      <c r="BL28" s="7">
        <v>1.0</v>
      </c>
      <c r="BM28" s="39">
        <f t="shared" si="16"/>
        <v>7</v>
      </c>
      <c r="BN28" s="7"/>
      <c r="BO28" s="7"/>
      <c r="BP28" s="7"/>
      <c r="BQ28" s="39">
        <f t="shared" si="17"/>
        <v>0</v>
      </c>
      <c r="BR28" s="7"/>
      <c r="BS28" s="7"/>
      <c r="BT28" s="7"/>
      <c r="BU28" s="39">
        <f t="shared" si="18"/>
        <v>0</v>
      </c>
      <c r="BV28" s="7"/>
      <c r="BW28" s="7"/>
      <c r="BX28" s="7"/>
      <c r="BY28" s="39">
        <f t="shared" si="19"/>
        <v>0</v>
      </c>
      <c r="BZ28" s="7"/>
      <c r="CA28" s="7"/>
      <c r="CB28" s="7"/>
      <c r="CC28" s="39">
        <f t="shared" si="20"/>
        <v>0</v>
      </c>
      <c r="CD28" s="7"/>
      <c r="CE28" s="7"/>
      <c r="CF28" s="7"/>
      <c r="CG28" s="39">
        <f t="shared" si="21"/>
        <v>0</v>
      </c>
      <c r="CH28" s="7"/>
      <c r="CI28" s="7"/>
      <c r="CJ28" s="7"/>
      <c r="CK28" s="39">
        <f t="shared" si="22"/>
        <v>0</v>
      </c>
      <c r="CL28" s="7"/>
      <c r="CM28" s="7"/>
      <c r="CN28" s="7"/>
      <c r="CO28" s="39">
        <f t="shared" si="23"/>
        <v>0</v>
      </c>
      <c r="CP28" s="7">
        <v>1.0</v>
      </c>
      <c r="CQ28" s="7">
        <v>1.0</v>
      </c>
      <c r="CR28" s="7"/>
      <c r="CS28" s="39">
        <f t="shared" si="24"/>
        <v>3</v>
      </c>
      <c r="CT28" s="7">
        <v>1.0</v>
      </c>
      <c r="CU28" s="7">
        <v>1.0</v>
      </c>
      <c r="CV28" s="7"/>
      <c r="CW28" s="39">
        <f t="shared" si="25"/>
        <v>3</v>
      </c>
      <c r="CX28" s="7"/>
      <c r="CY28" s="7"/>
      <c r="CZ28" s="7"/>
      <c r="DA28" s="39">
        <f t="shared" si="26"/>
        <v>0</v>
      </c>
      <c r="DB28" s="7"/>
      <c r="DC28" s="7"/>
      <c r="DD28" s="7"/>
      <c r="DE28" s="39">
        <f t="shared" si="27"/>
        <v>0</v>
      </c>
      <c r="DF28" s="7"/>
      <c r="DG28" s="7"/>
      <c r="DH28" s="7"/>
      <c r="DI28" s="39">
        <f t="shared" si="28"/>
        <v>0</v>
      </c>
      <c r="DJ28" s="7"/>
      <c r="DK28" s="7"/>
      <c r="DL28" s="7"/>
      <c r="DM28" s="39">
        <f t="shared" si="29"/>
        <v>0</v>
      </c>
      <c r="DN28" s="7"/>
      <c r="DO28" s="7"/>
      <c r="DP28" s="7"/>
      <c r="DQ28" s="39">
        <f t="shared" si="30"/>
        <v>0</v>
      </c>
      <c r="DR28" s="7"/>
      <c r="DS28" s="7"/>
      <c r="DT28" s="7"/>
      <c r="DU28" s="39">
        <f t="shared" si="31"/>
        <v>0</v>
      </c>
      <c r="DV28" s="7"/>
      <c r="DW28" s="7"/>
      <c r="DX28" s="7"/>
      <c r="DY28" s="39">
        <f t="shared" si="32"/>
        <v>0</v>
      </c>
      <c r="DZ28" s="7"/>
      <c r="EA28" s="7"/>
      <c r="EB28" s="7"/>
      <c r="EC28" s="39">
        <f t="shared" si="33"/>
        <v>0</v>
      </c>
      <c r="ED28" s="7"/>
      <c r="EE28" s="7"/>
      <c r="EF28" s="7"/>
      <c r="EG28" s="39">
        <f t="shared" si="34"/>
        <v>0</v>
      </c>
      <c r="EH28" s="7"/>
      <c r="EI28" s="7"/>
      <c r="EJ28" s="7"/>
      <c r="EK28" s="39">
        <f t="shared" si="35"/>
        <v>0</v>
      </c>
      <c r="EL28" s="7"/>
      <c r="EM28" s="7"/>
      <c r="EN28" s="7"/>
      <c r="EO28" s="39">
        <f t="shared" si="36"/>
        <v>0</v>
      </c>
      <c r="EP28" s="7"/>
      <c r="EQ28" s="7"/>
      <c r="ER28" s="7"/>
      <c r="ES28" s="39">
        <f t="shared" si="37"/>
        <v>0</v>
      </c>
      <c r="ET28" s="7"/>
      <c r="EU28" s="7"/>
      <c r="EV28" s="7"/>
      <c r="EW28" s="39">
        <f t="shared" si="38"/>
        <v>0</v>
      </c>
      <c r="EX28" s="7"/>
      <c r="EY28" s="7"/>
      <c r="EZ28" s="7"/>
      <c r="FA28" s="39">
        <f t="shared" si="39"/>
        <v>0</v>
      </c>
      <c r="FB28" s="7"/>
      <c r="FC28" s="7"/>
      <c r="FD28" s="7"/>
      <c r="FE28" s="39">
        <f t="shared" si="40"/>
        <v>0</v>
      </c>
      <c r="FF28" s="7"/>
      <c r="FG28" s="7"/>
      <c r="FH28" s="7"/>
      <c r="FI28" s="39">
        <f t="shared" si="41"/>
        <v>0</v>
      </c>
      <c r="FJ28" s="7"/>
      <c r="FK28" s="7"/>
      <c r="FL28" s="7"/>
      <c r="FM28" s="39">
        <f t="shared" si="42"/>
        <v>0</v>
      </c>
      <c r="FN28" s="7"/>
      <c r="FO28" s="7"/>
      <c r="FP28" s="7"/>
      <c r="FQ28" s="39">
        <f t="shared" si="43"/>
        <v>0</v>
      </c>
      <c r="FR28" s="7"/>
      <c r="FS28" s="7"/>
      <c r="FT28" s="7"/>
      <c r="FU28" s="39">
        <f t="shared" si="44"/>
        <v>0</v>
      </c>
      <c r="FV28" s="7"/>
      <c r="FW28" s="7"/>
      <c r="FX28" s="7"/>
      <c r="FY28" s="39">
        <f t="shared" si="45"/>
        <v>0</v>
      </c>
      <c r="FZ28" s="7"/>
      <c r="GA28" s="7"/>
      <c r="GB28" s="7"/>
      <c r="GC28" s="39">
        <f t="shared" si="46"/>
        <v>0</v>
      </c>
      <c r="GD28" s="7"/>
      <c r="GE28" s="7"/>
      <c r="GF28" s="7"/>
      <c r="GG28" s="39">
        <f t="shared" si="47"/>
        <v>0</v>
      </c>
      <c r="GH28" s="7"/>
      <c r="GI28" s="7"/>
      <c r="GJ28" s="7"/>
      <c r="GK28" s="39">
        <f t="shared" si="48"/>
        <v>0</v>
      </c>
      <c r="GL28" s="7"/>
      <c r="GM28" s="7"/>
      <c r="GN28" s="7"/>
      <c r="GO28" s="39">
        <f t="shared" si="49"/>
        <v>0</v>
      </c>
      <c r="GP28" s="7"/>
      <c r="GQ28" s="7"/>
      <c r="GR28" s="7"/>
      <c r="GS28" s="39">
        <f t="shared" si="50"/>
        <v>0</v>
      </c>
      <c r="GT28" s="7"/>
      <c r="GU28" s="7"/>
      <c r="GV28" s="7"/>
      <c r="GW28" s="39">
        <f t="shared" si="51"/>
        <v>0</v>
      </c>
      <c r="GX28" s="7"/>
      <c r="GY28" s="7"/>
      <c r="GZ28" s="7"/>
      <c r="HA28" s="39">
        <f t="shared" si="52"/>
        <v>0</v>
      </c>
    </row>
    <row r="29">
      <c r="A29" s="20" t="s">
        <v>88</v>
      </c>
      <c r="B29" s="21"/>
      <c r="C29" s="1">
        <f t="shared" si="1"/>
        <v>27</v>
      </c>
      <c r="D29" s="15">
        <v>0.13999999999999999</v>
      </c>
      <c r="E29" s="37">
        <v>20.52</v>
      </c>
      <c r="F29" s="4">
        <v>1.0</v>
      </c>
      <c r="G29" s="7">
        <v>1.0</v>
      </c>
      <c r="H29" s="7"/>
      <c r="I29" s="39">
        <f t="shared" si="2"/>
        <v>3</v>
      </c>
      <c r="J29" s="4">
        <v>1.0</v>
      </c>
      <c r="K29" s="7">
        <v>1.0</v>
      </c>
      <c r="L29" s="7"/>
      <c r="M29" s="39">
        <f t="shared" si="3"/>
        <v>3</v>
      </c>
      <c r="N29" s="7"/>
      <c r="O29" s="7"/>
      <c r="P29" s="7"/>
      <c r="Q29" s="39">
        <f t="shared" si="4"/>
        <v>0</v>
      </c>
      <c r="R29" s="7"/>
      <c r="S29" s="7"/>
      <c r="T29" s="7"/>
      <c r="U29" s="39">
        <f t="shared" si="5"/>
        <v>0</v>
      </c>
      <c r="V29" s="1"/>
      <c r="W29" s="1"/>
      <c r="X29" s="1"/>
      <c r="Y29" s="39">
        <f t="shared" si="6"/>
        <v>0</v>
      </c>
      <c r="Z29" s="7"/>
      <c r="AA29" s="7"/>
      <c r="AB29" s="7"/>
      <c r="AC29" s="39">
        <f t="shared" si="7"/>
        <v>0</v>
      </c>
      <c r="AD29" s="7"/>
      <c r="AE29" s="7"/>
      <c r="AF29" s="7"/>
      <c r="AG29" s="39">
        <f t="shared" si="8"/>
        <v>0</v>
      </c>
      <c r="AH29" s="7"/>
      <c r="AI29" s="7"/>
      <c r="AJ29" s="7"/>
      <c r="AK29" s="39">
        <f t="shared" si="9"/>
        <v>0</v>
      </c>
      <c r="AL29" s="4"/>
      <c r="AM29" s="7"/>
      <c r="AN29" s="7"/>
      <c r="AO29" s="39">
        <f t="shared" si="10"/>
        <v>0</v>
      </c>
      <c r="AP29" s="7"/>
      <c r="AQ29" s="7"/>
      <c r="AR29" s="7"/>
      <c r="AS29" s="39">
        <f t="shared" si="11"/>
        <v>0</v>
      </c>
      <c r="AT29" s="7"/>
      <c r="AU29" s="7"/>
      <c r="AV29" s="7"/>
      <c r="AW29" s="39">
        <f t="shared" si="12"/>
        <v>0</v>
      </c>
      <c r="AX29" s="7"/>
      <c r="AY29" s="7"/>
      <c r="AZ29" s="7"/>
      <c r="BA29" s="39">
        <f t="shared" si="13"/>
        <v>0</v>
      </c>
      <c r="BB29" s="7"/>
      <c r="BC29" s="7"/>
      <c r="BD29" s="7"/>
      <c r="BE29" s="39">
        <f t="shared" si="14"/>
        <v>0</v>
      </c>
      <c r="BF29" s="7"/>
      <c r="BG29" s="7"/>
      <c r="BH29" s="7"/>
      <c r="BI29" s="39">
        <f t="shared" si="15"/>
        <v>0</v>
      </c>
      <c r="BJ29" s="7"/>
      <c r="BK29" s="7"/>
      <c r="BL29" s="7"/>
      <c r="BM29" s="39">
        <f t="shared" si="16"/>
        <v>0</v>
      </c>
      <c r="BN29" s="7"/>
      <c r="BO29" s="7"/>
      <c r="BP29" s="7"/>
      <c r="BQ29" s="39">
        <f t="shared" si="17"/>
        <v>0</v>
      </c>
      <c r="BR29" s="7"/>
      <c r="BS29" s="7"/>
      <c r="BT29" s="7"/>
      <c r="BU29" s="39">
        <f t="shared" si="18"/>
        <v>0</v>
      </c>
      <c r="BV29" s="7"/>
      <c r="BW29" s="7"/>
      <c r="BX29" s="7"/>
      <c r="BY29" s="39">
        <f t="shared" si="19"/>
        <v>0</v>
      </c>
      <c r="BZ29" s="7"/>
      <c r="CA29" s="7"/>
      <c r="CB29" s="7"/>
      <c r="CC29" s="39">
        <f t="shared" si="20"/>
        <v>0</v>
      </c>
      <c r="CD29" s="7"/>
      <c r="CE29" s="7"/>
      <c r="CF29" s="7"/>
      <c r="CG29" s="39">
        <f t="shared" si="21"/>
        <v>0</v>
      </c>
      <c r="CH29" s="7">
        <v>1.0</v>
      </c>
      <c r="CI29" s="7">
        <v>1.0</v>
      </c>
      <c r="CJ29" s="7"/>
      <c r="CK29" s="39">
        <f t="shared" si="22"/>
        <v>3</v>
      </c>
      <c r="CL29" s="7">
        <v>1.0</v>
      </c>
      <c r="CM29" s="7">
        <v>1.0</v>
      </c>
      <c r="CN29" s="7"/>
      <c r="CO29" s="39">
        <f t="shared" si="23"/>
        <v>3</v>
      </c>
      <c r="CP29" s="7">
        <v>1.0</v>
      </c>
      <c r="CQ29" s="7">
        <v>1.0</v>
      </c>
      <c r="CR29" s="7"/>
      <c r="CS29" s="39">
        <f t="shared" si="24"/>
        <v>3</v>
      </c>
      <c r="CT29" s="7">
        <v>1.0</v>
      </c>
      <c r="CU29" s="7">
        <v>1.0</v>
      </c>
      <c r="CV29" s="7"/>
      <c r="CW29" s="39">
        <f t="shared" si="25"/>
        <v>3</v>
      </c>
      <c r="CX29" s="7"/>
      <c r="CY29" s="7"/>
      <c r="CZ29" s="7"/>
      <c r="DA29" s="39">
        <f t="shared" si="26"/>
        <v>0</v>
      </c>
      <c r="DB29" s="7"/>
      <c r="DC29" s="7"/>
      <c r="DD29" s="7"/>
      <c r="DE29" s="39">
        <f t="shared" si="27"/>
        <v>0</v>
      </c>
      <c r="DF29" s="7"/>
      <c r="DG29" s="7"/>
      <c r="DH29" s="7"/>
      <c r="DI29" s="39">
        <f t="shared" si="28"/>
        <v>0</v>
      </c>
      <c r="DJ29" s="7"/>
      <c r="DK29" s="7"/>
      <c r="DL29" s="7"/>
      <c r="DM29" s="39">
        <f t="shared" si="29"/>
        <v>0</v>
      </c>
      <c r="DN29" s="7"/>
      <c r="DO29" s="7"/>
      <c r="DP29" s="7"/>
      <c r="DQ29" s="39">
        <f t="shared" si="30"/>
        <v>0</v>
      </c>
      <c r="DR29" s="7"/>
      <c r="DS29" s="7"/>
      <c r="DT29" s="7"/>
      <c r="DU29" s="39">
        <f t="shared" si="31"/>
        <v>0</v>
      </c>
      <c r="DV29" s="7"/>
      <c r="DW29" s="7"/>
      <c r="DX29" s="7"/>
      <c r="DY29" s="39">
        <f t="shared" si="32"/>
        <v>0</v>
      </c>
      <c r="DZ29" s="7"/>
      <c r="EA29" s="7"/>
      <c r="EB29" s="7"/>
      <c r="EC29" s="39">
        <f t="shared" si="33"/>
        <v>0</v>
      </c>
      <c r="ED29" s="7"/>
      <c r="EE29" s="7"/>
      <c r="EF29" s="7"/>
      <c r="EG29" s="39">
        <f t="shared" si="34"/>
        <v>0</v>
      </c>
      <c r="EH29" s="7"/>
      <c r="EI29" s="7"/>
      <c r="EJ29" s="7"/>
      <c r="EK29" s="39">
        <f t="shared" si="35"/>
        <v>0</v>
      </c>
      <c r="EL29" s="7"/>
      <c r="EM29" s="7"/>
      <c r="EN29" s="7"/>
      <c r="EO29" s="39">
        <f t="shared" si="36"/>
        <v>0</v>
      </c>
      <c r="EP29" s="7"/>
      <c r="EQ29" s="7"/>
      <c r="ER29" s="7"/>
      <c r="ES29" s="39">
        <f t="shared" si="37"/>
        <v>0</v>
      </c>
      <c r="ET29" s="7"/>
      <c r="EU29" s="7"/>
      <c r="EV29" s="7"/>
      <c r="EW29" s="39">
        <f t="shared" si="38"/>
        <v>0</v>
      </c>
      <c r="EX29" s="7"/>
      <c r="EY29" s="7"/>
      <c r="EZ29" s="7"/>
      <c r="FA29" s="39">
        <f t="shared" si="39"/>
        <v>0</v>
      </c>
      <c r="FB29" s="7"/>
      <c r="FC29" s="7"/>
      <c r="FD29" s="7"/>
      <c r="FE29" s="39">
        <f t="shared" si="40"/>
        <v>0</v>
      </c>
      <c r="FF29" s="7"/>
      <c r="FG29" s="7"/>
      <c r="FH29" s="7"/>
      <c r="FI29" s="39">
        <f t="shared" si="41"/>
        <v>0</v>
      </c>
      <c r="FJ29" s="7"/>
      <c r="FK29" s="7"/>
      <c r="FL29" s="7"/>
      <c r="FM29" s="39">
        <f t="shared" si="42"/>
        <v>0</v>
      </c>
      <c r="FN29" s="7"/>
      <c r="FO29" s="7"/>
      <c r="FP29" s="7"/>
      <c r="FQ29" s="39">
        <f t="shared" si="43"/>
        <v>0</v>
      </c>
      <c r="FR29" s="7"/>
      <c r="FS29" s="7"/>
      <c r="FT29" s="7"/>
      <c r="FU29" s="39">
        <f t="shared" si="44"/>
        <v>0</v>
      </c>
      <c r="FV29" s="7"/>
      <c r="FW29" s="7"/>
      <c r="FX29" s="7"/>
      <c r="FY29" s="39">
        <f t="shared" si="45"/>
        <v>0</v>
      </c>
      <c r="FZ29" s="7"/>
      <c r="GA29" s="7"/>
      <c r="GB29" s="7"/>
      <c r="GC29" s="39">
        <f t="shared" si="46"/>
        <v>0</v>
      </c>
      <c r="GD29" s="7"/>
      <c r="GE29" s="7"/>
      <c r="GF29" s="7"/>
      <c r="GG29" s="39">
        <f t="shared" si="47"/>
        <v>0</v>
      </c>
      <c r="GH29" s="7"/>
      <c r="GI29" s="7"/>
      <c r="GJ29" s="7"/>
      <c r="GK29" s="39">
        <f t="shared" si="48"/>
        <v>0</v>
      </c>
      <c r="GL29" s="7"/>
      <c r="GM29" s="7"/>
      <c r="GN29" s="7"/>
      <c r="GO29" s="39">
        <f t="shared" si="49"/>
        <v>0</v>
      </c>
      <c r="GP29" s="7"/>
      <c r="GQ29" s="7"/>
      <c r="GR29" s="7"/>
      <c r="GS29" s="39">
        <f t="shared" si="50"/>
        <v>0</v>
      </c>
      <c r="GT29" s="7"/>
      <c r="GU29" s="7"/>
      <c r="GV29" s="7"/>
      <c r="GW29" s="39">
        <f t="shared" si="51"/>
        <v>0</v>
      </c>
      <c r="GX29" s="7"/>
      <c r="GY29" s="7"/>
      <c r="GZ29" s="7"/>
      <c r="HA29" s="39">
        <f t="shared" si="52"/>
        <v>0</v>
      </c>
    </row>
    <row r="30">
      <c r="A30" s="20" t="s">
        <v>91</v>
      </c>
      <c r="B30" s="21" t="s">
        <v>92</v>
      </c>
      <c r="C30" s="1">
        <f t="shared" si="1"/>
        <v>28</v>
      </c>
      <c r="D30" s="15">
        <v>0.13</v>
      </c>
      <c r="E30" s="37">
        <v>20.339999999999996</v>
      </c>
      <c r="F30" s="4"/>
      <c r="G30" s="7"/>
      <c r="H30" s="1"/>
      <c r="I30" s="39">
        <f t="shared" si="2"/>
        <v>0</v>
      </c>
      <c r="J30" s="161"/>
      <c r="K30" s="1"/>
      <c r="L30" s="1"/>
      <c r="M30" s="39">
        <f t="shared" si="3"/>
        <v>0</v>
      </c>
      <c r="N30" s="1"/>
      <c r="O30" s="1"/>
      <c r="P30" s="1"/>
      <c r="Q30" s="39">
        <f t="shared" si="4"/>
        <v>0</v>
      </c>
      <c r="R30" s="7"/>
      <c r="S30" s="7"/>
      <c r="T30" s="1"/>
      <c r="U30" s="39">
        <f t="shared" si="5"/>
        <v>0</v>
      </c>
      <c r="V30" s="1"/>
      <c r="W30" s="1"/>
      <c r="X30" s="1"/>
      <c r="Y30" s="39">
        <f t="shared" si="6"/>
        <v>0</v>
      </c>
      <c r="Z30" s="1"/>
      <c r="AA30" s="1"/>
      <c r="AB30" s="1"/>
      <c r="AC30" s="39">
        <f t="shared" si="7"/>
        <v>0</v>
      </c>
      <c r="AD30" s="7"/>
      <c r="AE30" s="7"/>
      <c r="AF30" s="7"/>
      <c r="AG30" s="39">
        <f t="shared" si="8"/>
        <v>0</v>
      </c>
      <c r="AH30" s="7"/>
      <c r="AI30" s="7"/>
      <c r="AJ30" s="7"/>
      <c r="AK30" s="39">
        <f t="shared" si="9"/>
        <v>0</v>
      </c>
      <c r="AL30" s="4"/>
      <c r="AM30" s="7"/>
      <c r="AN30" s="7"/>
      <c r="AO30" s="39">
        <f t="shared" si="10"/>
        <v>0</v>
      </c>
      <c r="AP30" s="7"/>
      <c r="AQ30" s="7"/>
      <c r="AR30" s="7"/>
      <c r="AS30" s="39">
        <f t="shared" si="11"/>
        <v>0</v>
      </c>
      <c r="AT30" s="7"/>
      <c r="AU30" s="7"/>
      <c r="AV30" s="7"/>
      <c r="AW30" s="39">
        <f t="shared" si="12"/>
        <v>0</v>
      </c>
      <c r="AX30" s="7"/>
      <c r="AY30" s="7"/>
      <c r="AZ30" s="7"/>
      <c r="BA30" s="39">
        <f t="shared" si="13"/>
        <v>0</v>
      </c>
      <c r="BB30" s="7"/>
      <c r="BC30" s="7"/>
      <c r="BD30" s="7"/>
      <c r="BE30" s="39">
        <f t="shared" si="14"/>
        <v>0</v>
      </c>
      <c r="BF30" s="7"/>
      <c r="BG30" s="7"/>
      <c r="BH30" s="7"/>
      <c r="BI30" s="39">
        <f t="shared" si="15"/>
        <v>0</v>
      </c>
      <c r="BJ30" s="7"/>
      <c r="BK30" s="7"/>
      <c r="BL30" s="7"/>
      <c r="BM30" s="39">
        <f t="shared" si="16"/>
        <v>0</v>
      </c>
      <c r="BN30" s="7"/>
      <c r="BO30" s="7"/>
      <c r="BP30" s="7"/>
      <c r="BQ30" s="39">
        <f t="shared" si="17"/>
        <v>0</v>
      </c>
      <c r="BR30" s="7"/>
      <c r="BS30" s="7"/>
      <c r="BT30" s="7"/>
      <c r="BU30" s="39">
        <f t="shared" si="18"/>
        <v>0</v>
      </c>
      <c r="BV30" s="7"/>
      <c r="BW30" s="7"/>
      <c r="BX30" s="7"/>
      <c r="BY30" s="39">
        <f t="shared" si="19"/>
        <v>0</v>
      </c>
      <c r="BZ30" s="7"/>
      <c r="CA30" s="7"/>
      <c r="CB30" s="7"/>
      <c r="CC30" s="39">
        <f t="shared" si="20"/>
        <v>0</v>
      </c>
      <c r="CD30" s="7">
        <v>1.0</v>
      </c>
      <c r="CE30" s="7">
        <v>1.0</v>
      </c>
      <c r="CF30" s="7"/>
      <c r="CG30" s="39">
        <f t="shared" si="21"/>
        <v>3</v>
      </c>
      <c r="CH30" s="7">
        <v>1.0</v>
      </c>
      <c r="CI30" s="7">
        <v>1.0</v>
      </c>
      <c r="CJ30" s="7"/>
      <c r="CK30" s="39">
        <f t="shared" si="22"/>
        <v>3</v>
      </c>
      <c r="CL30" s="7">
        <v>1.0</v>
      </c>
      <c r="CM30" s="7">
        <v>1.0</v>
      </c>
      <c r="CN30" s="7"/>
      <c r="CO30" s="39">
        <f t="shared" si="23"/>
        <v>3</v>
      </c>
      <c r="CP30" s="7">
        <v>1.0</v>
      </c>
      <c r="CQ30" s="7">
        <v>1.0</v>
      </c>
      <c r="CR30" s="7"/>
      <c r="CS30" s="39">
        <f t="shared" si="24"/>
        <v>3</v>
      </c>
      <c r="CT30" s="7">
        <v>1.0</v>
      </c>
      <c r="CU30" s="7">
        <v>1.0</v>
      </c>
      <c r="CV30" s="7"/>
      <c r="CW30" s="39">
        <f t="shared" si="25"/>
        <v>3</v>
      </c>
      <c r="CX30" s="7"/>
      <c r="CY30" s="7"/>
      <c r="CZ30" s="7"/>
      <c r="DA30" s="39">
        <f t="shared" si="26"/>
        <v>0</v>
      </c>
      <c r="DB30" s="7"/>
      <c r="DC30" s="7"/>
      <c r="DD30" s="7"/>
      <c r="DE30" s="39">
        <f t="shared" si="27"/>
        <v>0</v>
      </c>
      <c r="DF30" s="7"/>
      <c r="DG30" s="7"/>
      <c r="DH30" s="7"/>
      <c r="DI30" s="39">
        <f t="shared" si="28"/>
        <v>0</v>
      </c>
      <c r="DJ30" s="7"/>
      <c r="DK30" s="7"/>
      <c r="DL30" s="7"/>
      <c r="DM30" s="39">
        <f t="shared" si="29"/>
        <v>0</v>
      </c>
      <c r="DN30" s="7"/>
      <c r="DO30" s="7"/>
      <c r="DP30" s="7"/>
      <c r="DQ30" s="39">
        <f t="shared" si="30"/>
        <v>0</v>
      </c>
      <c r="DR30" s="7"/>
      <c r="DS30" s="7"/>
      <c r="DT30" s="7"/>
      <c r="DU30" s="39">
        <f t="shared" si="31"/>
        <v>0</v>
      </c>
      <c r="DV30" s="7"/>
      <c r="DW30" s="7"/>
      <c r="DX30" s="7"/>
      <c r="DY30" s="39">
        <f t="shared" si="32"/>
        <v>0</v>
      </c>
      <c r="DZ30" s="7"/>
      <c r="EA30" s="7"/>
      <c r="EB30" s="7"/>
      <c r="EC30" s="39">
        <f t="shared" si="33"/>
        <v>0</v>
      </c>
      <c r="ED30" s="7"/>
      <c r="EE30" s="7"/>
      <c r="EF30" s="7"/>
      <c r="EG30" s="39">
        <f t="shared" si="34"/>
        <v>0</v>
      </c>
      <c r="EH30" s="7"/>
      <c r="EI30" s="7"/>
      <c r="EJ30" s="7"/>
      <c r="EK30" s="39">
        <f t="shared" si="35"/>
        <v>0</v>
      </c>
      <c r="EL30" s="7"/>
      <c r="EM30" s="7"/>
      <c r="EN30" s="7"/>
      <c r="EO30" s="39">
        <f t="shared" si="36"/>
        <v>0</v>
      </c>
      <c r="EP30" s="7"/>
      <c r="EQ30" s="7"/>
      <c r="ER30" s="7"/>
      <c r="ES30" s="39">
        <f t="shared" si="37"/>
        <v>0</v>
      </c>
      <c r="ET30" s="7"/>
      <c r="EU30" s="7"/>
      <c r="EV30" s="7"/>
      <c r="EW30" s="39">
        <f t="shared" si="38"/>
        <v>0</v>
      </c>
      <c r="EX30" s="7"/>
      <c r="EY30" s="7"/>
      <c r="EZ30" s="7"/>
      <c r="FA30" s="39">
        <f t="shared" si="39"/>
        <v>0</v>
      </c>
      <c r="FB30" s="7"/>
      <c r="FC30" s="7"/>
      <c r="FD30" s="7"/>
      <c r="FE30" s="39">
        <f t="shared" si="40"/>
        <v>0</v>
      </c>
      <c r="FF30" s="7"/>
      <c r="FG30" s="7"/>
      <c r="FH30" s="7"/>
      <c r="FI30" s="39">
        <f t="shared" si="41"/>
        <v>0</v>
      </c>
      <c r="FJ30" s="7"/>
      <c r="FK30" s="7"/>
      <c r="FL30" s="7"/>
      <c r="FM30" s="39">
        <f t="shared" si="42"/>
        <v>0</v>
      </c>
      <c r="FN30" s="7"/>
      <c r="FO30" s="7"/>
      <c r="FP30" s="7"/>
      <c r="FQ30" s="39">
        <f t="shared" si="43"/>
        <v>0</v>
      </c>
      <c r="FR30" s="7"/>
      <c r="FS30" s="7"/>
      <c r="FT30" s="7"/>
      <c r="FU30" s="39">
        <f t="shared" si="44"/>
        <v>0</v>
      </c>
      <c r="FV30" s="7"/>
      <c r="FW30" s="7"/>
      <c r="FX30" s="7"/>
      <c r="FY30" s="39">
        <f t="shared" si="45"/>
        <v>0</v>
      </c>
      <c r="FZ30" s="7"/>
      <c r="GA30" s="7"/>
      <c r="GB30" s="7"/>
      <c r="GC30" s="39">
        <f t="shared" si="46"/>
        <v>0</v>
      </c>
      <c r="GD30" s="7"/>
      <c r="GE30" s="7"/>
      <c r="GF30" s="7"/>
      <c r="GG30" s="39">
        <f t="shared" si="47"/>
        <v>0</v>
      </c>
      <c r="GH30" s="7"/>
      <c r="GI30" s="7"/>
      <c r="GJ30" s="7"/>
      <c r="GK30" s="39">
        <f t="shared" si="48"/>
        <v>0</v>
      </c>
      <c r="GL30" s="7"/>
      <c r="GM30" s="7"/>
      <c r="GN30" s="7"/>
      <c r="GO30" s="39">
        <f t="shared" si="49"/>
        <v>0</v>
      </c>
      <c r="GP30" s="7">
        <v>1.0</v>
      </c>
      <c r="GQ30" s="7">
        <v>1.0</v>
      </c>
      <c r="GR30" s="7"/>
      <c r="GS30" s="39">
        <f t="shared" si="50"/>
        <v>3</v>
      </c>
      <c r="GT30" s="7"/>
      <c r="GU30" s="7"/>
      <c r="GV30" s="7"/>
      <c r="GW30" s="39">
        <f t="shared" si="51"/>
        <v>0</v>
      </c>
      <c r="GX30" s="7"/>
      <c r="GY30" s="7"/>
      <c r="GZ30" s="7"/>
      <c r="HA30" s="39">
        <f t="shared" si="52"/>
        <v>0</v>
      </c>
    </row>
    <row r="31">
      <c r="A31" s="20" t="s">
        <v>52</v>
      </c>
      <c r="B31" s="21" t="s">
        <v>53</v>
      </c>
      <c r="C31" s="1">
        <f t="shared" si="1"/>
        <v>29</v>
      </c>
      <c r="D31" s="15">
        <v>0.24</v>
      </c>
      <c r="E31" s="37">
        <v>8.68</v>
      </c>
      <c r="F31" s="4"/>
      <c r="G31" s="7"/>
      <c r="H31" s="1"/>
      <c r="I31" s="39">
        <f t="shared" si="2"/>
        <v>0</v>
      </c>
      <c r="J31" s="161"/>
      <c r="K31" s="1"/>
      <c r="L31" s="1"/>
      <c r="M31" s="39">
        <f t="shared" si="3"/>
        <v>0</v>
      </c>
      <c r="N31" s="1"/>
      <c r="O31" s="1"/>
      <c r="P31" s="1"/>
      <c r="Q31" s="39">
        <f t="shared" si="4"/>
        <v>0</v>
      </c>
      <c r="R31" s="1"/>
      <c r="S31" s="1"/>
      <c r="T31" s="1"/>
      <c r="U31" s="39">
        <f t="shared" si="5"/>
        <v>0</v>
      </c>
      <c r="V31" s="1"/>
      <c r="W31" s="1"/>
      <c r="X31" s="1"/>
      <c r="Y31" s="39">
        <f t="shared" si="6"/>
        <v>0</v>
      </c>
      <c r="Z31" s="1"/>
      <c r="AA31" s="1"/>
      <c r="AB31" s="1"/>
      <c r="AC31" s="39">
        <f t="shared" si="7"/>
        <v>0</v>
      </c>
      <c r="AD31" s="7"/>
      <c r="AE31" s="7"/>
      <c r="AF31" s="7"/>
      <c r="AG31" s="39">
        <f t="shared" si="8"/>
        <v>0</v>
      </c>
      <c r="AH31" s="7"/>
      <c r="AI31" s="7"/>
      <c r="AJ31" s="7"/>
      <c r="AK31" s="39">
        <f t="shared" si="9"/>
        <v>0</v>
      </c>
      <c r="AL31" s="4"/>
      <c r="AM31" s="7"/>
      <c r="AN31" s="7"/>
      <c r="AO31" s="39">
        <f t="shared" si="10"/>
        <v>0</v>
      </c>
      <c r="AP31" s="7"/>
      <c r="AQ31" s="7"/>
      <c r="AR31" s="7"/>
      <c r="AS31" s="39">
        <f t="shared" si="11"/>
        <v>0</v>
      </c>
      <c r="AT31" s="7"/>
      <c r="AU31" s="7"/>
      <c r="AV31" s="7"/>
      <c r="AW31" s="39">
        <f t="shared" si="12"/>
        <v>0</v>
      </c>
      <c r="AX31" s="7"/>
      <c r="AY31" s="7"/>
      <c r="AZ31" s="7"/>
      <c r="BA31" s="39">
        <f t="shared" si="13"/>
        <v>0</v>
      </c>
      <c r="BB31" s="7"/>
      <c r="BC31" s="7"/>
      <c r="BD31" s="7"/>
      <c r="BE31" s="39">
        <f t="shared" si="14"/>
        <v>0</v>
      </c>
      <c r="BF31" s="7"/>
      <c r="BG31" s="7"/>
      <c r="BH31" s="7"/>
      <c r="BI31" s="39">
        <f t="shared" si="15"/>
        <v>0</v>
      </c>
      <c r="BJ31" s="7"/>
      <c r="BK31" s="7"/>
      <c r="BL31" s="7"/>
      <c r="BM31" s="39">
        <f t="shared" si="16"/>
        <v>0</v>
      </c>
      <c r="BN31" s="7"/>
      <c r="BO31" s="7"/>
      <c r="BP31" s="7"/>
      <c r="BQ31" s="39">
        <f t="shared" si="17"/>
        <v>0</v>
      </c>
      <c r="BR31" s="7"/>
      <c r="BS31" s="7"/>
      <c r="BT31" s="7"/>
      <c r="BU31" s="39">
        <f t="shared" si="18"/>
        <v>0</v>
      </c>
      <c r="BV31" s="7"/>
      <c r="BW31" s="7"/>
      <c r="BX31" s="7"/>
      <c r="BY31" s="39">
        <f t="shared" si="19"/>
        <v>0</v>
      </c>
      <c r="BZ31" s="7"/>
      <c r="CA31" s="7"/>
      <c r="CB31" s="7"/>
      <c r="CC31" s="39">
        <f t="shared" si="20"/>
        <v>0</v>
      </c>
      <c r="CD31" s="7"/>
      <c r="CE31" s="7"/>
      <c r="CF31" s="7"/>
      <c r="CG31" s="39">
        <f t="shared" si="21"/>
        <v>0</v>
      </c>
      <c r="CH31" s="7"/>
      <c r="CI31" s="7"/>
      <c r="CJ31" s="7"/>
      <c r="CK31" s="39">
        <f t="shared" si="22"/>
        <v>0</v>
      </c>
      <c r="CL31" s="7"/>
      <c r="CM31" s="7"/>
      <c r="CN31" s="7"/>
      <c r="CO31" s="39">
        <f t="shared" si="23"/>
        <v>0</v>
      </c>
      <c r="CP31" s="7"/>
      <c r="CQ31" s="7"/>
      <c r="CR31" s="7"/>
      <c r="CS31" s="39">
        <f t="shared" si="24"/>
        <v>0</v>
      </c>
      <c r="CT31" s="7"/>
      <c r="CU31" s="7"/>
      <c r="CV31" s="7"/>
      <c r="CW31" s="39">
        <f t="shared" si="25"/>
        <v>0</v>
      </c>
      <c r="CX31" s="7"/>
      <c r="CY31" s="7"/>
      <c r="CZ31" s="7"/>
      <c r="DA31" s="39">
        <f t="shared" si="26"/>
        <v>0</v>
      </c>
      <c r="DB31" s="7"/>
      <c r="DC31" s="7"/>
      <c r="DD31" s="7"/>
      <c r="DE31" s="39">
        <f t="shared" si="27"/>
        <v>0</v>
      </c>
      <c r="DF31" s="7"/>
      <c r="DG31" s="7"/>
      <c r="DH31" s="7"/>
      <c r="DI31" s="39">
        <f t="shared" si="28"/>
        <v>0</v>
      </c>
      <c r="DJ31" s="7"/>
      <c r="DK31" s="7"/>
      <c r="DL31" s="7"/>
      <c r="DM31" s="39">
        <f t="shared" si="29"/>
        <v>0</v>
      </c>
      <c r="DN31" s="7"/>
      <c r="DO31" s="7"/>
      <c r="DP31" s="7"/>
      <c r="DQ31" s="39">
        <f t="shared" si="30"/>
        <v>0</v>
      </c>
      <c r="DR31" s="7"/>
      <c r="DS31" s="7"/>
      <c r="DT31" s="7"/>
      <c r="DU31" s="39">
        <f t="shared" si="31"/>
        <v>0</v>
      </c>
      <c r="DV31" s="7"/>
      <c r="DW31" s="7"/>
      <c r="DX31" s="7"/>
      <c r="DY31" s="39">
        <f t="shared" si="32"/>
        <v>0</v>
      </c>
      <c r="DZ31" s="7"/>
      <c r="EA31" s="7"/>
      <c r="EB31" s="7"/>
      <c r="EC31" s="39">
        <f t="shared" si="33"/>
        <v>0</v>
      </c>
      <c r="ED31" s="7"/>
      <c r="EE31" s="7"/>
      <c r="EF31" s="7"/>
      <c r="EG31" s="39">
        <f t="shared" si="34"/>
        <v>0</v>
      </c>
      <c r="EH31" s="7"/>
      <c r="EI31" s="7"/>
      <c r="EJ31" s="7"/>
      <c r="EK31" s="39">
        <f t="shared" si="35"/>
        <v>0</v>
      </c>
      <c r="EL31" s="7"/>
      <c r="EM31" s="7"/>
      <c r="EN31" s="7"/>
      <c r="EO31" s="39">
        <f t="shared" si="36"/>
        <v>0</v>
      </c>
      <c r="EP31" s="7"/>
      <c r="EQ31" s="7"/>
      <c r="ER31" s="7"/>
      <c r="ES31" s="39">
        <f t="shared" si="37"/>
        <v>0</v>
      </c>
      <c r="ET31" s="7"/>
      <c r="EU31" s="7"/>
      <c r="EV31" s="7"/>
      <c r="EW31" s="39">
        <f t="shared" si="38"/>
        <v>0</v>
      </c>
      <c r="EX31" s="7"/>
      <c r="EY31" s="7"/>
      <c r="EZ31" s="7"/>
      <c r="FA31" s="39">
        <f t="shared" si="39"/>
        <v>0</v>
      </c>
      <c r="FB31" s="7"/>
      <c r="FC31" s="7"/>
      <c r="FD31" s="7"/>
      <c r="FE31" s="39">
        <f t="shared" si="40"/>
        <v>0</v>
      </c>
      <c r="FF31" s="7"/>
      <c r="FG31" s="7"/>
      <c r="FH31" s="7">
        <v>1.0</v>
      </c>
      <c r="FI31" s="39">
        <f t="shared" si="41"/>
        <v>7</v>
      </c>
      <c r="FJ31" s="7"/>
      <c r="FK31" s="7"/>
      <c r="FL31" s="7"/>
      <c r="FM31" s="39">
        <f t="shared" si="42"/>
        <v>0</v>
      </c>
      <c r="FN31" s="7"/>
      <c r="FO31" s="7"/>
      <c r="FP31" s="7"/>
      <c r="FQ31" s="39">
        <f t="shared" si="43"/>
        <v>0</v>
      </c>
      <c r="FR31" s="7"/>
      <c r="FS31" s="7"/>
      <c r="FT31" s="7"/>
      <c r="FU31" s="39">
        <f t="shared" si="44"/>
        <v>0</v>
      </c>
      <c r="FV31" s="7"/>
      <c r="FW31" s="7"/>
      <c r="FX31" s="7"/>
      <c r="FY31" s="39">
        <f t="shared" si="45"/>
        <v>0</v>
      </c>
      <c r="FZ31" s="7"/>
      <c r="GA31" s="7"/>
      <c r="GB31" s="7"/>
      <c r="GC31" s="39">
        <f t="shared" si="46"/>
        <v>0</v>
      </c>
      <c r="GD31" s="7"/>
      <c r="GE31" s="7"/>
      <c r="GF31" s="7"/>
      <c r="GG31" s="39">
        <f t="shared" si="47"/>
        <v>0</v>
      </c>
      <c r="GH31" s="7"/>
      <c r="GI31" s="7"/>
      <c r="GJ31" s="7"/>
      <c r="GK31" s="39">
        <f t="shared" si="48"/>
        <v>0</v>
      </c>
      <c r="GL31" s="7"/>
      <c r="GM31" s="7"/>
      <c r="GN31" s="7"/>
      <c r="GO31" s="39">
        <f t="shared" si="49"/>
        <v>0</v>
      </c>
      <c r="GP31" s="7"/>
      <c r="GQ31" s="7"/>
      <c r="GR31" s="7"/>
      <c r="GS31" s="39">
        <f t="shared" si="50"/>
        <v>0</v>
      </c>
      <c r="GT31" s="7"/>
      <c r="GU31" s="7"/>
      <c r="GV31" s="7"/>
      <c r="GW31" s="39">
        <f t="shared" si="51"/>
        <v>0</v>
      </c>
      <c r="GX31" s="7"/>
      <c r="GY31" s="7"/>
      <c r="GZ31" s="7"/>
      <c r="HA31" s="39">
        <f t="shared" si="52"/>
        <v>0</v>
      </c>
    </row>
    <row r="32">
      <c r="A32" s="20" t="s">
        <v>109</v>
      </c>
      <c r="B32" s="21"/>
      <c r="C32" s="1">
        <f t="shared" si="1"/>
        <v>30</v>
      </c>
      <c r="D32" s="15">
        <v>0.06999999999999999</v>
      </c>
      <c r="E32" s="37">
        <v>8.56</v>
      </c>
      <c r="F32" s="4"/>
      <c r="G32" s="7"/>
      <c r="H32" s="1"/>
      <c r="I32" s="39">
        <f t="shared" si="2"/>
        <v>0</v>
      </c>
      <c r="J32" s="161"/>
      <c r="K32" s="1"/>
      <c r="L32" s="1"/>
      <c r="M32" s="39">
        <f t="shared" si="3"/>
        <v>0</v>
      </c>
      <c r="N32" s="7">
        <v>1.0</v>
      </c>
      <c r="O32" s="7">
        <v>1.0</v>
      </c>
      <c r="P32" s="7">
        <v>1.0</v>
      </c>
      <c r="Q32" s="39">
        <f t="shared" si="4"/>
        <v>5</v>
      </c>
      <c r="R32" s="1"/>
      <c r="S32" s="1"/>
      <c r="T32" s="1"/>
      <c r="U32" s="39">
        <f t="shared" si="5"/>
        <v>0</v>
      </c>
      <c r="V32" s="7"/>
      <c r="W32" s="7"/>
      <c r="X32" s="7"/>
      <c r="Y32" s="39">
        <f t="shared" si="6"/>
        <v>0</v>
      </c>
      <c r="Z32" s="7"/>
      <c r="AA32" s="7"/>
      <c r="AB32" s="7"/>
      <c r="AC32" s="39">
        <f t="shared" si="7"/>
        <v>0</v>
      </c>
      <c r="AD32" s="7"/>
      <c r="AE32" s="7"/>
      <c r="AF32" s="7"/>
      <c r="AG32" s="39">
        <f t="shared" si="8"/>
        <v>0</v>
      </c>
      <c r="AH32" s="7"/>
      <c r="AI32" s="7"/>
      <c r="AJ32" s="7"/>
      <c r="AK32" s="39">
        <f t="shared" si="9"/>
        <v>0</v>
      </c>
      <c r="AL32" s="4"/>
      <c r="AM32" s="7"/>
      <c r="AN32" s="7"/>
      <c r="AO32" s="39">
        <f t="shared" si="10"/>
        <v>0</v>
      </c>
      <c r="AP32" s="7"/>
      <c r="AQ32" s="7"/>
      <c r="AR32" s="7"/>
      <c r="AS32" s="39">
        <f t="shared" si="11"/>
        <v>0</v>
      </c>
      <c r="AT32" s="7"/>
      <c r="AU32" s="7"/>
      <c r="AV32" s="7"/>
      <c r="AW32" s="39">
        <f t="shared" si="12"/>
        <v>0</v>
      </c>
      <c r="AX32" s="7"/>
      <c r="AY32" s="7"/>
      <c r="AZ32" s="7"/>
      <c r="BA32" s="39">
        <f t="shared" si="13"/>
        <v>0</v>
      </c>
      <c r="BB32" s="7"/>
      <c r="BC32" s="7"/>
      <c r="BD32" s="7"/>
      <c r="BE32" s="39">
        <f t="shared" si="14"/>
        <v>0</v>
      </c>
      <c r="BF32" s="7"/>
      <c r="BG32" s="7"/>
      <c r="BH32" s="7"/>
      <c r="BI32" s="39">
        <f t="shared" si="15"/>
        <v>0</v>
      </c>
      <c r="BJ32" s="7"/>
      <c r="BK32" s="7"/>
      <c r="BL32" s="7"/>
      <c r="BM32" s="39">
        <f t="shared" si="16"/>
        <v>0</v>
      </c>
      <c r="BN32" s="7"/>
      <c r="BO32" s="7"/>
      <c r="BP32" s="7"/>
      <c r="BQ32" s="39">
        <f t="shared" si="17"/>
        <v>0</v>
      </c>
      <c r="BR32" s="7"/>
      <c r="BS32" s="7"/>
      <c r="BT32" s="7"/>
      <c r="BU32" s="39">
        <f t="shared" si="18"/>
        <v>0</v>
      </c>
      <c r="BV32" s="7"/>
      <c r="BW32" s="7"/>
      <c r="BX32" s="7"/>
      <c r="BY32" s="39">
        <f t="shared" si="19"/>
        <v>0</v>
      </c>
      <c r="BZ32" s="7"/>
      <c r="CA32" s="7"/>
      <c r="CB32" s="7"/>
      <c r="CC32" s="39">
        <f t="shared" si="20"/>
        <v>0</v>
      </c>
      <c r="CD32" s="7"/>
      <c r="CE32" s="7"/>
      <c r="CF32" s="7"/>
      <c r="CG32" s="39">
        <f t="shared" si="21"/>
        <v>0</v>
      </c>
      <c r="CH32" s="7"/>
      <c r="CI32" s="7"/>
      <c r="CJ32" s="7"/>
      <c r="CK32" s="39">
        <f t="shared" si="22"/>
        <v>0</v>
      </c>
      <c r="CL32" s="7"/>
      <c r="CM32" s="7"/>
      <c r="CN32" s="7"/>
      <c r="CO32" s="39">
        <f t="shared" si="23"/>
        <v>0</v>
      </c>
      <c r="CP32" s="7"/>
      <c r="CQ32" s="7"/>
      <c r="CR32" s="7"/>
      <c r="CS32" s="39">
        <f t="shared" si="24"/>
        <v>0</v>
      </c>
      <c r="CT32" s="7"/>
      <c r="CU32" s="7"/>
      <c r="CV32" s="7"/>
      <c r="CW32" s="39">
        <f t="shared" si="25"/>
        <v>0</v>
      </c>
      <c r="CX32" s="7"/>
      <c r="CY32" s="7"/>
      <c r="CZ32" s="7"/>
      <c r="DA32" s="39">
        <f t="shared" si="26"/>
        <v>0</v>
      </c>
      <c r="DB32" s="7"/>
      <c r="DC32" s="7"/>
      <c r="DD32" s="7"/>
      <c r="DE32" s="39">
        <f t="shared" si="27"/>
        <v>0</v>
      </c>
      <c r="DF32" s="7"/>
      <c r="DG32" s="7"/>
      <c r="DH32" s="7"/>
      <c r="DI32" s="39">
        <f t="shared" si="28"/>
        <v>0</v>
      </c>
      <c r="DJ32" s="7">
        <v>1.0</v>
      </c>
      <c r="DK32" s="7">
        <v>1.0</v>
      </c>
      <c r="DL32" s="7"/>
      <c r="DM32" s="39">
        <f t="shared" si="29"/>
        <v>3</v>
      </c>
      <c r="DN32" s="7"/>
      <c r="DO32" s="7"/>
      <c r="DP32" s="7"/>
      <c r="DQ32" s="39">
        <f t="shared" si="30"/>
        <v>0</v>
      </c>
      <c r="DR32" s="7"/>
      <c r="DS32" s="7"/>
      <c r="DT32" s="7"/>
      <c r="DU32" s="39">
        <f t="shared" si="31"/>
        <v>0</v>
      </c>
      <c r="DV32" s="7"/>
      <c r="DW32" s="7"/>
      <c r="DX32" s="7"/>
      <c r="DY32" s="39">
        <f t="shared" si="32"/>
        <v>0</v>
      </c>
      <c r="DZ32" s="7"/>
      <c r="EA32" s="7"/>
      <c r="EB32" s="7"/>
      <c r="EC32" s="39">
        <f t="shared" si="33"/>
        <v>0</v>
      </c>
      <c r="ED32" s="7"/>
      <c r="EE32" s="7"/>
      <c r="EF32" s="7"/>
      <c r="EG32" s="39">
        <f t="shared" si="34"/>
        <v>0</v>
      </c>
      <c r="EH32" s="7"/>
      <c r="EI32" s="7"/>
      <c r="EJ32" s="7"/>
      <c r="EK32" s="39">
        <f t="shared" si="35"/>
        <v>0</v>
      </c>
      <c r="EL32" s="7"/>
      <c r="EM32" s="7"/>
      <c r="EN32" s="7"/>
      <c r="EO32" s="39">
        <f t="shared" si="36"/>
        <v>0</v>
      </c>
      <c r="EP32" s="7"/>
      <c r="EQ32" s="7"/>
      <c r="ER32" s="7"/>
      <c r="ES32" s="39">
        <f t="shared" si="37"/>
        <v>0</v>
      </c>
      <c r="ET32" s="7"/>
      <c r="EU32" s="7"/>
      <c r="EV32" s="7"/>
      <c r="EW32" s="39">
        <f t="shared" si="38"/>
        <v>0</v>
      </c>
      <c r="EX32" s="7"/>
      <c r="EY32" s="7"/>
      <c r="EZ32" s="7"/>
      <c r="FA32" s="39">
        <f t="shared" si="39"/>
        <v>0</v>
      </c>
      <c r="FB32" s="7"/>
      <c r="FC32" s="7"/>
      <c r="FD32" s="7"/>
      <c r="FE32" s="39">
        <f t="shared" si="40"/>
        <v>0</v>
      </c>
      <c r="FF32" s="7"/>
      <c r="FG32" s="7"/>
      <c r="FH32" s="7"/>
      <c r="FI32" s="39">
        <f t="shared" si="41"/>
        <v>0</v>
      </c>
      <c r="FJ32" s="7"/>
      <c r="FK32" s="7"/>
      <c r="FL32" s="7"/>
      <c r="FM32" s="39">
        <f t="shared" si="42"/>
        <v>0</v>
      </c>
      <c r="FN32" s="7"/>
      <c r="FO32" s="7"/>
      <c r="FP32" s="7"/>
      <c r="FQ32" s="39">
        <f t="shared" si="43"/>
        <v>0</v>
      </c>
      <c r="FR32" s="7"/>
      <c r="FS32" s="7"/>
      <c r="FT32" s="7"/>
      <c r="FU32" s="39">
        <f t="shared" si="44"/>
        <v>0</v>
      </c>
      <c r="FV32" s="7"/>
      <c r="FW32" s="7"/>
      <c r="FX32" s="7"/>
      <c r="FY32" s="39">
        <f t="shared" si="45"/>
        <v>0</v>
      </c>
      <c r="FZ32" s="7"/>
      <c r="GA32" s="7"/>
      <c r="GB32" s="7"/>
      <c r="GC32" s="39">
        <f t="shared" si="46"/>
        <v>0</v>
      </c>
      <c r="GD32" s="7"/>
      <c r="GE32" s="7"/>
      <c r="GF32" s="7"/>
      <c r="GG32" s="39">
        <f t="shared" si="47"/>
        <v>0</v>
      </c>
      <c r="GH32" s="7"/>
      <c r="GI32" s="7"/>
      <c r="GJ32" s="7"/>
      <c r="GK32" s="39">
        <f t="shared" si="48"/>
        <v>0</v>
      </c>
      <c r="GL32" s="7"/>
      <c r="GM32" s="7"/>
      <c r="GN32" s="7"/>
      <c r="GO32" s="39">
        <f t="shared" si="49"/>
        <v>0</v>
      </c>
      <c r="GP32" s="7"/>
      <c r="GQ32" s="7"/>
      <c r="GR32" s="7"/>
      <c r="GS32" s="39">
        <f t="shared" si="50"/>
        <v>0</v>
      </c>
      <c r="GT32" s="7"/>
      <c r="GU32" s="7"/>
      <c r="GV32" s="7"/>
      <c r="GW32" s="39">
        <f t="shared" si="51"/>
        <v>0</v>
      </c>
      <c r="GX32" s="7"/>
      <c r="GY32" s="7"/>
      <c r="GZ32" s="7"/>
      <c r="HA32" s="39">
        <f t="shared" si="52"/>
        <v>0</v>
      </c>
    </row>
    <row r="33">
      <c r="A33" s="20" t="s">
        <v>97</v>
      </c>
      <c r="B33" s="21" t="s">
        <v>98</v>
      </c>
      <c r="C33" s="1">
        <f t="shared" si="1"/>
        <v>31</v>
      </c>
      <c r="D33" s="15">
        <v>0.12</v>
      </c>
      <c r="E33" s="37">
        <v>7.840000000000001</v>
      </c>
      <c r="F33" s="4"/>
      <c r="G33" s="7"/>
      <c r="H33" s="1"/>
      <c r="I33" s="39">
        <f t="shared" si="2"/>
        <v>0</v>
      </c>
      <c r="J33" s="161"/>
      <c r="K33" s="1"/>
      <c r="L33" s="7"/>
      <c r="M33" s="39">
        <f t="shared" si="3"/>
        <v>0</v>
      </c>
      <c r="N33" s="1"/>
      <c r="O33" s="1"/>
      <c r="P33" s="1"/>
      <c r="Q33" s="39">
        <f t="shared" si="4"/>
        <v>0</v>
      </c>
      <c r="R33" s="1"/>
      <c r="S33" s="1"/>
      <c r="T33" s="1"/>
      <c r="U33" s="39">
        <f t="shared" si="5"/>
        <v>0</v>
      </c>
      <c r="V33" s="1"/>
      <c r="W33" s="1"/>
      <c r="X33" s="1"/>
      <c r="Y33" s="39">
        <f t="shared" si="6"/>
        <v>0</v>
      </c>
      <c r="Z33" s="1"/>
      <c r="AA33" s="1"/>
      <c r="AB33" s="1"/>
      <c r="AC33" s="39">
        <f t="shared" si="7"/>
        <v>0</v>
      </c>
      <c r="AD33" s="7"/>
      <c r="AE33" s="7"/>
      <c r="AF33" s="7"/>
      <c r="AG33" s="39">
        <f t="shared" si="8"/>
        <v>0</v>
      </c>
      <c r="AH33" s="7"/>
      <c r="AI33" s="7"/>
      <c r="AJ33" s="7"/>
      <c r="AK33" s="39">
        <f t="shared" si="9"/>
        <v>0</v>
      </c>
      <c r="AL33" s="4"/>
      <c r="AM33" s="7"/>
      <c r="AN33" s="7"/>
      <c r="AO33" s="39">
        <f t="shared" si="10"/>
        <v>0</v>
      </c>
      <c r="AP33" s="7"/>
      <c r="AQ33" s="7"/>
      <c r="AR33" s="7"/>
      <c r="AS33" s="39">
        <f t="shared" si="11"/>
        <v>0</v>
      </c>
      <c r="AT33" s="7"/>
      <c r="AU33" s="7"/>
      <c r="AV33" s="7"/>
      <c r="AW33" s="39">
        <f t="shared" si="12"/>
        <v>0</v>
      </c>
      <c r="AX33" s="7"/>
      <c r="AY33" s="7"/>
      <c r="AZ33" s="7"/>
      <c r="BA33" s="39">
        <f t="shared" si="13"/>
        <v>0</v>
      </c>
      <c r="BB33" s="7"/>
      <c r="BC33" s="7"/>
      <c r="BD33" s="7"/>
      <c r="BE33" s="39">
        <f t="shared" si="14"/>
        <v>0</v>
      </c>
      <c r="BF33" s="7"/>
      <c r="BG33" s="7"/>
      <c r="BH33" s="7"/>
      <c r="BI33" s="39">
        <f t="shared" si="15"/>
        <v>0</v>
      </c>
      <c r="BJ33" s="7"/>
      <c r="BK33" s="7"/>
      <c r="BL33" s="7"/>
      <c r="BM33" s="39">
        <f t="shared" si="16"/>
        <v>0</v>
      </c>
      <c r="BN33" s="7"/>
      <c r="BO33" s="7"/>
      <c r="BP33" s="7">
        <v>1.0</v>
      </c>
      <c r="BQ33" s="39">
        <f t="shared" si="17"/>
        <v>7</v>
      </c>
      <c r="BR33" s="7"/>
      <c r="BS33" s="7"/>
      <c r="BT33" s="7"/>
      <c r="BU33" s="39">
        <f t="shared" si="18"/>
        <v>0</v>
      </c>
      <c r="BV33" s="7"/>
      <c r="BW33" s="7"/>
      <c r="BX33" s="7"/>
      <c r="BY33" s="39">
        <f t="shared" si="19"/>
        <v>0</v>
      </c>
      <c r="BZ33" s="7"/>
      <c r="CA33" s="7"/>
      <c r="CB33" s="7"/>
      <c r="CC33" s="39">
        <f t="shared" si="20"/>
        <v>0</v>
      </c>
      <c r="CD33" s="7"/>
      <c r="CE33" s="7"/>
      <c r="CF33" s="7"/>
      <c r="CG33" s="39">
        <f t="shared" si="21"/>
        <v>0</v>
      </c>
      <c r="CH33" s="7"/>
      <c r="CI33" s="7"/>
      <c r="CJ33" s="7"/>
      <c r="CK33" s="39">
        <f t="shared" si="22"/>
        <v>0</v>
      </c>
      <c r="CL33" s="7"/>
      <c r="CM33" s="7"/>
      <c r="CN33" s="7"/>
      <c r="CO33" s="39">
        <f t="shared" si="23"/>
        <v>0</v>
      </c>
      <c r="CP33" s="7"/>
      <c r="CQ33" s="7"/>
      <c r="CR33" s="7"/>
      <c r="CS33" s="39">
        <f t="shared" si="24"/>
        <v>0</v>
      </c>
      <c r="CT33" s="7"/>
      <c r="CU33" s="7"/>
      <c r="CV33" s="7"/>
      <c r="CW33" s="39">
        <f t="shared" si="25"/>
        <v>0</v>
      </c>
      <c r="CX33" s="7"/>
      <c r="CY33" s="7"/>
      <c r="CZ33" s="7"/>
      <c r="DA33" s="39">
        <f t="shared" si="26"/>
        <v>0</v>
      </c>
      <c r="DB33" s="7"/>
      <c r="DC33" s="7"/>
      <c r="DD33" s="7"/>
      <c r="DE33" s="39">
        <f t="shared" si="27"/>
        <v>0</v>
      </c>
      <c r="DF33" s="7"/>
      <c r="DG33" s="7"/>
      <c r="DH33" s="7"/>
      <c r="DI33" s="39">
        <f t="shared" si="28"/>
        <v>0</v>
      </c>
      <c r="DJ33" s="7"/>
      <c r="DK33" s="7"/>
      <c r="DL33" s="7"/>
      <c r="DM33" s="39">
        <f t="shared" si="29"/>
        <v>0</v>
      </c>
      <c r="DN33" s="7"/>
      <c r="DO33" s="7"/>
      <c r="DP33" s="7"/>
      <c r="DQ33" s="39">
        <f t="shared" si="30"/>
        <v>0</v>
      </c>
      <c r="DR33" s="7"/>
      <c r="DS33" s="7"/>
      <c r="DT33" s="7"/>
      <c r="DU33" s="39">
        <f t="shared" si="31"/>
        <v>0</v>
      </c>
      <c r="DV33" s="7"/>
      <c r="DW33" s="7"/>
      <c r="DX33" s="7"/>
      <c r="DY33" s="39">
        <f t="shared" si="32"/>
        <v>0</v>
      </c>
      <c r="DZ33" s="7"/>
      <c r="EA33" s="7"/>
      <c r="EB33" s="7"/>
      <c r="EC33" s="39">
        <f t="shared" si="33"/>
        <v>0</v>
      </c>
      <c r="ED33" s="7"/>
      <c r="EE33" s="7"/>
      <c r="EF33" s="7"/>
      <c r="EG33" s="39">
        <f t="shared" si="34"/>
        <v>0</v>
      </c>
      <c r="EH33" s="7"/>
      <c r="EI33" s="7"/>
      <c r="EJ33" s="7"/>
      <c r="EK33" s="39">
        <f t="shared" si="35"/>
        <v>0</v>
      </c>
      <c r="EL33" s="7"/>
      <c r="EM33" s="7"/>
      <c r="EN33" s="7"/>
      <c r="EO33" s="39">
        <f t="shared" si="36"/>
        <v>0</v>
      </c>
      <c r="EP33" s="7"/>
      <c r="EQ33" s="7"/>
      <c r="ER33" s="7"/>
      <c r="ES33" s="39">
        <f t="shared" si="37"/>
        <v>0</v>
      </c>
      <c r="ET33" s="7"/>
      <c r="EU33" s="7"/>
      <c r="EV33" s="7"/>
      <c r="EW33" s="39">
        <f t="shared" si="38"/>
        <v>0</v>
      </c>
      <c r="EX33" s="7"/>
      <c r="EY33" s="7"/>
      <c r="EZ33" s="7"/>
      <c r="FA33" s="39">
        <f t="shared" si="39"/>
        <v>0</v>
      </c>
      <c r="FB33" s="7"/>
      <c r="FC33" s="7"/>
      <c r="FD33" s="7"/>
      <c r="FE33" s="39">
        <f t="shared" si="40"/>
        <v>0</v>
      </c>
      <c r="FF33" s="7"/>
      <c r="FG33" s="7"/>
      <c r="FH33" s="7"/>
      <c r="FI33" s="39">
        <f t="shared" si="41"/>
        <v>0</v>
      </c>
      <c r="FJ33" s="7"/>
      <c r="FK33" s="7"/>
      <c r="FL33" s="7"/>
      <c r="FM33" s="39">
        <f t="shared" si="42"/>
        <v>0</v>
      </c>
      <c r="FN33" s="7"/>
      <c r="FO33" s="7"/>
      <c r="FP33" s="7"/>
      <c r="FQ33" s="39">
        <f t="shared" si="43"/>
        <v>0</v>
      </c>
      <c r="FR33" s="7"/>
      <c r="FS33" s="7"/>
      <c r="FT33" s="7"/>
      <c r="FU33" s="39">
        <f t="shared" si="44"/>
        <v>0</v>
      </c>
      <c r="FV33" s="7"/>
      <c r="FW33" s="7"/>
      <c r="FX33" s="7"/>
      <c r="FY33" s="39">
        <f t="shared" si="45"/>
        <v>0</v>
      </c>
      <c r="FZ33" s="7"/>
      <c r="GA33" s="7"/>
      <c r="GB33" s="7"/>
      <c r="GC33" s="39">
        <f t="shared" si="46"/>
        <v>0</v>
      </c>
      <c r="GD33" s="7"/>
      <c r="GE33" s="7"/>
      <c r="GF33" s="7"/>
      <c r="GG33" s="39">
        <f t="shared" si="47"/>
        <v>0</v>
      </c>
      <c r="GH33" s="7"/>
      <c r="GI33" s="7"/>
      <c r="GJ33" s="7"/>
      <c r="GK33" s="39">
        <f t="shared" si="48"/>
        <v>0</v>
      </c>
      <c r="GL33" s="7"/>
      <c r="GM33" s="7"/>
      <c r="GN33" s="7"/>
      <c r="GO33" s="39">
        <f t="shared" si="49"/>
        <v>0</v>
      </c>
      <c r="GP33" s="7"/>
      <c r="GQ33" s="7"/>
      <c r="GR33" s="7"/>
      <c r="GS33" s="39">
        <f t="shared" si="50"/>
        <v>0</v>
      </c>
      <c r="GT33" s="7"/>
      <c r="GU33" s="7"/>
      <c r="GV33" s="7"/>
      <c r="GW33" s="39">
        <f t="shared" si="51"/>
        <v>0</v>
      </c>
      <c r="GX33" s="7"/>
      <c r="GY33" s="7"/>
      <c r="GZ33" s="7"/>
      <c r="HA33" s="39">
        <f t="shared" si="52"/>
        <v>0</v>
      </c>
    </row>
    <row r="34">
      <c r="A34" s="20" t="s">
        <v>103</v>
      </c>
      <c r="B34" s="21" t="s">
        <v>104</v>
      </c>
      <c r="C34" s="1">
        <f t="shared" si="1"/>
        <v>32</v>
      </c>
      <c r="D34" s="15">
        <v>0.07</v>
      </c>
      <c r="E34" s="37">
        <v>6.42</v>
      </c>
      <c r="F34" s="4"/>
      <c r="G34" s="7"/>
      <c r="H34" s="1"/>
      <c r="I34" s="39">
        <f t="shared" si="2"/>
        <v>0</v>
      </c>
      <c r="J34" s="161"/>
      <c r="K34" s="1"/>
      <c r="L34" s="1"/>
      <c r="M34" s="39">
        <f t="shared" si="3"/>
        <v>0</v>
      </c>
      <c r="N34" s="1"/>
      <c r="O34" s="1"/>
      <c r="P34" s="1"/>
      <c r="Q34" s="39">
        <f t="shared" si="4"/>
        <v>0</v>
      </c>
      <c r="R34" s="1"/>
      <c r="S34" s="1"/>
      <c r="T34" s="1"/>
      <c r="U34" s="39">
        <f t="shared" si="5"/>
        <v>0</v>
      </c>
      <c r="V34" s="1"/>
      <c r="W34" s="1"/>
      <c r="X34" s="1"/>
      <c r="Y34" s="39">
        <f t="shared" si="6"/>
        <v>0</v>
      </c>
      <c r="Z34" s="1"/>
      <c r="AA34" s="1"/>
      <c r="AB34" s="1"/>
      <c r="AC34" s="39">
        <f t="shared" si="7"/>
        <v>0</v>
      </c>
      <c r="AD34" s="7"/>
      <c r="AE34" s="7"/>
      <c r="AF34" s="7"/>
      <c r="AG34" s="39">
        <f t="shared" si="8"/>
        <v>0</v>
      </c>
      <c r="AH34" s="7"/>
      <c r="AI34" s="7"/>
      <c r="AJ34" s="7"/>
      <c r="AK34" s="39">
        <f t="shared" si="9"/>
        <v>0</v>
      </c>
      <c r="AL34" s="4"/>
      <c r="AM34" s="7"/>
      <c r="AN34" s="7"/>
      <c r="AO34" s="39">
        <f t="shared" si="10"/>
        <v>0</v>
      </c>
      <c r="AP34" s="7"/>
      <c r="AQ34" s="7"/>
      <c r="AR34" s="7"/>
      <c r="AS34" s="39">
        <f t="shared" si="11"/>
        <v>0</v>
      </c>
      <c r="AT34" s="7"/>
      <c r="AU34" s="7"/>
      <c r="AV34" s="7"/>
      <c r="AW34" s="39">
        <f t="shared" si="12"/>
        <v>0</v>
      </c>
      <c r="AX34" s="7"/>
      <c r="AY34" s="7"/>
      <c r="AZ34" s="7"/>
      <c r="BA34" s="39">
        <f t="shared" si="13"/>
        <v>0</v>
      </c>
      <c r="BB34" s="7"/>
      <c r="BC34" s="7"/>
      <c r="BD34" s="7"/>
      <c r="BE34" s="39">
        <f t="shared" si="14"/>
        <v>0</v>
      </c>
      <c r="BF34" s="7"/>
      <c r="BG34" s="7"/>
      <c r="BH34" s="7"/>
      <c r="BI34" s="39">
        <f t="shared" si="15"/>
        <v>0</v>
      </c>
      <c r="BJ34" s="7"/>
      <c r="BK34" s="7"/>
      <c r="BL34" s="7"/>
      <c r="BM34" s="39">
        <f t="shared" si="16"/>
        <v>0</v>
      </c>
      <c r="BN34" s="7"/>
      <c r="BO34" s="7"/>
      <c r="BP34" s="7"/>
      <c r="BQ34" s="39">
        <f t="shared" si="17"/>
        <v>0</v>
      </c>
      <c r="BR34" s="7"/>
      <c r="BS34" s="7"/>
      <c r="BT34" s="7"/>
      <c r="BU34" s="39">
        <f t="shared" si="18"/>
        <v>0</v>
      </c>
      <c r="BV34" s="7"/>
      <c r="BW34" s="7"/>
      <c r="BX34" s="7"/>
      <c r="BY34" s="39">
        <f t="shared" si="19"/>
        <v>0</v>
      </c>
      <c r="BZ34" s="7"/>
      <c r="CA34" s="7"/>
      <c r="CB34" s="7"/>
      <c r="CC34" s="39">
        <f t="shared" si="20"/>
        <v>0</v>
      </c>
      <c r="CD34" s="7"/>
      <c r="CE34" s="7"/>
      <c r="CF34" s="7"/>
      <c r="CG34" s="39">
        <f t="shared" si="21"/>
        <v>0</v>
      </c>
      <c r="CH34" s="7"/>
      <c r="CI34" s="7"/>
      <c r="CJ34" s="7"/>
      <c r="CK34" s="39">
        <f t="shared" si="22"/>
        <v>0</v>
      </c>
      <c r="CL34" s="7"/>
      <c r="CM34" s="7"/>
      <c r="CN34" s="7"/>
      <c r="CO34" s="39">
        <f t="shared" si="23"/>
        <v>0</v>
      </c>
      <c r="CP34" s="7"/>
      <c r="CQ34" s="7"/>
      <c r="CR34" s="7"/>
      <c r="CS34" s="39">
        <f t="shared" si="24"/>
        <v>0</v>
      </c>
      <c r="CT34" s="7">
        <v>1.0</v>
      </c>
      <c r="CU34" s="7">
        <v>1.0</v>
      </c>
      <c r="CV34" s="7"/>
      <c r="CW34" s="39">
        <f t="shared" si="25"/>
        <v>3</v>
      </c>
      <c r="CX34" s="7"/>
      <c r="CY34" s="7"/>
      <c r="CZ34" s="7"/>
      <c r="DA34" s="39">
        <f t="shared" si="26"/>
        <v>0</v>
      </c>
      <c r="DB34" s="7"/>
      <c r="DC34" s="7"/>
      <c r="DD34" s="7"/>
      <c r="DE34" s="39">
        <f t="shared" si="27"/>
        <v>0</v>
      </c>
      <c r="DF34" s="7"/>
      <c r="DG34" s="7"/>
      <c r="DH34" s="7"/>
      <c r="DI34" s="39">
        <f t="shared" si="28"/>
        <v>0</v>
      </c>
      <c r="DJ34" s="7"/>
      <c r="DK34" s="7"/>
      <c r="DL34" s="7"/>
      <c r="DM34" s="39">
        <f t="shared" si="29"/>
        <v>0</v>
      </c>
      <c r="DN34" s="7"/>
      <c r="DO34" s="7"/>
      <c r="DP34" s="7"/>
      <c r="DQ34" s="39">
        <f t="shared" si="30"/>
        <v>0</v>
      </c>
      <c r="DR34" s="7"/>
      <c r="DS34" s="7"/>
      <c r="DT34" s="7"/>
      <c r="DU34" s="39">
        <f t="shared" si="31"/>
        <v>0</v>
      </c>
      <c r="DV34" s="7"/>
      <c r="DW34" s="7"/>
      <c r="DX34" s="7"/>
      <c r="DY34" s="39">
        <f t="shared" si="32"/>
        <v>0</v>
      </c>
      <c r="DZ34" s="7"/>
      <c r="EA34" s="7"/>
      <c r="EB34" s="7"/>
      <c r="EC34" s="39">
        <f t="shared" si="33"/>
        <v>0</v>
      </c>
      <c r="ED34" s="7"/>
      <c r="EE34" s="7"/>
      <c r="EF34" s="7"/>
      <c r="EG34" s="39">
        <f t="shared" si="34"/>
        <v>0</v>
      </c>
      <c r="EH34" s="7"/>
      <c r="EI34" s="7"/>
      <c r="EJ34" s="7"/>
      <c r="EK34" s="39">
        <f t="shared" si="35"/>
        <v>0</v>
      </c>
      <c r="EL34" s="7"/>
      <c r="EM34" s="7"/>
      <c r="EN34" s="7"/>
      <c r="EO34" s="39">
        <f t="shared" si="36"/>
        <v>0</v>
      </c>
      <c r="EP34" s="7"/>
      <c r="EQ34" s="7"/>
      <c r="ER34" s="7"/>
      <c r="ES34" s="39">
        <f t="shared" si="37"/>
        <v>0</v>
      </c>
      <c r="ET34" s="7"/>
      <c r="EU34" s="7"/>
      <c r="EV34" s="7"/>
      <c r="EW34" s="39">
        <f t="shared" si="38"/>
        <v>0</v>
      </c>
      <c r="EX34" s="7"/>
      <c r="EY34" s="7"/>
      <c r="EZ34" s="7"/>
      <c r="FA34" s="39">
        <f t="shared" si="39"/>
        <v>0</v>
      </c>
      <c r="FB34" s="7"/>
      <c r="FC34" s="7"/>
      <c r="FD34" s="7"/>
      <c r="FE34" s="39">
        <f t="shared" si="40"/>
        <v>0</v>
      </c>
      <c r="FF34" s="7"/>
      <c r="FG34" s="7"/>
      <c r="FH34" s="7"/>
      <c r="FI34" s="39">
        <f t="shared" si="41"/>
        <v>0</v>
      </c>
      <c r="FJ34" s="7"/>
      <c r="FK34" s="7"/>
      <c r="FL34" s="7"/>
      <c r="FM34" s="39">
        <f t="shared" si="42"/>
        <v>0</v>
      </c>
      <c r="FN34" s="7"/>
      <c r="FO34" s="7"/>
      <c r="FP34" s="7"/>
      <c r="FQ34" s="39">
        <f t="shared" si="43"/>
        <v>0</v>
      </c>
      <c r="FR34" s="7"/>
      <c r="FS34" s="7"/>
      <c r="FT34" s="7"/>
      <c r="FU34" s="39">
        <f t="shared" si="44"/>
        <v>0</v>
      </c>
      <c r="FV34" s="7"/>
      <c r="FW34" s="7"/>
      <c r="FX34" s="7"/>
      <c r="FY34" s="39">
        <f t="shared" si="45"/>
        <v>0</v>
      </c>
      <c r="FZ34" s="7"/>
      <c r="GA34" s="7"/>
      <c r="GB34" s="7"/>
      <c r="GC34" s="39">
        <f t="shared" si="46"/>
        <v>0</v>
      </c>
      <c r="GD34" s="7"/>
      <c r="GE34" s="7"/>
      <c r="GF34" s="7"/>
      <c r="GG34" s="39">
        <f t="shared" si="47"/>
        <v>0</v>
      </c>
      <c r="GH34" s="7"/>
      <c r="GI34" s="7"/>
      <c r="GJ34" s="7"/>
      <c r="GK34" s="39">
        <f t="shared" si="48"/>
        <v>0</v>
      </c>
      <c r="GL34" s="7"/>
      <c r="GM34" s="7"/>
      <c r="GN34" s="7"/>
      <c r="GO34" s="39">
        <f t="shared" si="49"/>
        <v>0</v>
      </c>
      <c r="GP34" s="7">
        <v>1.0</v>
      </c>
      <c r="GQ34" s="7">
        <v>1.0</v>
      </c>
      <c r="GR34" s="7"/>
      <c r="GS34" s="39">
        <f t="shared" si="50"/>
        <v>3</v>
      </c>
      <c r="GT34" s="7"/>
      <c r="GU34" s="7"/>
      <c r="GV34" s="7"/>
      <c r="GW34" s="39">
        <f t="shared" si="51"/>
        <v>0</v>
      </c>
      <c r="GX34" s="7"/>
      <c r="GY34" s="7"/>
      <c r="GZ34" s="7"/>
      <c r="HA34" s="39">
        <f t="shared" si="52"/>
        <v>0</v>
      </c>
    </row>
    <row r="35">
      <c r="A35" s="20" t="s">
        <v>82</v>
      </c>
      <c r="B35" s="21" t="s">
        <v>83</v>
      </c>
      <c r="C35" s="1">
        <f t="shared" si="1"/>
        <v>33</v>
      </c>
      <c r="D35" s="15">
        <v>0.15</v>
      </c>
      <c r="E35" s="37">
        <v>3.4499999999999997</v>
      </c>
      <c r="F35" s="4"/>
      <c r="G35" s="7"/>
      <c r="H35" s="1"/>
      <c r="I35" s="39">
        <f t="shared" si="2"/>
        <v>0</v>
      </c>
      <c r="J35" s="161"/>
      <c r="K35" s="1"/>
      <c r="L35" s="7"/>
      <c r="M35" s="39">
        <f t="shared" si="3"/>
        <v>0</v>
      </c>
      <c r="N35" s="7"/>
      <c r="O35" s="7"/>
      <c r="P35" s="7"/>
      <c r="Q35" s="39">
        <f t="shared" si="4"/>
        <v>0</v>
      </c>
      <c r="R35" s="1"/>
      <c r="S35" s="1"/>
      <c r="T35" s="1"/>
      <c r="U35" s="39">
        <f t="shared" si="5"/>
        <v>0</v>
      </c>
      <c r="V35" s="1"/>
      <c r="W35" s="1"/>
      <c r="X35" s="1"/>
      <c r="Y35" s="39">
        <f t="shared" si="6"/>
        <v>0</v>
      </c>
      <c r="Z35" s="1"/>
      <c r="AA35" s="1"/>
      <c r="AB35" s="1"/>
      <c r="AC35" s="39">
        <f t="shared" si="7"/>
        <v>0</v>
      </c>
      <c r="AD35" s="7"/>
      <c r="AE35" s="7"/>
      <c r="AF35" s="7"/>
      <c r="AG35" s="39">
        <f t="shared" si="8"/>
        <v>0</v>
      </c>
      <c r="AH35" s="7"/>
      <c r="AI35" s="7"/>
      <c r="AJ35" s="7"/>
      <c r="AK35" s="39">
        <f t="shared" si="9"/>
        <v>0</v>
      </c>
      <c r="AL35" s="4"/>
      <c r="AM35" s="7"/>
      <c r="AN35" s="7"/>
      <c r="AO35" s="39">
        <f t="shared" si="10"/>
        <v>0</v>
      </c>
      <c r="AP35" s="7"/>
      <c r="AQ35" s="7"/>
      <c r="AR35" s="7"/>
      <c r="AS35" s="39">
        <f t="shared" si="11"/>
        <v>0</v>
      </c>
      <c r="AT35" s="7"/>
      <c r="AU35" s="7"/>
      <c r="AV35" s="7"/>
      <c r="AW35" s="39">
        <f t="shared" si="12"/>
        <v>0</v>
      </c>
      <c r="AX35" s="7"/>
      <c r="AY35" s="7"/>
      <c r="AZ35" s="7"/>
      <c r="BA35" s="39">
        <f t="shared" si="13"/>
        <v>0</v>
      </c>
      <c r="BB35" s="7"/>
      <c r="BC35" s="7"/>
      <c r="BD35" s="7"/>
      <c r="BE35" s="39">
        <f t="shared" si="14"/>
        <v>0</v>
      </c>
      <c r="BF35" s="7"/>
      <c r="BG35" s="7"/>
      <c r="BH35" s="7"/>
      <c r="BI35" s="39">
        <f t="shared" si="15"/>
        <v>0</v>
      </c>
      <c r="BJ35" s="7"/>
      <c r="BK35" s="7"/>
      <c r="BL35" s="7"/>
      <c r="BM35" s="39">
        <f t="shared" si="16"/>
        <v>0</v>
      </c>
      <c r="BN35" s="7"/>
      <c r="BO35" s="7"/>
      <c r="BP35" s="7"/>
      <c r="BQ35" s="39">
        <f t="shared" si="17"/>
        <v>0</v>
      </c>
      <c r="BR35" s="7"/>
      <c r="BS35" s="7"/>
      <c r="BT35" s="7"/>
      <c r="BU35" s="39">
        <f t="shared" si="18"/>
        <v>0</v>
      </c>
      <c r="BV35" s="7"/>
      <c r="BW35" s="7"/>
      <c r="BX35" s="7"/>
      <c r="BY35" s="39">
        <f t="shared" si="19"/>
        <v>0</v>
      </c>
      <c r="BZ35" s="7"/>
      <c r="CA35" s="7"/>
      <c r="CB35" s="7"/>
      <c r="CC35" s="39">
        <f t="shared" si="20"/>
        <v>0</v>
      </c>
      <c r="CD35" s="7"/>
      <c r="CE35" s="7"/>
      <c r="CF35" s="7"/>
      <c r="CG35" s="39">
        <f t="shared" si="21"/>
        <v>0</v>
      </c>
      <c r="CH35" s="7"/>
      <c r="CI35" s="7"/>
      <c r="CJ35" s="7"/>
      <c r="CK35" s="39">
        <f t="shared" si="22"/>
        <v>0</v>
      </c>
      <c r="CL35" s="7"/>
      <c r="CM35" s="7"/>
      <c r="CN35" s="7"/>
      <c r="CO35" s="39">
        <f t="shared" si="23"/>
        <v>0</v>
      </c>
      <c r="CP35" s="7"/>
      <c r="CQ35" s="7"/>
      <c r="CR35" s="7"/>
      <c r="CS35" s="39">
        <f t="shared" si="24"/>
        <v>0</v>
      </c>
      <c r="CT35" s="7"/>
      <c r="CU35" s="7"/>
      <c r="CV35" s="7"/>
      <c r="CW35" s="39">
        <f t="shared" si="25"/>
        <v>0</v>
      </c>
      <c r="CX35" s="7"/>
      <c r="CY35" s="7"/>
      <c r="CZ35" s="7"/>
      <c r="DA35" s="39">
        <f t="shared" si="26"/>
        <v>0</v>
      </c>
      <c r="DB35" s="7"/>
      <c r="DC35" s="7"/>
      <c r="DD35" s="7"/>
      <c r="DE35" s="39">
        <f t="shared" si="27"/>
        <v>0</v>
      </c>
      <c r="DF35" s="7"/>
      <c r="DG35" s="7"/>
      <c r="DH35" s="7"/>
      <c r="DI35" s="39">
        <f t="shared" si="28"/>
        <v>0</v>
      </c>
      <c r="DJ35" s="7"/>
      <c r="DK35" s="7"/>
      <c r="DL35" s="7"/>
      <c r="DM35" s="39">
        <f t="shared" si="29"/>
        <v>0</v>
      </c>
      <c r="DN35" s="7"/>
      <c r="DO35" s="7"/>
      <c r="DP35" s="7"/>
      <c r="DQ35" s="39">
        <f t="shared" si="30"/>
        <v>0</v>
      </c>
      <c r="DR35" s="7"/>
      <c r="DS35" s="7"/>
      <c r="DT35" s="7"/>
      <c r="DU35" s="39">
        <f t="shared" si="31"/>
        <v>0</v>
      </c>
      <c r="DV35" s="7"/>
      <c r="DW35" s="7"/>
      <c r="DX35" s="7"/>
      <c r="DY35" s="39">
        <f t="shared" si="32"/>
        <v>0</v>
      </c>
      <c r="DZ35" s="7"/>
      <c r="EA35" s="7"/>
      <c r="EB35" s="7"/>
      <c r="EC35" s="39">
        <f t="shared" si="33"/>
        <v>0</v>
      </c>
      <c r="ED35" s="7"/>
      <c r="EE35" s="7"/>
      <c r="EF35" s="7"/>
      <c r="EG35" s="39">
        <f t="shared" si="34"/>
        <v>0</v>
      </c>
      <c r="EH35" s="7"/>
      <c r="EI35" s="7"/>
      <c r="EJ35" s="7"/>
      <c r="EK35" s="39">
        <f t="shared" si="35"/>
        <v>0</v>
      </c>
      <c r="EL35" s="7"/>
      <c r="EM35" s="7"/>
      <c r="EN35" s="7"/>
      <c r="EO35" s="39">
        <f t="shared" si="36"/>
        <v>0</v>
      </c>
      <c r="EP35" s="7"/>
      <c r="EQ35" s="7"/>
      <c r="ER35" s="7"/>
      <c r="ES35" s="39">
        <f t="shared" si="37"/>
        <v>0</v>
      </c>
      <c r="ET35" s="7"/>
      <c r="EU35" s="7"/>
      <c r="EV35" s="7"/>
      <c r="EW35" s="39">
        <f t="shared" si="38"/>
        <v>0</v>
      </c>
      <c r="EX35" s="7"/>
      <c r="EY35" s="7"/>
      <c r="EZ35" s="7"/>
      <c r="FA35" s="39">
        <f t="shared" si="39"/>
        <v>0</v>
      </c>
      <c r="FB35" s="7"/>
      <c r="FC35" s="7"/>
      <c r="FD35" s="7"/>
      <c r="FE35" s="39">
        <f t="shared" si="40"/>
        <v>0</v>
      </c>
      <c r="FF35" s="7"/>
      <c r="FG35" s="7"/>
      <c r="FH35" s="7"/>
      <c r="FI35" s="39">
        <f t="shared" si="41"/>
        <v>0</v>
      </c>
      <c r="FJ35" s="7"/>
      <c r="FK35" s="7"/>
      <c r="FL35" s="7"/>
      <c r="FM35" s="39">
        <f t="shared" si="42"/>
        <v>0</v>
      </c>
      <c r="FN35" s="7"/>
      <c r="FO35" s="7"/>
      <c r="FP35" s="7"/>
      <c r="FQ35" s="39">
        <f t="shared" si="43"/>
        <v>0</v>
      </c>
      <c r="FR35" s="7"/>
      <c r="FS35" s="7"/>
      <c r="FT35" s="7"/>
      <c r="FU35" s="39">
        <f t="shared" si="44"/>
        <v>0</v>
      </c>
      <c r="FV35" s="7"/>
      <c r="FW35" s="7"/>
      <c r="FX35" s="7"/>
      <c r="FY35" s="39">
        <f t="shared" si="45"/>
        <v>0</v>
      </c>
      <c r="FZ35" s="7"/>
      <c r="GA35" s="7"/>
      <c r="GB35" s="7"/>
      <c r="GC35" s="39">
        <f t="shared" si="46"/>
        <v>0</v>
      </c>
      <c r="GD35" s="7"/>
      <c r="GE35" s="7"/>
      <c r="GF35" s="7"/>
      <c r="GG35" s="39">
        <f t="shared" si="47"/>
        <v>0</v>
      </c>
      <c r="GH35" s="7"/>
      <c r="GI35" s="7"/>
      <c r="GJ35" s="7"/>
      <c r="GK35" s="39">
        <f t="shared" si="48"/>
        <v>0</v>
      </c>
      <c r="GL35" s="7"/>
      <c r="GM35" s="7"/>
      <c r="GN35" s="7"/>
      <c r="GO35" s="39">
        <f t="shared" si="49"/>
        <v>0</v>
      </c>
      <c r="GP35" s="7">
        <v>1.0</v>
      </c>
      <c r="GQ35" s="7">
        <v>1.0</v>
      </c>
      <c r="GR35" s="7"/>
      <c r="GS35" s="39">
        <f t="shared" si="50"/>
        <v>3</v>
      </c>
      <c r="GT35" s="7"/>
      <c r="GU35" s="7"/>
      <c r="GV35" s="7"/>
      <c r="GW35" s="39">
        <f t="shared" si="51"/>
        <v>0</v>
      </c>
      <c r="GX35" s="7"/>
      <c r="GY35" s="7"/>
      <c r="GZ35" s="7"/>
      <c r="HA35" s="39">
        <f t="shared" si="52"/>
        <v>0</v>
      </c>
    </row>
    <row r="36">
      <c r="A36" s="20" t="s">
        <v>94</v>
      </c>
      <c r="B36" s="21"/>
      <c r="C36" s="1">
        <f t="shared" si="1"/>
        <v>34</v>
      </c>
      <c r="D36" s="15">
        <v>0.12000000000000001</v>
      </c>
      <c r="E36" s="37">
        <v>0.0</v>
      </c>
      <c r="F36" s="4"/>
      <c r="G36" s="7"/>
      <c r="H36" s="1"/>
      <c r="I36" s="39">
        <f t="shared" si="2"/>
        <v>0</v>
      </c>
      <c r="J36" s="161"/>
      <c r="K36" s="1"/>
      <c r="L36" s="1"/>
      <c r="M36" s="39">
        <f t="shared" si="3"/>
        <v>0</v>
      </c>
      <c r="N36" s="1"/>
      <c r="O36" s="1"/>
      <c r="P36" s="1"/>
      <c r="Q36" s="39">
        <f t="shared" si="4"/>
        <v>0</v>
      </c>
      <c r="R36" s="1"/>
      <c r="S36" s="1"/>
      <c r="T36" s="1"/>
      <c r="U36" s="39">
        <f t="shared" si="5"/>
        <v>0</v>
      </c>
      <c r="V36" s="1"/>
      <c r="W36" s="1"/>
      <c r="X36" s="1"/>
      <c r="Y36" s="39">
        <f t="shared" si="6"/>
        <v>0</v>
      </c>
      <c r="Z36" s="1"/>
      <c r="AA36" s="1"/>
      <c r="AB36" s="1"/>
      <c r="AC36" s="39">
        <f t="shared" si="7"/>
        <v>0</v>
      </c>
      <c r="AD36" s="7"/>
      <c r="AE36" s="7"/>
      <c r="AF36" s="7"/>
      <c r="AG36" s="39">
        <f t="shared" si="8"/>
        <v>0</v>
      </c>
      <c r="AH36" s="7"/>
      <c r="AI36" s="7"/>
      <c r="AJ36" s="7"/>
      <c r="AK36" s="39">
        <f t="shared" si="9"/>
        <v>0</v>
      </c>
      <c r="AL36" s="4"/>
      <c r="AM36" s="7"/>
      <c r="AN36" s="7"/>
      <c r="AO36" s="39">
        <f t="shared" si="10"/>
        <v>0</v>
      </c>
      <c r="AP36" s="7"/>
      <c r="AQ36" s="7"/>
      <c r="AR36" s="7"/>
      <c r="AS36" s="39">
        <f t="shared" si="11"/>
        <v>0</v>
      </c>
      <c r="AT36" s="7"/>
      <c r="AU36" s="7"/>
      <c r="AV36" s="7"/>
      <c r="AW36" s="39">
        <f t="shared" si="12"/>
        <v>0</v>
      </c>
      <c r="AX36" s="7"/>
      <c r="AY36" s="7"/>
      <c r="AZ36" s="7"/>
      <c r="BA36" s="39">
        <f t="shared" si="13"/>
        <v>0</v>
      </c>
      <c r="BB36" s="7"/>
      <c r="BC36" s="7"/>
      <c r="BD36" s="7"/>
      <c r="BE36" s="39">
        <f t="shared" si="14"/>
        <v>0</v>
      </c>
      <c r="BF36" s="7"/>
      <c r="BG36" s="7"/>
      <c r="BH36" s="7"/>
      <c r="BI36" s="39">
        <f t="shared" si="15"/>
        <v>0</v>
      </c>
      <c r="BJ36" s="7"/>
      <c r="BK36" s="7"/>
      <c r="BL36" s="7"/>
      <c r="BM36" s="39">
        <f t="shared" si="16"/>
        <v>0</v>
      </c>
      <c r="BN36" s="7"/>
      <c r="BO36" s="7"/>
      <c r="BP36" s="7"/>
      <c r="BQ36" s="39">
        <f t="shared" si="17"/>
        <v>0</v>
      </c>
      <c r="BR36" s="7"/>
      <c r="BS36" s="7"/>
      <c r="BT36" s="7"/>
      <c r="BU36" s="39">
        <f t="shared" si="18"/>
        <v>0</v>
      </c>
      <c r="BV36" s="7"/>
      <c r="BW36" s="7"/>
      <c r="BX36" s="7"/>
      <c r="BY36" s="39">
        <f t="shared" si="19"/>
        <v>0</v>
      </c>
      <c r="BZ36" s="7"/>
      <c r="CA36" s="7"/>
      <c r="CB36" s="7"/>
      <c r="CC36" s="39">
        <f t="shared" si="20"/>
        <v>0</v>
      </c>
      <c r="CD36" s="7"/>
      <c r="CE36" s="7"/>
      <c r="CF36" s="7"/>
      <c r="CG36" s="39">
        <f t="shared" si="21"/>
        <v>0</v>
      </c>
      <c r="CH36" s="7"/>
      <c r="CI36" s="7"/>
      <c r="CJ36" s="7"/>
      <c r="CK36" s="39">
        <f t="shared" si="22"/>
        <v>0</v>
      </c>
      <c r="CL36" s="7"/>
      <c r="CM36" s="7"/>
      <c r="CN36" s="7"/>
      <c r="CO36" s="39">
        <f t="shared" si="23"/>
        <v>0</v>
      </c>
      <c r="CP36" s="7"/>
      <c r="CQ36" s="7"/>
      <c r="CR36" s="7"/>
      <c r="CS36" s="39">
        <f t="shared" si="24"/>
        <v>0</v>
      </c>
      <c r="CT36" s="7"/>
      <c r="CU36" s="7"/>
      <c r="CV36" s="7"/>
      <c r="CW36" s="39">
        <f t="shared" si="25"/>
        <v>0</v>
      </c>
      <c r="CX36" s="7"/>
      <c r="CY36" s="7"/>
      <c r="CZ36" s="7"/>
      <c r="DA36" s="39">
        <f t="shared" si="26"/>
        <v>0</v>
      </c>
      <c r="DB36" s="7"/>
      <c r="DC36" s="7"/>
      <c r="DD36" s="7"/>
      <c r="DE36" s="39">
        <f t="shared" si="27"/>
        <v>0</v>
      </c>
      <c r="DF36" s="7"/>
      <c r="DG36" s="7"/>
      <c r="DH36" s="7"/>
      <c r="DI36" s="39">
        <f t="shared" si="28"/>
        <v>0</v>
      </c>
      <c r="DJ36" s="7"/>
      <c r="DK36" s="7"/>
      <c r="DL36" s="7"/>
      <c r="DM36" s="39">
        <f t="shared" si="29"/>
        <v>0</v>
      </c>
      <c r="DN36" s="7"/>
      <c r="DO36" s="7"/>
      <c r="DP36" s="7"/>
      <c r="DQ36" s="39">
        <f t="shared" si="30"/>
        <v>0</v>
      </c>
      <c r="DR36" s="7"/>
      <c r="DS36" s="7"/>
      <c r="DT36" s="7"/>
      <c r="DU36" s="39">
        <f t="shared" si="31"/>
        <v>0</v>
      </c>
      <c r="DV36" s="7"/>
      <c r="DW36" s="7"/>
      <c r="DX36" s="7"/>
      <c r="DY36" s="39">
        <f t="shared" si="32"/>
        <v>0</v>
      </c>
      <c r="DZ36" s="7"/>
      <c r="EA36" s="7"/>
      <c r="EB36" s="7"/>
      <c r="EC36" s="39">
        <f t="shared" si="33"/>
        <v>0</v>
      </c>
      <c r="ED36" s="7"/>
      <c r="EE36" s="7"/>
      <c r="EF36" s="7"/>
      <c r="EG36" s="39">
        <f t="shared" si="34"/>
        <v>0</v>
      </c>
      <c r="EH36" s="7"/>
      <c r="EI36" s="7"/>
      <c r="EJ36" s="7"/>
      <c r="EK36" s="39">
        <f t="shared" si="35"/>
        <v>0</v>
      </c>
      <c r="EL36" s="7"/>
      <c r="EM36" s="7"/>
      <c r="EN36" s="7"/>
      <c r="EO36" s="39">
        <f t="shared" si="36"/>
        <v>0</v>
      </c>
      <c r="EP36" s="7"/>
      <c r="EQ36" s="7"/>
      <c r="ER36" s="7"/>
      <c r="ES36" s="39">
        <f t="shared" si="37"/>
        <v>0</v>
      </c>
      <c r="ET36" s="7"/>
      <c r="EU36" s="7"/>
      <c r="EV36" s="7"/>
      <c r="EW36" s="39">
        <f t="shared" si="38"/>
        <v>0</v>
      </c>
      <c r="EX36" s="7"/>
      <c r="EY36" s="7"/>
      <c r="EZ36" s="7"/>
      <c r="FA36" s="39">
        <f t="shared" si="39"/>
        <v>0</v>
      </c>
      <c r="FB36" s="7"/>
      <c r="FC36" s="7"/>
      <c r="FD36" s="7"/>
      <c r="FE36" s="39">
        <f t="shared" si="40"/>
        <v>0</v>
      </c>
      <c r="FF36" s="7"/>
      <c r="FG36" s="7"/>
      <c r="FH36" s="7"/>
      <c r="FI36" s="39">
        <f t="shared" si="41"/>
        <v>0</v>
      </c>
      <c r="FJ36" s="7"/>
      <c r="FK36" s="7"/>
      <c r="FL36" s="7"/>
      <c r="FM36" s="39">
        <f t="shared" si="42"/>
        <v>0</v>
      </c>
      <c r="FN36" s="7"/>
      <c r="FO36" s="7"/>
      <c r="FP36" s="7"/>
      <c r="FQ36" s="39">
        <f t="shared" si="43"/>
        <v>0</v>
      </c>
      <c r="FR36" s="7"/>
      <c r="FS36" s="7"/>
      <c r="FT36" s="7"/>
      <c r="FU36" s="39">
        <f t="shared" si="44"/>
        <v>0</v>
      </c>
      <c r="FV36" s="7"/>
      <c r="FW36" s="7"/>
      <c r="FX36" s="7"/>
      <c r="FY36" s="39">
        <f t="shared" si="45"/>
        <v>0</v>
      </c>
      <c r="FZ36" s="7"/>
      <c r="GA36" s="7"/>
      <c r="GB36" s="7"/>
      <c r="GC36" s="39">
        <f t="shared" si="46"/>
        <v>0</v>
      </c>
      <c r="GD36" s="7"/>
      <c r="GE36" s="7"/>
      <c r="GF36" s="7"/>
      <c r="GG36" s="39">
        <f t="shared" si="47"/>
        <v>0</v>
      </c>
      <c r="GH36" s="7"/>
      <c r="GI36" s="7"/>
      <c r="GJ36" s="7"/>
      <c r="GK36" s="39">
        <f t="shared" si="48"/>
        <v>0</v>
      </c>
      <c r="GL36" s="7"/>
      <c r="GM36" s="7"/>
      <c r="GN36" s="7"/>
      <c r="GO36" s="39">
        <f t="shared" si="49"/>
        <v>0</v>
      </c>
      <c r="GP36" s="7"/>
      <c r="GQ36" s="7"/>
      <c r="GR36" s="7"/>
      <c r="GS36" s="39">
        <f t="shared" si="50"/>
        <v>0</v>
      </c>
      <c r="GT36" s="7"/>
      <c r="GU36" s="7"/>
      <c r="GV36" s="7"/>
      <c r="GW36" s="39">
        <f t="shared" si="51"/>
        <v>0</v>
      </c>
      <c r="GX36" s="7"/>
      <c r="GY36" s="7"/>
      <c r="GZ36" s="7"/>
      <c r="HA36" s="39">
        <f t="shared" si="52"/>
        <v>0</v>
      </c>
    </row>
    <row r="37">
      <c r="A37" s="20" t="s">
        <v>99</v>
      </c>
      <c r="B37" s="21"/>
      <c r="C37" s="1">
        <f t="shared" si="1"/>
        <v>35</v>
      </c>
      <c r="D37" s="15">
        <v>0.1</v>
      </c>
      <c r="E37" s="37">
        <v>0.0</v>
      </c>
      <c r="F37" s="4"/>
      <c r="G37" s="7"/>
      <c r="H37" s="1"/>
      <c r="I37" s="39">
        <f t="shared" si="2"/>
        <v>0</v>
      </c>
      <c r="J37" s="161"/>
      <c r="K37" s="1"/>
      <c r="L37" s="1"/>
      <c r="M37" s="39">
        <f t="shared" si="3"/>
        <v>0</v>
      </c>
      <c r="N37" s="1"/>
      <c r="O37" s="1"/>
      <c r="P37" s="1"/>
      <c r="Q37" s="39">
        <f t="shared" si="4"/>
        <v>0</v>
      </c>
      <c r="R37" s="1"/>
      <c r="S37" s="1"/>
      <c r="T37" s="1"/>
      <c r="U37" s="39">
        <f t="shared" si="5"/>
        <v>0</v>
      </c>
      <c r="V37" s="1"/>
      <c r="W37" s="1"/>
      <c r="X37" s="1"/>
      <c r="Y37" s="39">
        <f t="shared" si="6"/>
        <v>0</v>
      </c>
      <c r="Z37" s="1"/>
      <c r="AA37" s="1"/>
      <c r="AB37" s="1"/>
      <c r="AC37" s="39">
        <f t="shared" si="7"/>
        <v>0</v>
      </c>
      <c r="AD37" s="7"/>
      <c r="AE37" s="7"/>
      <c r="AF37" s="7"/>
      <c r="AG37" s="39">
        <f t="shared" si="8"/>
        <v>0</v>
      </c>
      <c r="AH37" s="7"/>
      <c r="AI37" s="7"/>
      <c r="AJ37" s="7"/>
      <c r="AK37" s="39">
        <f t="shared" si="9"/>
        <v>0</v>
      </c>
      <c r="AL37" s="4"/>
      <c r="AM37" s="7"/>
      <c r="AN37" s="7"/>
      <c r="AO37" s="39">
        <f t="shared" si="10"/>
        <v>0</v>
      </c>
      <c r="AP37" s="7"/>
      <c r="AQ37" s="7"/>
      <c r="AR37" s="7"/>
      <c r="AS37" s="39">
        <f t="shared" si="11"/>
        <v>0</v>
      </c>
      <c r="AT37" s="7"/>
      <c r="AU37" s="7"/>
      <c r="AV37" s="7"/>
      <c r="AW37" s="39">
        <f t="shared" si="12"/>
        <v>0</v>
      </c>
      <c r="AX37" s="7"/>
      <c r="AY37" s="7"/>
      <c r="AZ37" s="7"/>
      <c r="BA37" s="39">
        <f t="shared" si="13"/>
        <v>0</v>
      </c>
      <c r="BB37" s="7"/>
      <c r="BC37" s="7"/>
      <c r="BD37" s="7"/>
      <c r="BE37" s="39">
        <f t="shared" si="14"/>
        <v>0</v>
      </c>
      <c r="BF37" s="7"/>
      <c r="BG37" s="7"/>
      <c r="BH37" s="7"/>
      <c r="BI37" s="39">
        <f t="shared" si="15"/>
        <v>0</v>
      </c>
      <c r="BJ37" s="7"/>
      <c r="BK37" s="7"/>
      <c r="BL37" s="7"/>
      <c r="BM37" s="39">
        <f t="shared" si="16"/>
        <v>0</v>
      </c>
      <c r="BN37" s="7"/>
      <c r="BO37" s="7"/>
      <c r="BP37" s="7"/>
      <c r="BQ37" s="39">
        <f t="shared" si="17"/>
        <v>0</v>
      </c>
      <c r="BR37" s="7"/>
      <c r="BS37" s="7"/>
      <c r="BT37" s="7"/>
      <c r="BU37" s="39">
        <f t="shared" si="18"/>
        <v>0</v>
      </c>
      <c r="BV37" s="7"/>
      <c r="BW37" s="7"/>
      <c r="BX37" s="7"/>
      <c r="BY37" s="39">
        <f t="shared" si="19"/>
        <v>0</v>
      </c>
      <c r="BZ37" s="7"/>
      <c r="CA37" s="7"/>
      <c r="CB37" s="7"/>
      <c r="CC37" s="39">
        <f t="shared" si="20"/>
        <v>0</v>
      </c>
      <c r="CD37" s="7"/>
      <c r="CE37" s="7"/>
      <c r="CF37" s="7"/>
      <c r="CG37" s="39">
        <f t="shared" si="21"/>
        <v>0</v>
      </c>
      <c r="CH37" s="7"/>
      <c r="CI37" s="7"/>
      <c r="CJ37" s="7"/>
      <c r="CK37" s="39">
        <f t="shared" si="22"/>
        <v>0</v>
      </c>
      <c r="CL37" s="7"/>
      <c r="CM37" s="7"/>
      <c r="CN37" s="7"/>
      <c r="CO37" s="39">
        <f t="shared" si="23"/>
        <v>0</v>
      </c>
      <c r="CP37" s="7"/>
      <c r="CQ37" s="7"/>
      <c r="CR37" s="7"/>
      <c r="CS37" s="39">
        <f t="shared" si="24"/>
        <v>0</v>
      </c>
      <c r="CT37" s="7"/>
      <c r="CU37" s="7"/>
      <c r="CV37" s="7"/>
      <c r="CW37" s="39">
        <f t="shared" si="25"/>
        <v>0</v>
      </c>
      <c r="CX37" s="7"/>
      <c r="CY37" s="7"/>
      <c r="CZ37" s="7"/>
      <c r="DA37" s="39">
        <f t="shared" si="26"/>
        <v>0</v>
      </c>
      <c r="DB37" s="7"/>
      <c r="DC37" s="7"/>
      <c r="DD37" s="7"/>
      <c r="DE37" s="39">
        <f t="shared" si="27"/>
        <v>0</v>
      </c>
      <c r="DF37" s="7"/>
      <c r="DG37" s="7"/>
      <c r="DH37" s="7"/>
      <c r="DI37" s="39">
        <f t="shared" si="28"/>
        <v>0</v>
      </c>
      <c r="DJ37" s="7"/>
      <c r="DK37" s="7"/>
      <c r="DL37" s="7"/>
      <c r="DM37" s="39">
        <f t="shared" si="29"/>
        <v>0</v>
      </c>
      <c r="DN37" s="7"/>
      <c r="DO37" s="7"/>
      <c r="DP37" s="7"/>
      <c r="DQ37" s="39">
        <f t="shared" si="30"/>
        <v>0</v>
      </c>
      <c r="DR37" s="7"/>
      <c r="DS37" s="7"/>
      <c r="DT37" s="7"/>
      <c r="DU37" s="39">
        <f t="shared" si="31"/>
        <v>0</v>
      </c>
      <c r="DV37" s="7"/>
      <c r="DW37" s="7"/>
      <c r="DX37" s="7"/>
      <c r="DY37" s="39">
        <f t="shared" si="32"/>
        <v>0</v>
      </c>
      <c r="DZ37" s="7"/>
      <c r="EA37" s="7"/>
      <c r="EB37" s="7"/>
      <c r="EC37" s="39">
        <f t="shared" si="33"/>
        <v>0</v>
      </c>
      <c r="ED37" s="7"/>
      <c r="EE37" s="7"/>
      <c r="EF37" s="7"/>
      <c r="EG37" s="39">
        <f t="shared" si="34"/>
        <v>0</v>
      </c>
      <c r="EH37" s="7"/>
      <c r="EI37" s="7"/>
      <c r="EJ37" s="7"/>
      <c r="EK37" s="39">
        <f t="shared" si="35"/>
        <v>0</v>
      </c>
      <c r="EL37" s="7"/>
      <c r="EM37" s="7"/>
      <c r="EN37" s="7"/>
      <c r="EO37" s="39">
        <f t="shared" si="36"/>
        <v>0</v>
      </c>
      <c r="EP37" s="7"/>
      <c r="EQ37" s="7"/>
      <c r="ER37" s="7"/>
      <c r="ES37" s="39">
        <f t="shared" si="37"/>
        <v>0</v>
      </c>
      <c r="ET37" s="7"/>
      <c r="EU37" s="7"/>
      <c r="EV37" s="7"/>
      <c r="EW37" s="39">
        <f t="shared" si="38"/>
        <v>0</v>
      </c>
      <c r="EX37" s="7"/>
      <c r="EY37" s="7"/>
      <c r="EZ37" s="7"/>
      <c r="FA37" s="39">
        <f t="shared" si="39"/>
        <v>0</v>
      </c>
      <c r="FB37" s="7"/>
      <c r="FC37" s="7"/>
      <c r="FD37" s="7"/>
      <c r="FE37" s="39">
        <f t="shared" si="40"/>
        <v>0</v>
      </c>
      <c r="FF37" s="7"/>
      <c r="FG37" s="7"/>
      <c r="FH37" s="7"/>
      <c r="FI37" s="39">
        <f t="shared" si="41"/>
        <v>0</v>
      </c>
      <c r="FJ37" s="7"/>
      <c r="FK37" s="7"/>
      <c r="FL37" s="7"/>
      <c r="FM37" s="39">
        <f t="shared" si="42"/>
        <v>0</v>
      </c>
      <c r="FN37" s="7"/>
      <c r="FO37" s="7"/>
      <c r="FP37" s="7"/>
      <c r="FQ37" s="39">
        <f t="shared" si="43"/>
        <v>0</v>
      </c>
      <c r="FR37" s="7"/>
      <c r="FS37" s="7"/>
      <c r="FT37" s="7"/>
      <c r="FU37" s="39">
        <f t="shared" si="44"/>
        <v>0</v>
      </c>
      <c r="FV37" s="7"/>
      <c r="FW37" s="7"/>
      <c r="FX37" s="7"/>
      <c r="FY37" s="39">
        <f t="shared" si="45"/>
        <v>0</v>
      </c>
      <c r="FZ37" s="7"/>
      <c r="GA37" s="7"/>
      <c r="GB37" s="7"/>
      <c r="GC37" s="39">
        <f t="shared" si="46"/>
        <v>0</v>
      </c>
      <c r="GD37" s="7"/>
      <c r="GE37" s="7"/>
      <c r="GF37" s="7"/>
      <c r="GG37" s="39">
        <f t="shared" si="47"/>
        <v>0</v>
      </c>
      <c r="GH37" s="7"/>
      <c r="GI37" s="7"/>
      <c r="GJ37" s="7"/>
      <c r="GK37" s="39">
        <f t="shared" si="48"/>
        <v>0</v>
      </c>
      <c r="GL37" s="7"/>
      <c r="GM37" s="7"/>
      <c r="GN37" s="7"/>
      <c r="GO37" s="39">
        <f t="shared" si="49"/>
        <v>0</v>
      </c>
      <c r="GP37" s="7"/>
      <c r="GQ37" s="7"/>
      <c r="GR37" s="7"/>
      <c r="GS37" s="39">
        <f t="shared" si="50"/>
        <v>0</v>
      </c>
      <c r="GT37" s="7"/>
      <c r="GU37" s="7"/>
      <c r="GV37" s="7"/>
      <c r="GW37" s="39">
        <f t="shared" si="51"/>
        <v>0</v>
      </c>
      <c r="GX37" s="7"/>
      <c r="GY37" s="7"/>
      <c r="GZ37" s="7"/>
      <c r="HA37" s="39">
        <f t="shared" si="52"/>
        <v>0</v>
      </c>
    </row>
    <row r="38">
      <c r="A38" s="20" t="s">
        <v>115</v>
      </c>
      <c r="B38" s="21" t="s">
        <v>116</v>
      </c>
      <c r="C38" s="1">
        <f t="shared" si="1"/>
        <v>36</v>
      </c>
      <c r="D38" s="15">
        <v>0.06</v>
      </c>
      <c r="E38" s="37">
        <v>0.0</v>
      </c>
      <c r="F38" s="4"/>
      <c r="G38" s="7"/>
      <c r="H38" s="1"/>
      <c r="I38" s="39">
        <f t="shared" si="2"/>
        <v>0</v>
      </c>
      <c r="J38" s="161"/>
      <c r="K38" s="1"/>
      <c r="L38" s="1"/>
      <c r="M38" s="39">
        <f t="shared" si="3"/>
        <v>0</v>
      </c>
      <c r="N38" s="1"/>
      <c r="O38" s="1"/>
      <c r="P38" s="1"/>
      <c r="Q38" s="39">
        <f t="shared" si="4"/>
        <v>0</v>
      </c>
      <c r="R38" s="1"/>
      <c r="S38" s="1"/>
      <c r="T38" s="1"/>
      <c r="U38" s="39">
        <f t="shared" si="5"/>
        <v>0</v>
      </c>
      <c r="V38" s="1"/>
      <c r="W38" s="1"/>
      <c r="X38" s="1"/>
      <c r="Y38" s="39">
        <f t="shared" si="6"/>
        <v>0</v>
      </c>
      <c r="Z38" s="1"/>
      <c r="AA38" s="1"/>
      <c r="AB38" s="1"/>
      <c r="AC38" s="39">
        <f t="shared" si="7"/>
        <v>0</v>
      </c>
      <c r="AD38" s="7"/>
      <c r="AE38" s="7"/>
      <c r="AF38" s="7"/>
      <c r="AG38" s="39">
        <f t="shared" si="8"/>
        <v>0</v>
      </c>
      <c r="AH38" s="7"/>
      <c r="AI38" s="7"/>
      <c r="AJ38" s="7"/>
      <c r="AK38" s="39">
        <f t="shared" si="9"/>
        <v>0</v>
      </c>
      <c r="AL38" s="4"/>
      <c r="AM38" s="7"/>
      <c r="AN38" s="7"/>
      <c r="AO38" s="39">
        <f t="shared" si="10"/>
        <v>0</v>
      </c>
      <c r="AP38" s="7"/>
      <c r="AQ38" s="7"/>
      <c r="AR38" s="7"/>
      <c r="AS38" s="39">
        <f t="shared" si="11"/>
        <v>0</v>
      </c>
      <c r="AT38" s="7"/>
      <c r="AU38" s="7"/>
      <c r="AV38" s="7"/>
      <c r="AW38" s="39">
        <f t="shared" si="12"/>
        <v>0</v>
      </c>
      <c r="AX38" s="7"/>
      <c r="AY38" s="7"/>
      <c r="AZ38" s="7"/>
      <c r="BA38" s="39">
        <f t="shared" si="13"/>
        <v>0</v>
      </c>
      <c r="BB38" s="7"/>
      <c r="BC38" s="7"/>
      <c r="BD38" s="7"/>
      <c r="BE38" s="39">
        <f t="shared" si="14"/>
        <v>0</v>
      </c>
      <c r="BF38" s="7"/>
      <c r="BG38" s="7"/>
      <c r="BH38" s="7"/>
      <c r="BI38" s="39">
        <f t="shared" si="15"/>
        <v>0</v>
      </c>
      <c r="BJ38" s="7"/>
      <c r="BK38" s="7"/>
      <c r="BL38" s="7"/>
      <c r="BM38" s="39">
        <f t="shared" si="16"/>
        <v>0</v>
      </c>
      <c r="BN38" s="7"/>
      <c r="BO38" s="7"/>
      <c r="BP38" s="7"/>
      <c r="BQ38" s="39">
        <f t="shared" si="17"/>
        <v>0</v>
      </c>
      <c r="BR38" s="7"/>
      <c r="BS38" s="7"/>
      <c r="BT38" s="7"/>
      <c r="BU38" s="39">
        <f t="shared" si="18"/>
        <v>0</v>
      </c>
      <c r="BV38" s="7"/>
      <c r="BW38" s="7"/>
      <c r="BX38" s="7"/>
      <c r="BY38" s="39">
        <f t="shared" si="19"/>
        <v>0</v>
      </c>
      <c r="BZ38" s="7"/>
      <c r="CA38" s="7"/>
      <c r="CB38" s="7"/>
      <c r="CC38" s="39">
        <f t="shared" si="20"/>
        <v>0</v>
      </c>
      <c r="CD38" s="7"/>
      <c r="CE38" s="7"/>
      <c r="CF38" s="7"/>
      <c r="CG38" s="39">
        <f t="shared" si="21"/>
        <v>0</v>
      </c>
      <c r="CH38" s="7"/>
      <c r="CI38" s="7"/>
      <c r="CJ38" s="7"/>
      <c r="CK38" s="39">
        <f t="shared" si="22"/>
        <v>0</v>
      </c>
      <c r="CL38" s="7"/>
      <c r="CM38" s="7"/>
      <c r="CN38" s="7"/>
      <c r="CO38" s="39">
        <f t="shared" si="23"/>
        <v>0</v>
      </c>
      <c r="CP38" s="7"/>
      <c r="CQ38" s="7"/>
      <c r="CR38" s="7"/>
      <c r="CS38" s="39">
        <f t="shared" si="24"/>
        <v>0</v>
      </c>
      <c r="CT38" s="7"/>
      <c r="CU38" s="7"/>
      <c r="CV38" s="7"/>
      <c r="CW38" s="39">
        <f t="shared" si="25"/>
        <v>0</v>
      </c>
      <c r="CX38" s="7"/>
      <c r="CY38" s="7"/>
      <c r="CZ38" s="7"/>
      <c r="DA38" s="39">
        <f t="shared" si="26"/>
        <v>0</v>
      </c>
      <c r="DB38" s="7"/>
      <c r="DC38" s="7"/>
      <c r="DD38" s="7"/>
      <c r="DE38" s="39">
        <f t="shared" si="27"/>
        <v>0</v>
      </c>
      <c r="DF38" s="7"/>
      <c r="DG38" s="7"/>
      <c r="DH38" s="7"/>
      <c r="DI38" s="39">
        <f t="shared" si="28"/>
        <v>0</v>
      </c>
      <c r="DJ38" s="7"/>
      <c r="DK38" s="7"/>
      <c r="DL38" s="7"/>
      <c r="DM38" s="39">
        <f t="shared" si="29"/>
        <v>0</v>
      </c>
      <c r="DN38" s="7"/>
      <c r="DO38" s="7"/>
      <c r="DP38" s="7"/>
      <c r="DQ38" s="39">
        <f t="shared" si="30"/>
        <v>0</v>
      </c>
      <c r="DR38" s="7"/>
      <c r="DS38" s="7"/>
      <c r="DT38" s="7"/>
      <c r="DU38" s="39">
        <f t="shared" si="31"/>
        <v>0</v>
      </c>
      <c r="DV38" s="7"/>
      <c r="DW38" s="7"/>
      <c r="DX38" s="7"/>
      <c r="DY38" s="39">
        <f t="shared" si="32"/>
        <v>0</v>
      </c>
      <c r="DZ38" s="7"/>
      <c r="EA38" s="7"/>
      <c r="EB38" s="7"/>
      <c r="EC38" s="39">
        <f t="shared" si="33"/>
        <v>0</v>
      </c>
      <c r="ED38" s="7"/>
      <c r="EE38" s="7"/>
      <c r="EF38" s="7"/>
      <c r="EG38" s="39">
        <f t="shared" si="34"/>
        <v>0</v>
      </c>
      <c r="EH38" s="7"/>
      <c r="EI38" s="7"/>
      <c r="EJ38" s="7"/>
      <c r="EK38" s="39">
        <f t="shared" si="35"/>
        <v>0</v>
      </c>
      <c r="EL38" s="7"/>
      <c r="EM38" s="7"/>
      <c r="EN38" s="7"/>
      <c r="EO38" s="39">
        <f t="shared" si="36"/>
        <v>0</v>
      </c>
      <c r="EP38" s="7"/>
      <c r="EQ38" s="7"/>
      <c r="ER38" s="7"/>
      <c r="ES38" s="39">
        <f t="shared" si="37"/>
        <v>0</v>
      </c>
      <c r="ET38" s="7"/>
      <c r="EU38" s="7"/>
      <c r="EV38" s="7"/>
      <c r="EW38" s="39">
        <f t="shared" si="38"/>
        <v>0</v>
      </c>
      <c r="EX38" s="7"/>
      <c r="EY38" s="7"/>
      <c r="EZ38" s="7"/>
      <c r="FA38" s="39">
        <f t="shared" si="39"/>
        <v>0</v>
      </c>
      <c r="FB38" s="7"/>
      <c r="FC38" s="7"/>
      <c r="FD38" s="7"/>
      <c r="FE38" s="39">
        <f t="shared" si="40"/>
        <v>0</v>
      </c>
      <c r="FF38" s="7"/>
      <c r="FG38" s="7"/>
      <c r="FH38" s="7"/>
      <c r="FI38" s="39">
        <f t="shared" si="41"/>
        <v>0</v>
      </c>
      <c r="FJ38" s="7"/>
      <c r="FK38" s="7"/>
      <c r="FL38" s="7"/>
      <c r="FM38" s="39">
        <f t="shared" si="42"/>
        <v>0</v>
      </c>
      <c r="FN38" s="7"/>
      <c r="FO38" s="7"/>
      <c r="FP38" s="7"/>
      <c r="FQ38" s="39">
        <f t="shared" si="43"/>
        <v>0</v>
      </c>
      <c r="FR38" s="7"/>
      <c r="FS38" s="7"/>
      <c r="FT38" s="7"/>
      <c r="FU38" s="39">
        <f t="shared" si="44"/>
        <v>0</v>
      </c>
      <c r="FV38" s="7"/>
      <c r="FW38" s="7"/>
      <c r="FX38" s="7"/>
      <c r="FY38" s="39">
        <f t="shared" si="45"/>
        <v>0</v>
      </c>
      <c r="FZ38" s="7"/>
      <c r="GA38" s="7"/>
      <c r="GB38" s="7"/>
      <c r="GC38" s="39">
        <f t="shared" si="46"/>
        <v>0</v>
      </c>
      <c r="GD38" s="7"/>
      <c r="GE38" s="7"/>
      <c r="GF38" s="7"/>
      <c r="GG38" s="39">
        <f t="shared" si="47"/>
        <v>0</v>
      </c>
      <c r="GH38" s="7"/>
      <c r="GI38" s="7"/>
      <c r="GJ38" s="7"/>
      <c r="GK38" s="39">
        <f t="shared" si="48"/>
        <v>0</v>
      </c>
      <c r="GL38" s="7"/>
      <c r="GM38" s="7"/>
      <c r="GN38" s="7"/>
      <c r="GO38" s="39">
        <f t="shared" si="49"/>
        <v>0</v>
      </c>
      <c r="GP38" s="7"/>
      <c r="GQ38" s="7"/>
      <c r="GR38" s="7"/>
      <c r="GS38" s="39">
        <f t="shared" si="50"/>
        <v>0</v>
      </c>
      <c r="GT38" s="7"/>
      <c r="GU38" s="7"/>
      <c r="GV38" s="7"/>
      <c r="GW38" s="39">
        <f t="shared" si="51"/>
        <v>0</v>
      </c>
      <c r="GX38" s="7"/>
      <c r="GY38" s="7"/>
      <c r="GZ38" s="7"/>
      <c r="HA38" s="39">
        <f t="shared" si="52"/>
        <v>0</v>
      </c>
    </row>
    <row r="39">
      <c r="A39" s="20" t="s">
        <v>126</v>
      </c>
      <c r="B39" s="21"/>
      <c r="C39" s="1">
        <f t="shared" si="1"/>
        <v>37</v>
      </c>
      <c r="D39" s="15">
        <v>0.03</v>
      </c>
      <c r="E39" s="37">
        <v>0.0</v>
      </c>
      <c r="F39" s="4"/>
      <c r="G39" s="7"/>
      <c r="H39" s="7"/>
      <c r="I39" s="39">
        <f t="shared" si="2"/>
        <v>0</v>
      </c>
      <c r="J39" s="161"/>
      <c r="K39" s="1"/>
      <c r="L39" s="1"/>
      <c r="M39" s="39">
        <f t="shared" si="3"/>
        <v>0</v>
      </c>
      <c r="N39" s="1"/>
      <c r="O39" s="1"/>
      <c r="P39" s="1"/>
      <c r="Q39" s="39">
        <f t="shared" si="4"/>
        <v>0</v>
      </c>
      <c r="R39" s="1"/>
      <c r="S39" s="1"/>
      <c r="T39" s="1"/>
      <c r="U39" s="39">
        <f t="shared" si="5"/>
        <v>0</v>
      </c>
      <c r="V39" s="1"/>
      <c r="W39" s="1"/>
      <c r="X39" s="1"/>
      <c r="Y39" s="39">
        <f t="shared" si="6"/>
        <v>0</v>
      </c>
      <c r="Z39" s="1"/>
      <c r="AA39" s="1"/>
      <c r="AB39" s="1"/>
      <c r="AC39" s="39">
        <f t="shared" si="7"/>
        <v>0</v>
      </c>
      <c r="AD39" s="7"/>
      <c r="AE39" s="7"/>
      <c r="AF39" s="7"/>
      <c r="AG39" s="39">
        <f t="shared" si="8"/>
        <v>0</v>
      </c>
      <c r="AH39" s="7"/>
      <c r="AI39" s="7"/>
      <c r="AJ39" s="7"/>
      <c r="AK39" s="39">
        <f t="shared" si="9"/>
        <v>0</v>
      </c>
      <c r="AL39" s="4"/>
      <c r="AM39" s="7"/>
      <c r="AN39" s="7"/>
      <c r="AO39" s="39">
        <f t="shared" si="10"/>
        <v>0</v>
      </c>
      <c r="AP39" s="7"/>
      <c r="AQ39" s="7"/>
      <c r="AR39" s="7"/>
      <c r="AS39" s="39">
        <f t="shared" si="11"/>
        <v>0</v>
      </c>
      <c r="AT39" s="7"/>
      <c r="AU39" s="7"/>
      <c r="AV39" s="7"/>
      <c r="AW39" s="39">
        <f t="shared" si="12"/>
        <v>0</v>
      </c>
      <c r="AX39" s="7"/>
      <c r="AY39" s="7"/>
      <c r="AZ39" s="7"/>
      <c r="BA39" s="39">
        <f t="shared" si="13"/>
        <v>0</v>
      </c>
      <c r="BB39" s="7"/>
      <c r="BC39" s="7"/>
      <c r="BD39" s="7"/>
      <c r="BE39" s="39">
        <f t="shared" si="14"/>
        <v>0</v>
      </c>
      <c r="BF39" s="7"/>
      <c r="BG39" s="7"/>
      <c r="BH39" s="7"/>
      <c r="BI39" s="39">
        <f t="shared" si="15"/>
        <v>0</v>
      </c>
      <c r="BJ39" s="7"/>
      <c r="BK39" s="7"/>
      <c r="BL39" s="7"/>
      <c r="BM39" s="39">
        <f t="shared" si="16"/>
        <v>0</v>
      </c>
      <c r="BN39" s="7"/>
      <c r="BO39" s="7"/>
      <c r="BP39" s="7"/>
      <c r="BQ39" s="39">
        <f t="shared" si="17"/>
        <v>0</v>
      </c>
      <c r="BR39" s="7"/>
      <c r="BS39" s="7"/>
      <c r="BT39" s="7"/>
      <c r="BU39" s="39">
        <f t="shared" si="18"/>
        <v>0</v>
      </c>
      <c r="BV39" s="7"/>
      <c r="BW39" s="7"/>
      <c r="BX39" s="7"/>
      <c r="BY39" s="39">
        <f t="shared" si="19"/>
        <v>0</v>
      </c>
      <c r="BZ39" s="7"/>
      <c r="CA39" s="7"/>
      <c r="CB39" s="7"/>
      <c r="CC39" s="39">
        <f t="shared" si="20"/>
        <v>0</v>
      </c>
      <c r="CD39" s="7"/>
      <c r="CE39" s="7"/>
      <c r="CF39" s="7"/>
      <c r="CG39" s="39">
        <f t="shared" si="21"/>
        <v>0</v>
      </c>
      <c r="CH39" s="7"/>
      <c r="CI39" s="7"/>
      <c r="CJ39" s="7"/>
      <c r="CK39" s="39">
        <f t="shared" si="22"/>
        <v>0</v>
      </c>
      <c r="CL39" s="7"/>
      <c r="CM39" s="7"/>
      <c r="CN39" s="7"/>
      <c r="CO39" s="39">
        <f t="shared" si="23"/>
        <v>0</v>
      </c>
      <c r="CP39" s="7"/>
      <c r="CQ39" s="7"/>
      <c r="CR39" s="7"/>
      <c r="CS39" s="39">
        <f t="shared" si="24"/>
        <v>0</v>
      </c>
      <c r="CT39" s="7"/>
      <c r="CU39" s="7"/>
      <c r="CV39" s="7"/>
      <c r="CW39" s="39">
        <f t="shared" si="25"/>
        <v>0</v>
      </c>
      <c r="CX39" s="7"/>
      <c r="CY39" s="7"/>
      <c r="CZ39" s="7"/>
      <c r="DA39" s="39">
        <f t="shared" si="26"/>
        <v>0</v>
      </c>
      <c r="DB39" s="7"/>
      <c r="DC39" s="7"/>
      <c r="DD39" s="7"/>
      <c r="DE39" s="39">
        <f t="shared" si="27"/>
        <v>0</v>
      </c>
      <c r="DF39" s="7"/>
      <c r="DG39" s="7"/>
      <c r="DH39" s="7"/>
      <c r="DI39" s="39">
        <f t="shared" si="28"/>
        <v>0</v>
      </c>
      <c r="DJ39" s="7"/>
      <c r="DK39" s="7"/>
      <c r="DL39" s="7"/>
      <c r="DM39" s="39">
        <f t="shared" si="29"/>
        <v>0</v>
      </c>
      <c r="DN39" s="7"/>
      <c r="DO39" s="7"/>
      <c r="DP39" s="7"/>
      <c r="DQ39" s="39">
        <f t="shared" si="30"/>
        <v>0</v>
      </c>
      <c r="DR39" s="7"/>
      <c r="DS39" s="7"/>
      <c r="DT39" s="7"/>
      <c r="DU39" s="39">
        <f t="shared" si="31"/>
        <v>0</v>
      </c>
      <c r="DV39" s="7"/>
      <c r="DW39" s="7"/>
      <c r="DX39" s="7"/>
      <c r="DY39" s="39">
        <f t="shared" si="32"/>
        <v>0</v>
      </c>
      <c r="DZ39" s="7"/>
      <c r="EA39" s="7"/>
      <c r="EB39" s="7"/>
      <c r="EC39" s="39">
        <f t="shared" si="33"/>
        <v>0</v>
      </c>
      <c r="ED39" s="7"/>
      <c r="EE39" s="7"/>
      <c r="EF39" s="7"/>
      <c r="EG39" s="39">
        <f t="shared" si="34"/>
        <v>0</v>
      </c>
      <c r="EH39" s="7"/>
      <c r="EI39" s="7"/>
      <c r="EJ39" s="7"/>
      <c r="EK39" s="39">
        <f t="shared" si="35"/>
        <v>0</v>
      </c>
      <c r="EL39" s="7"/>
      <c r="EM39" s="7"/>
      <c r="EN39" s="7"/>
      <c r="EO39" s="39">
        <f t="shared" si="36"/>
        <v>0</v>
      </c>
      <c r="EP39" s="7"/>
      <c r="EQ39" s="7"/>
      <c r="ER39" s="7"/>
      <c r="ES39" s="39">
        <f t="shared" si="37"/>
        <v>0</v>
      </c>
      <c r="ET39" s="7"/>
      <c r="EU39" s="7"/>
      <c r="EV39" s="7"/>
      <c r="EW39" s="39">
        <f t="shared" si="38"/>
        <v>0</v>
      </c>
      <c r="EX39" s="7"/>
      <c r="EY39" s="7"/>
      <c r="EZ39" s="7"/>
      <c r="FA39" s="39">
        <f t="shared" si="39"/>
        <v>0</v>
      </c>
      <c r="FB39" s="7"/>
      <c r="FC39" s="7"/>
      <c r="FD39" s="7"/>
      <c r="FE39" s="39">
        <f t="shared" si="40"/>
        <v>0</v>
      </c>
      <c r="FF39" s="7"/>
      <c r="FG39" s="7"/>
      <c r="FH39" s="7"/>
      <c r="FI39" s="39">
        <f t="shared" si="41"/>
        <v>0</v>
      </c>
      <c r="FJ39" s="7"/>
      <c r="FK39" s="7"/>
      <c r="FL39" s="7"/>
      <c r="FM39" s="39">
        <f t="shared" si="42"/>
        <v>0</v>
      </c>
      <c r="FN39" s="7"/>
      <c r="FO39" s="7"/>
      <c r="FP39" s="7"/>
      <c r="FQ39" s="39">
        <f t="shared" si="43"/>
        <v>0</v>
      </c>
      <c r="FR39" s="7"/>
      <c r="FS39" s="7"/>
      <c r="FT39" s="7"/>
      <c r="FU39" s="39">
        <f t="shared" si="44"/>
        <v>0</v>
      </c>
      <c r="FV39" s="7"/>
      <c r="FW39" s="7"/>
      <c r="FX39" s="7"/>
      <c r="FY39" s="39">
        <f t="shared" si="45"/>
        <v>0</v>
      </c>
      <c r="FZ39" s="7"/>
      <c r="GA39" s="7"/>
      <c r="GB39" s="7"/>
      <c r="GC39" s="39">
        <f t="shared" si="46"/>
        <v>0</v>
      </c>
      <c r="GD39" s="7"/>
      <c r="GE39" s="7"/>
      <c r="GF39" s="7"/>
      <c r="GG39" s="39">
        <f t="shared" si="47"/>
        <v>0</v>
      </c>
      <c r="GH39" s="7"/>
      <c r="GI39" s="7"/>
      <c r="GJ39" s="7"/>
      <c r="GK39" s="39">
        <f t="shared" si="48"/>
        <v>0</v>
      </c>
      <c r="GL39" s="7"/>
      <c r="GM39" s="7"/>
      <c r="GN39" s="7"/>
      <c r="GO39" s="39">
        <f t="shared" si="49"/>
        <v>0</v>
      </c>
      <c r="GP39" s="7"/>
      <c r="GQ39" s="7"/>
      <c r="GR39" s="7"/>
      <c r="GS39" s="39">
        <f t="shared" si="50"/>
        <v>0</v>
      </c>
      <c r="GT39" s="7"/>
      <c r="GU39" s="7"/>
      <c r="GV39" s="7"/>
      <c r="GW39" s="39">
        <f t="shared" si="51"/>
        <v>0</v>
      </c>
      <c r="GX39" s="7"/>
      <c r="GY39" s="7"/>
      <c r="GZ39" s="7"/>
      <c r="HA39" s="39">
        <f t="shared" si="52"/>
        <v>0</v>
      </c>
    </row>
    <row r="40">
      <c r="A40" s="20" t="s">
        <v>128</v>
      </c>
      <c r="B40" s="21"/>
      <c r="C40" s="1">
        <f t="shared" si="1"/>
        <v>38</v>
      </c>
      <c r="D40" s="15">
        <v>0.03</v>
      </c>
      <c r="E40" s="37">
        <v>0.0</v>
      </c>
      <c r="F40" s="4"/>
      <c r="G40" s="7"/>
      <c r="H40" s="1"/>
      <c r="I40" s="39">
        <f t="shared" si="2"/>
        <v>0</v>
      </c>
      <c r="J40" s="161"/>
      <c r="K40" s="1"/>
      <c r="L40" s="1"/>
      <c r="M40" s="39">
        <f t="shared" si="3"/>
        <v>0</v>
      </c>
      <c r="N40" s="1"/>
      <c r="O40" s="1"/>
      <c r="P40" s="1"/>
      <c r="Q40" s="39">
        <f t="shared" si="4"/>
        <v>0</v>
      </c>
      <c r="R40" s="1"/>
      <c r="S40" s="1"/>
      <c r="T40" s="1"/>
      <c r="U40" s="39">
        <f t="shared" si="5"/>
        <v>0</v>
      </c>
      <c r="V40" s="1"/>
      <c r="W40" s="1"/>
      <c r="X40" s="1"/>
      <c r="Y40" s="39">
        <f t="shared" si="6"/>
        <v>0</v>
      </c>
      <c r="Z40" s="1"/>
      <c r="AA40" s="1"/>
      <c r="AB40" s="1"/>
      <c r="AC40" s="39">
        <f t="shared" si="7"/>
        <v>0</v>
      </c>
      <c r="AD40" s="7"/>
      <c r="AE40" s="7"/>
      <c r="AF40" s="7"/>
      <c r="AG40" s="39">
        <f t="shared" si="8"/>
        <v>0</v>
      </c>
      <c r="AH40" s="7"/>
      <c r="AI40" s="7"/>
      <c r="AJ40" s="7"/>
      <c r="AK40" s="39">
        <f t="shared" si="9"/>
        <v>0</v>
      </c>
      <c r="AL40" s="4"/>
      <c r="AM40" s="7"/>
      <c r="AN40" s="7"/>
      <c r="AO40" s="39">
        <f t="shared" si="10"/>
        <v>0</v>
      </c>
      <c r="AP40" s="7"/>
      <c r="AQ40" s="7"/>
      <c r="AR40" s="7"/>
      <c r="AS40" s="39">
        <f t="shared" si="11"/>
        <v>0</v>
      </c>
      <c r="AT40" s="7"/>
      <c r="AU40" s="7"/>
      <c r="AV40" s="7"/>
      <c r="AW40" s="39">
        <f t="shared" si="12"/>
        <v>0</v>
      </c>
      <c r="AX40" s="7"/>
      <c r="AY40" s="7"/>
      <c r="AZ40" s="7"/>
      <c r="BA40" s="39">
        <f t="shared" si="13"/>
        <v>0</v>
      </c>
      <c r="BB40" s="7"/>
      <c r="BC40" s="7"/>
      <c r="BD40" s="7"/>
      <c r="BE40" s="39">
        <f t="shared" si="14"/>
        <v>0</v>
      </c>
      <c r="BF40" s="7"/>
      <c r="BG40" s="7"/>
      <c r="BH40" s="7"/>
      <c r="BI40" s="39">
        <f t="shared" si="15"/>
        <v>0</v>
      </c>
      <c r="BJ40" s="7"/>
      <c r="BK40" s="7"/>
      <c r="BL40" s="7"/>
      <c r="BM40" s="39">
        <f t="shared" si="16"/>
        <v>0</v>
      </c>
      <c r="BN40" s="7"/>
      <c r="BO40" s="7"/>
      <c r="BP40" s="7"/>
      <c r="BQ40" s="39">
        <f t="shared" si="17"/>
        <v>0</v>
      </c>
      <c r="BR40" s="7"/>
      <c r="BS40" s="7"/>
      <c r="BT40" s="7"/>
      <c r="BU40" s="39">
        <f t="shared" si="18"/>
        <v>0</v>
      </c>
      <c r="BV40" s="7"/>
      <c r="BW40" s="7"/>
      <c r="BX40" s="7"/>
      <c r="BY40" s="39">
        <f t="shared" si="19"/>
        <v>0</v>
      </c>
      <c r="BZ40" s="7"/>
      <c r="CA40" s="7"/>
      <c r="CB40" s="7"/>
      <c r="CC40" s="39">
        <f t="shared" si="20"/>
        <v>0</v>
      </c>
      <c r="CD40" s="7"/>
      <c r="CE40" s="7"/>
      <c r="CF40" s="7"/>
      <c r="CG40" s="39">
        <f t="shared" si="21"/>
        <v>0</v>
      </c>
      <c r="CH40" s="7"/>
      <c r="CI40" s="7"/>
      <c r="CJ40" s="7"/>
      <c r="CK40" s="39">
        <f t="shared" si="22"/>
        <v>0</v>
      </c>
      <c r="CL40" s="7"/>
      <c r="CM40" s="7"/>
      <c r="CN40" s="7"/>
      <c r="CO40" s="39">
        <f t="shared" si="23"/>
        <v>0</v>
      </c>
      <c r="CP40" s="7"/>
      <c r="CQ40" s="7"/>
      <c r="CR40" s="7"/>
      <c r="CS40" s="39">
        <f t="shared" si="24"/>
        <v>0</v>
      </c>
      <c r="CT40" s="7"/>
      <c r="CU40" s="7"/>
      <c r="CV40" s="7"/>
      <c r="CW40" s="39">
        <f t="shared" si="25"/>
        <v>0</v>
      </c>
      <c r="CX40" s="7"/>
      <c r="CY40" s="7"/>
      <c r="CZ40" s="7"/>
      <c r="DA40" s="39">
        <f t="shared" si="26"/>
        <v>0</v>
      </c>
      <c r="DB40" s="7"/>
      <c r="DC40" s="7"/>
      <c r="DD40" s="7"/>
      <c r="DE40" s="39">
        <f t="shared" si="27"/>
        <v>0</v>
      </c>
      <c r="DF40" s="7"/>
      <c r="DG40" s="7"/>
      <c r="DH40" s="7"/>
      <c r="DI40" s="39">
        <f t="shared" si="28"/>
        <v>0</v>
      </c>
      <c r="DJ40" s="7"/>
      <c r="DK40" s="7"/>
      <c r="DL40" s="7"/>
      <c r="DM40" s="39">
        <f t="shared" si="29"/>
        <v>0</v>
      </c>
      <c r="DN40" s="7"/>
      <c r="DO40" s="7"/>
      <c r="DP40" s="7"/>
      <c r="DQ40" s="39">
        <f t="shared" si="30"/>
        <v>0</v>
      </c>
      <c r="DR40" s="7"/>
      <c r="DS40" s="7"/>
      <c r="DT40" s="7"/>
      <c r="DU40" s="39">
        <f t="shared" si="31"/>
        <v>0</v>
      </c>
      <c r="DV40" s="7"/>
      <c r="DW40" s="7"/>
      <c r="DX40" s="7"/>
      <c r="DY40" s="39">
        <f t="shared" si="32"/>
        <v>0</v>
      </c>
      <c r="DZ40" s="7"/>
      <c r="EA40" s="7"/>
      <c r="EB40" s="7"/>
      <c r="EC40" s="39">
        <f t="shared" si="33"/>
        <v>0</v>
      </c>
      <c r="ED40" s="7"/>
      <c r="EE40" s="7"/>
      <c r="EF40" s="7"/>
      <c r="EG40" s="39">
        <f t="shared" si="34"/>
        <v>0</v>
      </c>
      <c r="EH40" s="7"/>
      <c r="EI40" s="7"/>
      <c r="EJ40" s="7"/>
      <c r="EK40" s="39">
        <f t="shared" si="35"/>
        <v>0</v>
      </c>
      <c r="EL40" s="7"/>
      <c r="EM40" s="7"/>
      <c r="EN40" s="7"/>
      <c r="EO40" s="39">
        <f t="shared" si="36"/>
        <v>0</v>
      </c>
      <c r="EP40" s="7"/>
      <c r="EQ40" s="7"/>
      <c r="ER40" s="7"/>
      <c r="ES40" s="39">
        <f t="shared" si="37"/>
        <v>0</v>
      </c>
      <c r="ET40" s="7"/>
      <c r="EU40" s="7"/>
      <c r="EV40" s="7"/>
      <c r="EW40" s="39">
        <f t="shared" si="38"/>
        <v>0</v>
      </c>
      <c r="EX40" s="7"/>
      <c r="EY40" s="7"/>
      <c r="EZ40" s="7"/>
      <c r="FA40" s="39">
        <f t="shared" si="39"/>
        <v>0</v>
      </c>
      <c r="FB40" s="7"/>
      <c r="FC40" s="7"/>
      <c r="FD40" s="7"/>
      <c r="FE40" s="39">
        <f t="shared" si="40"/>
        <v>0</v>
      </c>
      <c r="FF40" s="7"/>
      <c r="FG40" s="7"/>
      <c r="FH40" s="7"/>
      <c r="FI40" s="39">
        <f t="shared" si="41"/>
        <v>0</v>
      </c>
      <c r="FJ40" s="7"/>
      <c r="FK40" s="7"/>
      <c r="FL40" s="7"/>
      <c r="FM40" s="39">
        <f t="shared" si="42"/>
        <v>0</v>
      </c>
      <c r="FN40" s="7"/>
      <c r="FO40" s="7"/>
      <c r="FP40" s="7"/>
      <c r="FQ40" s="39">
        <f t="shared" si="43"/>
        <v>0</v>
      </c>
      <c r="FR40" s="7"/>
      <c r="FS40" s="7"/>
      <c r="FT40" s="7"/>
      <c r="FU40" s="39">
        <f t="shared" si="44"/>
        <v>0</v>
      </c>
      <c r="FV40" s="7"/>
      <c r="FW40" s="7"/>
      <c r="FX40" s="7"/>
      <c r="FY40" s="39">
        <f t="shared" si="45"/>
        <v>0</v>
      </c>
      <c r="FZ40" s="7"/>
      <c r="GA40" s="7"/>
      <c r="GB40" s="7"/>
      <c r="GC40" s="39">
        <f t="shared" si="46"/>
        <v>0</v>
      </c>
      <c r="GD40" s="7"/>
      <c r="GE40" s="7"/>
      <c r="GF40" s="7"/>
      <c r="GG40" s="39">
        <f t="shared" si="47"/>
        <v>0</v>
      </c>
      <c r="GH40" s="7"/>
      <c r="GI40" s="7"/>
      <c r="GJ40" s="7"/>
      <c r="GK40" s="39">
        <f t="shared" si="48"/>
        <v>0</v>
      </c>
      <c r="GL40" s="7"/>
      <c r="GM40" s="7"/>
      <c r="GN40" s="7"/>
      <c r="GO40" s="39">
        <f t="shared" si="49"/>
        <v>0</v>
      </c>
      <c r="GP40" s="7"/>
      <c r="GQ40" s="7"/>
      <c r="GR40" s="7"/>
      <c r="GS40" s="39">
        <f t="shared" si="50"/>
        <v>0</v>
      </c>
      <c r="GT40" s="7"/>
      <c r="GU40" s="7"/>
      <c r="GV40" s="7"/>
      <c r="GW40" s="39">
        <f t="shared" si="51"/>
        <v>0</v>
      </c>
      <c r="GX40" s="7"/>
      <c r="GY40" s="7"/>
      <c r="GZ40" s="7"/>
      <c r="HA40" s="39">
        <f t="shared" si="52"/>
        <v>0</v>
      </c>
    </row>
    <row r="41">
      <c r="A41" s="172" t="s">
        <v>130</v>
      </c>
      <c r="B41" s="173"/>
      <c r="C41" s="43">
        <f t="shared" si="1"/>
        <v>39</v>
      </c>
      <c r="D41" s="174">
        <v>0.01</v>
      </c>
      <c r="E41" s="179">
        <v>0.0</v>
      </c>
      <c r="F41" s="4"/>
      <c r="G41" s="7"/>
      <c r="H41" s="43"/>
      <c r="I41" s="39">
        <f t="shared" si="2"/>
        <v>0</v>
      </c>
      <c r="J41" s="180"/>
      <c r="K41" s="43"/>
      <c r="L41" s="43"/>
      <c r="M41" s="72">
        <f t="shared" si="3"/>
        <v>0</v>
      </c>
      <c r="N41" s="43"/>
      <c r="O41" s="120"/>
      <c r="P41" s="120"/>
      <c r="Q41" s="72">
        <f t="shared" si="4"/>
        <v>0</v>
      </c>
      <c r="R41" s="43"/>
      <c r="S41" s="43"/>
      <c r="T41" s="43"/>
      <c r="U41" s="72">
        <f t="shared" si="5"/>
        <v>0</v>
      </c>
      <c r="V41" s="43"/>
      <c r="W41" s="43"/>
      <c r="X41" s="120"/>
      <c r="Y41" s="72">
        <f t="shared" si="6"/>
        <v>0</v>
      </c>
      <c r="Z41" s="43"/>
      <c r="AA41" s="43"/>
      <c r="AB41" s="43"/>
      <c r="AC41" s="72">
        <f t="shared" si="7"/>
        <v>0</v>
      </c>
      <c r="AD41" s="7"/>
      <c r="AE41" s="7"/>
      <c r="AF41" s="7"/>
      <c r="AG41" s="72">
        <f t="shared" si="8"/>
        <v>0</v>
      </c>
      <c r="AH41" s="7"/>
      <c r="AI41" s="7"/>
      <c r="AJ41" s="7"/>
      <c r="AK41" s="72">
        <f t="shared" si="9"/>
        <v>0</v>
      </c>
      <c r="AL41" s="119"/>
      <c r="AM41" s="120"/>
      <c r="AN41" s="120"/>
      <c r="AO41" s="72">
        <f t="shared" si="10"/>
        <v>0</v>
      </c>
      <c r="AP41" s="120"/>
      <c r="AQ41" s="120"/>
      <c r="AR41" s="120"/>
      <c r="AS41" s="72">
        <f t="shared" si="11"/>
        <v>0</v>
      </c>
      <c r="AT41" s="120"/>
      <c r="AU41" s="120"/>
      <c r="AV41" s="120"/>
      <c r="AW41" s="39">
        <f t="shared" si="12"/>
        <v>0</v>
      </c>
      <c r="AX41" s="120"/>
      <c r="AY41" s="120"/>
      <c r="AZ41" s="120"/>
      <c r="BA41" s="39">
        <f t="shared" si="13"/>
        <v>0</v>
      </c>
      <c r="BB41" s="120"/>
      <c r="BC41" s="120"/>
      <c r="BD41" s="120"/>
      <c r="BE41" s="39">
        <f t="shared" si="14"/>
        <v>0</v>
      </c>
      <c r="BF41" s="120"/>
      <c r="BG41" s="120"/>
      <c r="BH41" s="120"/>
      <c r="BI41" s="39">
        <f t="shared" si="15"/>
        <v>0</v>
      </c>
      <c r="BJ41" s="120"/>
      <c r="BK41" s="120"/>
      <c r="BL41" s="120"/>
      <c r="BM41" s="39">
        <f t="shared" si="16"/>
        <v>0</v>
      </c>
      <c r="BN41" s="120"/>
      <c r="BO41" s="120"/>
      <c r="BP41" s="120"/>
      <c r="BQ41" s="39">
        <f t="shared" si="17"/>
        <v>0</v>
      </c>
      <c r="BR41" s="120"/>
      <c r="BS41" s="120"/>
      <c r="BT41" s="120"/>
      <c r="BU41" s="39">
        <f t="shared" si="18"/>
        <v>0</v>
      </c>
      <c r="BV41" s="120"/>
      <c r="BW41" s="120"/>
      <c r="BX41" s="120"/>
      <c r="BY41" s="39">
        <f t="shared" si="19"/>
        <v>0</v>
      </c>
      <c r="BZ41" s="120"/>
      <c r="CA41" s="120"/>
      <c r="CB41" s="120"/>
      <c r="CC41" s="39">
        <f t="shared" si="20"/>
        <v>0</v>
      </c>
      <c r="CD41" s="120"/>
      <c r="CE41" s="120"/>
      <c r="CF41" s="120"/>
      <c r="CG41" s="39">
        <f t="shared" si="21"/>
        <v>0</v>
      </c>
      <c r="CH41" s="120"/>
      <c r="CI41" s="120"/>
      <c r="CJ41" s="120"/>
      <c r="CK41" s="39">
        <f t="shared" si="22"/>
        <v>0</v>
      </c>
      <c r="CL41" s="120"/>
      <c r="CM41" s="120"/>
      <c r="CN41" s="120"/>
      <c r="CO41" s="39">
        <f t="shared" si="23"/>
        <v>0</v>
      </c>
      <c r="CP41" s="120"/>
      <c r="CQ41" s="120"/>
      <c r="CR41" s="120"/>
      <c r="CS41" s="39">
        <f t="shared" si="24"/>
        <v>0</v>
      </c>
      <c r="CT41" s="120"/>
      <c r="CU41" s="120"/>
      <c r="CV41" s="120"/>
      <c r="CW41" s="39">
        <f t="shared" si="25"/>
        <v>0</v>
      </c>
      <c r="CX41" s="120"/>
      <c r="CY41" s="120"/>
      <c r="CZ41" s="120"/>
      <c r="DA41" s="72">
        <f t="shared" si="26"/>
        <v>0</v>
      </c>
      <c r="DB41" s="120"/>
      <c r="DC41" s="120"/>
      <c r="DD41" s="120"/>
      <c r="DE41" s="72">
        <f t="shared" si="27"/>
        <v>0</v>
      </c>
      <c r="DF41" s="120"/>
      <c r="DG41" s="120"/>
      <c r="DH41" s="120"/>
      <c r="DI41" s="72">
        <f t="shared" si="28"/>
        <v>0</v>
      </c>
      <c r="DJ41" s="120"/>
      <c r="DK41" s="120"/>
      <c r="DL41" s="120"/>
      <c r="DM41" s="72">
        <f t="shared" si="29"/>
        <v>0</v>
      </c>
      <c r="DN41" s="120"/>
      <c r="DO41" s="120"/>
      <c r="DP41" s="120"/>
      <c r="DQ41" s="72">
        <f t="shared" si="30"/>
        <v>0</v>
      </c>
      <c r="DR41" s="120"/>
      <c r="DS41" s="120"/>
      <c r="DT41" s="120"/>
      <c r="DU41" s="72">
        <f t="shared" si="31"/>
        <v>0</v>
      </c>
      <c r="DV41" s="120"/>
      <c r="DW41" s="120"/>
      <c r="DX41" s="120"/>
      <c r="DY41" s="72">
        <f t="shared" si="32"/>
        <v>0</v>
      </c>
      <c r="DZ41" s="120"/>
      <c r="EA41" s="120"/>
      <c r="EB41" s="120"/>
      <c r="EC41" s="72">
        <f t="shared" si="33"/>
        <v>0</v>
      </c>
      <c r="ED41" s="120"/>
      <c r="EE41" s="120"/>
      <c r="EF41" s="120"/>
      <c r="EG41" s="72">
        <f t="shared" si="34"/>
        <v>0</v>
      </c>
      <c r="EH41" s="120"/>
      <c r="EI41" s="120"/>
      <c r="EJ41" s="120"/>
      <c r="EK41" s="72">
        <f t="shared" si="35"/>
        <v>0</v>
      </c>
      <c r="EL41" s="120"/>
      <c r="EM41" s="120"/>
      <c r="EN41" s="120"/>
      <c r="EO41" s="72">
        <f t="shared" si="36"/>
        <v>0</v>
      </c>
      <c r="EP41" s="120"/>
      <c r="EQ41" s="120"/>
      <c r="ER41" s="120"/>
      <c r="ES41" s="72">
        <f t="shared" si="37"/>
        <v>0</v>
      </c>
      <c r="ET41" s="120"/>
      <c r="EU41" s="120"/>
      <c r="EV41" s="120"/>
      <c r="EW41" s="72">
        <f t="shared" si="38"/>
        <v>0</v>
      </c>
      <c r="EX41" s="120"/>
      <c r="EY41" s="120"/>
      <c r="EZ41" s="120"/>
      <c r="FA41" s="72">
        <f t="shared" si="39"/>
        <v>0</v>
      </c>
      <c r="FB41" s="120"/>
      <c r="FC41" s="120"/>
      <c r="FD41" s="120"/>
      <c r="FE41" s="72">
        <f t="shared" si="40"/>
        <v>0</v>
      </c>
      <c r="FF41" s="120"/>
      <c r="FG41" s="120"/>
      <c r="FH41" s="120"/>
      <c r="FI41" s="72">
        <f t="shared" si="41"/>
        <v>0</v>
      </c>
      <c r="FJ41" s="120"/>
      <c r="FK41" s="120"/>
      <c r="FL41" s="120"/>
      <c r="FM41" s="72">
        <f t="shared" si="42"/>
        <v>0</v>
      </c>
      <c r="FN41" s="120"/>
      <c r="FO41" s="120"/>
      <c r="FP41" s="120"/>
      <c r="FQ41" s="72">
        <f t="shared" si="43"/>
        <v>0</v>
      </c>
      <c r="FR41" s="120"/>
      <c r="FS41" s="120"/>
      <c r="FT41" s="120"/>
      <c r="FU41" s="72">
        <f t="shared" si="44"/>
        <v>0</v>
      </c>
      <c r="FV41" s="120"/>
      <c r="FW41" s="120"/>
      <c r="FX41" s="120"/>
      <c r="FY41" s="72">
        <f t="shared" si="45"/>
        <v>0</v>
      </c>
      <c r="FZ41" s="120"/>
      <c r="GA41" s="120"/>
      <c r="GB41" s="120"/>
      <c r="GC41" s="72">
        <f t="shared" si="46"/>
        <v>0</v>
      </c>
      <c r="GD41" s="120"/>
      <c r="GE41" s="120"/>
      <c r="GF41" s="120"/>
      <c r="GG41" s="72">
        <f t="shared" si="47"/>
        <v>0</v>
      </c>
      <c r="GH41" s="120"/>
      <c r="GI41" s="120"/>
      <c r="GJ41" s="120"/>
      <c r="GK41" s="72">
        <f t="shared" si="48"/>
        <v>0</v>
      </c>
      <c r="GL41" s="120"/>
      <c r="GM41" s="120"/>
      <c r="GN41" s="120"/>
      <c r="GO41" s="72">
        <f t="shared" si="49"/>
        <v>0</v>
      </c>
      <c r="GP41" s="120"/>
      <c r="GQ41" s="120"/>
      <c r="GR41" s="120"/>
      <c r="GS41" s="72">
        <f t="shared" si="50"/>
        <v>0</v>
      </c>
      <c r="GT41" s="120"/>
      <c r="GU41" s="120"/>
      <c r="GV41" s="120"/>
      <c r="GW41" s="72">
        <f t="shared" si="51"/>
        <v>0</v>
      </c>
      <c r="GX41" s="120"/>
      <c r="GY41" s="120"/>
      <c r="GZ41" s="120"/>
      <c r="HA41" s="72">
        <f t="shared" si="52"/>
        <v>0</v>
      </c>
    </row>
  </sheetData>
  <autoFilter ref="$A$2:$HA$41">
    <sortState ref="A2:HA41">
      <sortCondition descending="1" ref="E2:E41"/>
    </sortState>
  </autoFilter>
  <mergeCells count="51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CL1:CO1"/>
    <mergeCell ref="CP1:CS1"/>
    <mergeCell ref="CT1:CW1"/>
    <mergeCell ref="CX1:DA1"/>
    <mergeCell ref="DB1:DE1"/>
    <mergeCell ref="DF1:DI1"/>
    <mergeCell ref="DJ1:DM1"/>
    <mergeCell ref="DN1:DQ1"/>
    <mergeCell ref="DR1:DU1"/>
    <mergeCell ref="DV1:DY1"/>
    <mergeCell ref="DZ1:EC1"/>
    <mergeCell ref="ED1:EG1"/>
    <mergeCell ref="EH1:EK1"/>
    <mergeCell ref="EL1:EO1"/>
    <mergeCell ref="EP1:ES1"/>
    <mergeCell ref="ET1:EW1"/>
    <mergeCell ref="EX1:FA1"/>
    <mergeCell ref="FB1:FE1"/>
    <mergeCell ref="FF1:FI1"/>
    <mergeCell ref="FJ1:FM1"/>
    <mergeCell ref="FN1:FQ1"/>
    <mergeCell ref="GT1:GW1"/>
    <mergeCell ref="GX1:HA1"/>
    <mergeCell ref="FR1:FU1"/>
    <mergeCell ref="FV1:FY1"/>
    <mergeCell ref="FZ1:GC1"/>
    <mergeCell ref="GD1:GG1"/>
    <mergeCell ref="GH1:GK1"/>
    <mergeCell ref="GL1:GO1"/>
    <mergeCell ref="GP1:GS1"/>
  </mergeCells>
  <conditionalFormatting sqref="C3:C4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7" max="9" width="15.0"/>
  </cols>
  <sheetData>
    <row r="1">
      <c r="G1" s="1"/>
      <c r="H1" s="1"/>
      <c r="I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>
      <c r="A3" s="4" t="s">
        <v>12</v>
      </c>
      <c r="B3" s="7" t="s">
        <v>13</v>
      </c>
      <c r="C3" s="1">
        <f t="shared" ref="C3:C41" si="1">countA($A$3:A3)</f>
        <v>1</v>
      </c>
      <c r="D3" s="15">
        <f>VLOOKUP(A3,TDP!A:C,3,FALSE)</f>
        <v>0.56</v>
      </c>
      <c r="E3" s="17">
        <f>VLOOKUP(A3,'2023 Puntos'!A:E,5,FALSE)</f>
        <v>243.25</v>
      </c>
      <c r="F3" s="18">
        <v>2.0</v>
      </c>
      <c r="G3" s="7" t="s">
        <v>15</v>
      </c>
      <c r="H3" s="7" t="s">
        <v>16</v>
      </c>
      <c r="I3" s="1" t="str">
        <f t="shared" ref="I3:I41" si="2">VLOOKUP(INT(E3*7/(MAX($E$3:$E$41))),$A$49:$B$59,2,FALSE)</f>
        <v>Varon</v>
      </c>
      <c r="J3" s="18">
        <v>7.0</v>
      </c>
      <c r="K3" s="18">
        <v>4.0</v>
      </c>
    </row>
    <row r="4">
      <c r="A4" s="20" t="s">
        <v>17</v>
      </c>
      <c r="B4" s="21" t="s">
        <v>18</v>
      </c>
      <c r="C4" s="1">
        <f t="shared" si="1"/>
        <v>2</v>
      </c>
      <c r="D4" s="15">
        <f>VLOOKUP(A4,TDP!A:C,3,FALSE)</f>
        <v>0.54</v>
      </c>
      <c r="E4" s="17">
        <f>VLOOKUP(A4,'2023 Puntos'!A:E,5,FALSE)</f>
        <v>299.46</v>
      </c>
      <c r="F4" s="18">
        <v>1.0</v>
      </c>
      <c r="G4" s="7" t="s">
        <v>19</v>
      </c>
      <c r="H4" s="7" t="s">
        <v>20</v>
      </c>
      <c r="I4" s="1" t="str">
        <f t="shared" si="2"/>
        <v>Macho alpha</v>
      </c>
      <c r="J4" s="18">
        <v>3.0</v>
      </c>
      <c r="K4" s="18">
        <v>7.0</v>
      </c>
    </row>
    <row r="5">
      <c r="A5" s="20" t="s">
        <v>22</v>
      </c>
      <c r="B5" s="21" t="s">
        <v>23</v>
      </c>
      <c r="C5" s="1">
        <f t="shared" si="1"/>
        <v>3</v>
      </c>
      <c r="D5" s="15">
        <f>VLOOKUP(A5,TDP!A:C,3,FALSE)</f>
        <v>0.51</v>
      </c>
      <c r="E5" s="17">
        <f>VLOOKUP(A5,'2023 Puntos'!A:E,5,FALSE)</f>
        <v>235.98</v>
      </c>
      <c r="F5" s="18">
        <v>3.0</v>
      </c>
      <c r="G5" s="7" t="s">
        <v>24</v>
      </c>
      <c r="H5" s="7" t="s">
        <v>25</v>
      </c>
      <c r="I5" s="1" t="str">
        <f t="shared" si="2"/>
        <v>Varon</v>
      </c>
      <c r="J5" s="18">
        <v>2.0</v>
      </c>
      <c r="K5" s="18">
        <v>3.0</v>
      </c>
    </row>
    <row r="6">
      <c r="A6" s="20" t="s">
        <v>27</v>
      </c>
      <c r="B6" s="21" t="s">
        <v>28</v>
      </c>
      <c r="C6" s="1">
        <f t="shared" si="1"/>
        <v>4</v>
      </c>
      <c r="D6" s="15">
        <f>VLOOKUP(A6,TDP!A:C,3,FALSE)</f>
        <v>0.46</v>
      </c>
      <c r="E6" s="17">
        <f>VLOOKUP(A6,'2023 Puntos'!A:E,5,FALSE)</f>
        <v>204.82</v>
      </c>
      <c r="F6" s="18">
        <v>4.0</v>
      </c>
      <c r="G6" s="7" t="s">
        <v>29</v>
      </c>
      <c r="H6" s="7" t="s">
        <v>30</v>
      </c>
      <c r="I6" s="1" t="str">
        <f t="shared" si="2"/>
        <v>Varon</v>
      </c>
      <c r="J6" s="18">
        <v>4.0</v>
      </c>
      <c r="K6" s="18">
        <v>6.0</v>
      </c>
    </row>
    <row r="7">
      <c r="A7" s="20" t="s">
        <v>32</v>
      </c>
      <c r="B7" s="21" t="s">
        <v>33</v>
      </c>
      <c r="C7" s="1">
        <f t="shared" si="1"/>
        <v>5</v>
      </c>
      <c r="D7" s="15">
        <f>VLOOKUP(A7,TDP!A:C,3,FALSE)</f>
        <v>0.39</v>
      </c>
      <c r="E7" s="17">
        <f>VLOOKUP(A7,'2023 Puntos'!A:E,5,FALSE)</f>
        <v>209.55</v>
      </c>
      <c r="F7" s="18">
        <v>5.0</v>
      </c>
      <c r="G7" s="7" t="s">
        <v>32</v>
      </c>
      <c r="H7" s="7" t="s">
        <v>34</v>
      </c>
      <c r="I7" s="1" t="str">
        <f t="shared" si="2"/>
        <v>Varon</v>
      </c>
      <c r="J7" s="18">
        <v>1.0</v>
      </c>
      <c r="K7" s="18">
        <v>2.0</v>
      </c>
    </row>
    <row r="8">
      <c r="A8" s="20" t="s">
        <v>36</v>
      </c>
      <c r="B8" s="21" t="s">
        <v>37</v>
      </c>
      <c r="C8" s="1">
        <f t="shared" si="1"/>
        <v>6</v>
      </c>
      <c r="D8" s="15">
        <f>VLOOKUP(A8,TDP!A:C,3,FALSE)</f>
        <v>0.37</v>
      </c>
      <c r="E8" s="17">
        <f>VLOOKUP(A8,'2023 Puntos'!A:E,5,FALSE)</f>
        <v>29.21</v>
      </c>
      <c r="F8" s="18">
        <v>6.0</v>
      </c>
      <c r="G8" s="7" t="s">
        <v>36</v>
      </c>
      <c r="H8" s="7" t="s">
        <v>39</v>
      </c>
      <c r="I8" s="1" t="str">
        <f t="shared" si="2"/>
        <v>Cero a la izquierda</v>
      </c>
      <c r="J8" s="18">
        <v>6.0</v>
      </c>
      <c r="K8" s="18">
        <v>7.0</v>
      </c>
    </row>
    <row r="9">
      <c r="A9" s="4" t="s">
        <v>31</v>
      </c>
      <c r="B9" s="7" t="s">
        <v>40</v>
      </c>
      <c r="C9" s="1">
        <f t="shared" si="1"/>
        <v>7</v>
      </c>
      <c r="D9" s="15">
        <f>VLOOKUP(A9,TDP!A:C,3,FALSE)</f>
        <v>0.39</v>
      </c>
      <c r="E9" s="17">
        <f>VLOOKUP(A9,'2023 Puntos'!A:E,5,FALSE)</f>
        <v>161.28</v>
      </c>
      <c r="F9" s="18">
        <v>7.0</v>
      </c>
      <c r="G9" s="7" t="s">
        <v>31</v>
      </c>
      <c r="H9" s="7" t="s">
        <v>41</v>
      </c>
      <c r="I9" s="1" t="str">
        <f t="shared" si="2"/>
        <v>Mediocre</v>
      </c>
      <c r="J9" s="18">
        <v>7.0</v>
      </c>
      <c r="K9" s="18">
        <v>8.0</v>
      </c>
    </row>
    <row r="10">
      <c r="A10" s="20" t="s">
        <v>35</v>
      </c>
      <c r="B10" s="23" t="s">
        <v>43</v>
      </c>
      <c r="C10" s="1">
        <f t="shared" si="1"/>
        <v>8</v>
      </c>
      <c r="D10" s="15">
        <f>VLOOKUP(A10,TDP!A:C,3,FALSE)</f>
        <v>0.41</v>
      </c>
      <c r="E10" s="17">
        <f>VLOOKUP(A10,'2023 Puntos'!A:E,5,FALSE)</f>
        <v>256.25</v>
      </c>
      <c r="F10" s="18">
        <v>8.0</v>
      </c>
      <c r="G10" s="7" t="s">
        <v>45</v>
      </c>
      <c r="H10" s="7" t="s">
        <v>46</v>
      </c>
      <c r="I10" s="1" t="str">
        <f t="shared" si="2"/>
        <v>Varon</v>
      </c>
      <c r="J10" s="18">
        <v>5.0</v>
      </c>
      <c r="K10" s="18">
        <v>7.0</v>
      </c>
    </row>
    <row r="11">
      <c r="A11" s="20" t="s">
        <v>47</v>
      </c>
      <c r="B11" s="23" t="s">
        <v>48</v>
      </c>
      <c r="C11" s="1">
        <f t="shared" si="1"/>
        <v>9</v>
      </c>
      <c r="D11" s="15">
        <f>VLOOKUP(A11,TDP!A:C,3,FALSE)</f>
        <v>0.37</v>
      </c>
      <c r="E11" s="17">
        <f>VLOOKUP(A11,'2023 Puntos'!A:E,5,FALSE)</f>
        <v>201.25</v>
      </c>
      <c r="F11" s="18">
        <v>9.0</v>
      </c>
      <c r="G11" s="7" t="s">
        <v>47</v>
      </c>
      <c r="H11" s="7" t="s">
        <v>34</v>
      </c>
      <c r="I11" s="1" t="str">
        <f t="shared" si="2"/>
        <v>Varon</v>
      </c>
      <c r="J11" s="18">
        <v>10.0</v>
      </c>
      <c r="K11" s="18">
        <v>2.0</v>
      </c>
    </row>
    <row r="12">
      <c r="A12" s="20" t="s">
        <v>49</v>
      </c>
      <c r="B12" s="21" t="s">
        <v>50</v>
      </c>
      <c r="C12" s="1">
        <f t="shared" si="1"/>
        <v>10</v>
      </c>
      <c r="D12" s="15">
        <f>VLOOKUP(A12,TDP!A:C,3,FALSE)</f>
        <v>0.38</v>
      </c>
      <c r="E12" s="17">
        <f>VLOOKUP(A12,'2023 Puntos'!A:E,5,FALSE)</f>
        <v>138.88</v>
      </c>
      <c r="F12" s="18">
        <v>10.0</v>
      </c>
      <c r="G12" s="7" t="s">
        <v>49</v>
      </c>
      <c r="H12" s="7" t="s">
        <v>51</v>
      </c>
      <c r="I12" s="1" t="str">
        <f t="shared" si="2"/>
        <v>Mediocre</v>
      </c>
      <c r="J12" s="18">
        <v>10.0</v>
      </c>
      <c r="K12" s="18">
        <v>10.0</v>
      </c>
    </row>
    <row r="13">
      <c r="A13" s="20" t="s">
        <v>52</v>
      </c>
      <c r="B13" s="21" t="s">
        <v>53</v>
      </c>
      <c r="C13" s="1">
        <f t="shared" si="1"/>
        <v>11</v>
      </c>
      <c r="D13" s="15">
        <f>VLOOKUP(A13,TDP!A:C,3,FALSE)</f>
        <v>0.35</v>
      </c>
      <c r="E13" s="17">
        <f>VLOOKUP(A13,'2023 Puntos'!A:E,5,FALSE)</f>
        <v>8.68</v>
      </c>
      <c r="F13" s="18">
        <v>11.0</v>
      </c>
      <c r="G13" s="7" t="s">
        <v>52</v>
      </c>
      <c r="H13" s="7" t="s">
        <v>54</v>
      </c>
      <c r="I13" s="1" t="str">
        <f t="shared" si="2"/>
        <v>Cero a la izquierda</v>
      </c>
      <c r="J13" s="18">
        <v>7.0</v>
      </c>
      <c r="K13" s="18">
        <v>9.0</v>
      </c>
    </row>
    <row r="14">
      <c r="A14" s="20" t="s">
        <v>56</v>
      </c>
      <c r="B14" s="21" t="s">
        <v>57</v>
      </c>
      <c r="C14" s="1">
        <f t="shared" si="1"/>
        <v>12</v>
      </c>
      <c r="D14" s="15">
        <f>VLOOKUP(A14,TDP!A:C,3,FALSE)</f>
        <v>0.3</v>
      </c>
      <c r="E14" s="17">
        <f>VLOOKUP(A14,'2023 Puntos'!A:E,5,FALSE)</f>
        <v>47.58</v>
      </c>
      <c r="F14" s="18">
        <v>12.0</v>
      </c>
      <c r="G14" s="7" t="s">
        <v>56</v>
      </c>
      <c r="H14" s="7" t="s">
        <v>58</v>
      </c>
      <c r="I14" s="1" t="str">
        <f t="shared" si="2"/>
        <v>Hombre</v>
      </c>
      <c r="J14" s="18">
        <v>5.0</v>
      </c>
      <c r="K14" s="18">
        <v>7.0</v>
      </c>
    </row>
    <row r="15">
      <c r="A15" s="4" t="s">
        <v>59</v>
      </c>
      <c r="B15" s="7" t="s">
        <v>60</v>
      </c>
      <c r="C15" s="30">
        <f t="shared" si="1"/>
        <v>13</v>
      </c>
      <c r="D15" s="15">
        <f>VLOOKUP(A15,TDP!A:C,3,FALSE)</f>
        <v>0.27</v>
      </c>
      <c r="E15" s="17">
        <f>VLOOKUP(A15,'2023 Puntos'!A:E,5,FALSE)</f>
        <v>48</v>
      </c>
      <c r="F15" s="18">
        <v>13.0</v>
      </c>
      <c r="G15" s="7" t="s">
        <v>61</v>
      </c>
      <c r="H15" s="7" t="s">
        <v>62</v>
      </c>
      <c r="I15" s="1" t="str">
        <f t="shared" si="2"/>
        <v>Hombre</v>
      </c>
      <c r="J15" s="18">
        <v>8.0</v>
      </c>
      <c r="K15" s="18">
        <v>9.0</v>
      </c>
    </row>
    <row r="16">
      <c r="A16" s="4" t="s">
        <v>63</v>
      </c>
      <c r="B16" s="7" t="s">
        <v>64</v>
      </c>
      <c r="C16" s="1">
        <f t="shared" si="1"/>
        <v>14</v>
      </c>
      <c r="D16" s="15">
        <f>VLOOKUP(A16,TDP!A:C,3,FALSE)</f>
        <v>0.29</v>
      </c>
      <c r="E16" s="17">
        <f>VLOOKUP(A16,'2023 Puntos'!A:E,5,FALSE)</f>
        <v>188.8</v>
      </c>
      <c r="F16" s="18">
        <v>14.0</v>
      </c>
      <c r="G16" s="7" t="s">
        <v>65</v>
      </c>
      <c r="H16" s="7" t="s">
        <v>66</v>
      </c>
      <c r="I16" s="1" t="str">
        <f t="shared" si="2"/>
        <v>Varon</v>
      </c>
      <c r="J16" s="18">
        <v>6.0</v>
      </c>
      <c r="K16" s="18">
        <v>8.0</v>
      </c>
    </row>
    <row r="17">
      <c r="A17" s="20" t="s">
        <v>55</v>
      </c>
      <c r="B17" s="21" t="s">
        <v>69</v>
      </c>
      <c r="C17" s="1">
        <f t="shared" si="1"/>
        <v>15</v>
      </c>
      <c r="D17" s="15">
        <f>VLOOKUP(A17,TDP!A:C,3,FALSE)</f>
        <v>0.3</v>
      </c>
      <c r="E17" s="17">
        <f>VLOOKUP(A17,'2023 Puntos'!A:E,5,FALSE)</f>
        <v>51.92</v>
      </c>
      <c r="F17" s="18">
        <v>15.0</v>
      </c>
      <c r="G17" s="7" t="s">
        <v>55</v>
      </c>
      <c r="H17" s="7" t="s">
        <v>73</v>
      </c>
      <c r="I17" s="1" t="str">
        <f t="shared" si="2"/>
        <v>Hombre</v>
      </c>
      <c r="J17" s="18">
        <v>5.0</v>
      </c>
      <c r="K17" s="18">
        <v>6.0</v>
      </c>
    </row>
    <row r="18">
      <c r="A18" s="4" t="s">
        <v>21</v>
      </c>
      <c r="B18" s="7" t="s">
        <v>75</v>
      </c>
      <c r="C18" s="1">
        <f t="shared" si="1"/>
        <v>16</v>
      </c>
      <c r="D18" s="15">
        <f>VLOOKUP(A18,TDP!A:C,3,FALSE)</f>
        <v>0.31</v>
      </c>
      <c r="E18" s="17">
        <f>VLOOKUP(A18,'2023 Puntos'!A:E,5,FALSE)</f>
        <v>224.64</v>
      </c>
      <c r="F18" s="18">
        <v>16.0</v>
      </c>
      <c r="G18" s="7" t="s">
        <v>21</v>
      </c>
      <c r="H18" s="7" t="s">
        <v>76</v>
      </c>
      <c r="I18" s="1" t="str">
        <f t="shared" si="2"/>
        <v>Varon</v>
      </c>
      <c r="J18" s="18">
        <v>8.0</v>
      </c>
      <c r="K18" s="18">
        <v>7.0</v>
      </c>
    </row>
    <row r="19">
      <c r="A19" s="20" t="s">
        <v>77</v>
      </c>
      <c r="B19" s="21" t="s">
        <v>78</v>
      </c>
      <c r="C19" s="1">
        <f t="shared" si="1"/>
        <v>17</v>
      </c>
      <c r="D19" s="15">
        <f>VLOOKUP(A19,TDP!A:C,3,FALSE)</f>
        <v>0.25</v>
      </c>
      <c r="E19" s="17">
        <f>VLOOKUP(A19,'2023 Puntos'!A:E,5,FALSE)</f>
        <v>123.05</v>
      </c>
      <c r="F19" s="18">
        <v>17.0</v>
      </c>
      <c r="G19" s="7" t="s">
        <v>77</v>
      </c>
      <c r="H19" s="7" t="s">
        <v>79</v>
      </c>
      <c r="I19" s="1" t="str">
        <f t="shared" si="2"/>
        <v>Mediocre</v>
      </c>
      <c r="J19" s="18">
        <v>5.0</v>
      </c>
      <c r="K19" s="18">
        <v>7.0</v>
      </c>
    </row>
    <row r="20">
      <c r="A20" s="20" t="s">
        <v>80</v>
      </c>
      <c r="B20" s="21" t="s">
        <v>81</v>
      </c>
      <c r="C20" s="1">
        <f t="shared" si="1"/>
        <v>18</v>
      </c>
      <c r="D20" s="15">
        <f>VLOOKUP(A20,TDP!A:C,3,FALSE)</f>
        <v>0.22</v>
      </c>
      <c r="E20" s="17">
        <f>VLOOKUP(A20,'2023 Puntos'!A:E,5,FALSE)</f>
        <v>40.25</v>
      </c>
      <c r="F20" s="18">
        <v>18.0</v>
      </c>
      <c r="G20" s="7" t="s">
        <v>80</v>
      </c>
      <c r="H20" s="7" t="s">
        <v>16</v>
      </c>
      <c r="I20" s="1" t="str">
        <f t="shared" si="2"/>
        <v>Cero a la izquierda</v>
      </c>
      <c r="J20" s="18">
        <v>7.0</v>
      </c>
      <c r="K20" s="18">
        <v>8.0</v>
      </c>
    </row>
    <row r="21">
      <c r="A21" s="20" t="s">
        <v>82</v>
      </c>
      <c r="B21" s="21" t="s">
        <v>83</v>
      </c>
      <c r="C21" s="1">
        <f t="shared" si="1"/>
        <v>19</v>
      </c>
      <c r="D21" s="15">
        <f>VLOOKUP(A21,TDP!A:C,3,FALSE)</f>
        <v>0.25</v>
      </c>
      <c r="E21" s="17">
        <f>VLOOKUP(A21,'2023 Puntos'!A:E,5,FALSE)</f>
        <v>3.45</v>
      </c>
      <c r="F21" s="18">
        <v>19.0</v>
      </c>
      <c r="G21" s="7" t="s">
        <v>82</v>
      </c>
      <c r="H21" s="7" t="s">
        <v>84</v>
      </c>
      <c r="I21" s="1" t="str">
        <f t="shared" si="2"/>
        <v>Cero a la izquierda</v>
      </c>
      <c r="J21" s="18">
        <v>9.0</v>
      </c>
      <c r="K21" s="18">
        <v>9.0</v>
      </c>
    </row>
    <row r="22">
      <c r="A22" s="4" t="s">
        <v>26</v>
      </c>
      <c r="B22" s="7" t="s">
        <v>85</v>
      </c>
      <c r="C22" s="1">
        <f t="shared" si="1"/>
        <v>20</v>
      </c>
      <c r="D22" s="15">
        <f>VLOOKUP(A22,TDP!A:C,3,FALSE)</f>
        <v>0.27</v>
      </c>
      <c r="E22" s="17">
        <f>VLOOKUP(A22,'2023 Puntos'!A:E,5,FALSE)</f>
        <v>224.58</v>
      </c>
      <c r="F22" s="18">
        <v>20.0</v>
      </c>
      <c r="G22" s="7" t="s">
        <v>86</v>
      </c>
      <c r="H22" s="7" t="s">
        <v>87</v>
      </c>
      <c r="I22" s="1" t="str">
        <f t="shared" si="2"/>
        <v>Varon</v>
      </c>
      <c r="J22" s="18">
        <v>10.0</v>
      </c>
      <c r="K22" s="18">
        <v>9.0</v>
      </c>
    </row>
    <row r="23">
      <c r="A23" s="20" t="s">
        <v>88</v>
      </c>
      <c r="B23" s="21"/>
      <c r="C23" s="1">
        <f t="shared" si="1"/>
        <v>21</v>
      </c>
      <c r="D23" s="15">
        <f>VLOOKUP(A23,TDP!A:C,3,FALSE)</f>
        <v>0.05</v>
      </c>
      <c r="E23" s="17">
        <f>VLOOKUP(A23,'2023 Puntos'!A:E,5,FALSE)</f>
        <v>20.52</v>
      </c>
      <c r="F23" s="18">
        <v>21.0</v>
      </c>
      <c r="G23" s="7" t="s">
        <v>21</v>
      </c>
      <c r="H23" s="7" t="s">
        <v>25</v>
      </c>
      <c r="I23" s="1" t="str">
        <f t="shared" si="2"/>
        <v>Cero a la izquierda</v>
      </c>
      <c r="J23" s="18">
        <v>7.0</v>
      </c>
      <c r="K23" s="18">
        <v>5.0</v>
      </c>
    </row>
    <row r="24">
      <c r="A24" s="20" t="s">
        <v>91</v>
      </c>
      <c r="B24" s="21" t="s">
        <v>92</v>
      </c>
      <c r="C24" s="1">
        <f t="shared" si="1"/>
        <v>22</v>
      </c>
      <c r="D24" s="15">
        <f>VLOOKUP(A24,TDP!A:C,3,FALSE)</f>
        <v>0.25</v>
      </c>
      <c r="E24" s="17">
        <f>VLOOKUP(A24,'2023 Puntos'!A:E,5,FALSE)</f>
        <v>20.34</v>
      </c>
      <c r="F24" s="18">
        <v>22.0</v>
      </c>
      <c r="G24" s="7" t="s">
        <v>91</v>
      </c>
      <c r="H24" s="7" t="s">
        <v>92</v>
      </c>
      <c r="I24" s="1" t="str">
        <f t="shared" si="2"/>
        <v>Cero a la izquierda</v>
      </c>
      <c r="J24" s="18">
        <v>3.0</v>
      </c>
      <c r="K24" s="18">
        <v>3.0</v>
      </c>
    </row>
    <row r="25">
      <c r="A25" s="20" t="s">
        <v>94</v>
      </c>
      <c r="B25" s="21" t="s">
        <v>95</v>
      </c>
      <c r="C25" s="1">
        <f t="shared" si="1"/>
        <v>23</v>
      </c>
      <c r="D25" s="15">
        <f>VLOOKUP(A25,TDP!A:C,3,FALSE)</f>
        <v>0.12</v>
      </c>
      <c r="E25" s="17">
        <f>VLOOKUP(A25,'2023 Puntos'!A:E,5,FALSE)</f>
        <v>0</v>
      </c>
      <c r="F25" s="18">
        <v>23.0</v>
      </c>
      <c r="G25" s="7" t="s">
        <v>94</v>
      </c>
      <c r="H25" s="7" t="s">
        <v>96</v>
      </c>
      <c r="I25" s="1" t="str">
        <f t="shared" si="2"/>
        <v>Cero a la izquierda</v>
      </c>
      <c r="J25" s="18">
        <v>8.0</v>
      </c>
      <c r="K25" s="18">
        <v>7.0</v>
      </c>
    </row>
    <row r="26">
      <c r="A26" s="20" t="s">
        <v>97</v>
      </c>
      <c r="B26" s="21" t="s">
        <v>98</v>
      </c>
      <c r="C26" s="1">
        <f t="shared" si="1"/>
        <v>24</v>
      </c>
      <c r="D26" s="15">
        <f>VLOOKUP(A26,TDP!A:C,3,FALSE)</f>
        <v>0.13</v>
      </c>
      <c r="E26" s="17">
        <f>VLOOKUP(A26,'2023 Puntos'!A:E,5,FALSE)</f>
        <v>7.84</v>
      </c>
      <c r="F26" s="18">
        <v>24.0</v>
      </c>
      <c r="G26" s="7" t="s">
        <v>97</v>
      </c>
      <c r="H26" s="7" t="s">
        <v>20</v>
      </c>
      <c r="I26" s="1" t="str">
        <f t="shared" si="2"/>
        <v>Cero a la izquierda</v>
      </c>
      <c r="J26" s="18">
        <v>7.0</v>
      </c>
      <c r="K26" s="18">
        <v>7.0</v>
      </c>
    </row>
    <row r="27">
      <c r="A27" s="20" t="s">
        <v>99</v>
      </c>
      <c r="B27" s="21"/>
      <c r="C27" s="1">
        <f t="shared" si="1"/>
        <v>25</v>
      </c>
      <c r="D27" s="15">
        <f>VLOOKUP(A27,TDP!A:C,3,FALSE)</f>
        <v>0.1</v>
      </c>
      <c r="E27" s="17">
        <f>VLOOKUP(A27,'2023 Puntos'!A:E,5,FALSE)</f>
        <v>0</v>
      </c>
      <c r="F27" s="18">
        <v>25.0</v>
      </c>
      <c r="G27" s="7" t="s">
        <v>99</v>
      </c>
      <c r="H27" s="7" t="s">
        <v>100</v>
      </c>
      <c r="I27" s="1" t="str">
        <f t="shared" si="2"/>
        <v>Cero a la izquierda</v>
      </c>
      <c r="J27" s="18">
        <v>5.0</v>
      </c>
      <c r="K27" s="18">
        <v>8.0</v>
      </c>
    </row>
    <row r="28">
      <c r="A28" s="4" t="s">
        <v>101</v>
      </c>
      <c r="B28" s="7"/>
      <c r="C28" s="1">
        <f t="shared" si="1"/>
        <v>26</v>
      </c>
      <c r="D28" s="15">
        <f>VLOOKUP(A28,TDP!A:C,3,FALSE)</f>
        <v>0.19</v>
      </c>
      <c r="E28" s="17">
        <f>VLOOKUP(A28,'2023 Puntos'!A:E,5,FALSE)</f>
        <v>203.04</v>
      </c>
      <c r="F28" s="18">
        <v>26.0</v>
      </c>
      <c r="G28" s="7" t="s">
        <v>101</v>
      </c>
      <c r="H28" s="7" t="s">
        <v>102</v>
      </c>
      <c r="I28" s="1" t="str">
        <f t="shared" si="2"/>
        <v>Varon</v>
      </c>
      <c r="J28" s="18">
        <v>9.0</v>
      </c>
      <c r="K28" s="18">
        <v>10.0</v>
      </c>
    </row>
    <row r="29">
      <c r="A29" s="20" t="s">
        <v>103</v>
      </c>
      <c r="B29" s="21" t="s">
        <v>104</v>
      </c>
      <c r="C29" s="1">
        <f t="shared" si="1"/>
        <v>27</v>
      </c>
      <c r="D29" s="15">
        <f>VLOOKUP(A29,TDP!A:C,3,FALSE)</f>
        <v>0.17</v>
      </c>
      <c r="E29" s="17">
        <f>VLOOKUP(A29,'2023 Puntos'!A:E,5,FALSE)</f>
        <v>6.42</v>
      </c>
      <c r="F29" s="18">
        <v>27.0</v>
      </c>
      <c r="G29" s="7" t="s">
        <v>105</v>
      </c>
      <c r="H29" s="7" t="s">
        <v>16</v>
      </c>
      <c r="I29" s="1" t="str">
        <f t="shared" si="2"/>
        <v>Cero a la izquierda</v>
      </c>
      <c r="J29" s="18">
        <v>7.0</v>
      </c>
      <c r="K29" s="18">
        <v>8.0</v>
      </c>
    </row>
    <row r="30">
      <c r="A30" s="20" t="s">
        <v>106</v>
      </c>
      <c r="B30" s="21" t="s">
        <v>107</v>
      </c>
      <c r="C30" s="1">
        <f t="shared" si="1"/>
        <v>28</v>
      </c>
      <c r="D30" s="15">
        <f>VLOOKUP(A30,TDP!A:C,3,FALSE)</f>
        <v>0.19</v>
      </c>
      <c r="E30" s="17">
        <f>VLOOKUP(A30,'2023 Puntos'!A:E,5,FALSE)</f>
        <v>94.16</v>
      </c>
      <c r="F30" s="18">
        <v>28.0</v>
      </c>
      <c r="G30" s="7" t="s">
        <v>106</v>
      </c>
      <c r="H30" s="7" t="s">
        <v>108</v>
      </c>
      <c r="I30" s="1" t="str">
        <f t="shared" si="2"/>
        <v>Mediocre</v>
      </c>
      <c r="J30" s="18">
        <v>7.0</v>
      </c>
      <c r="K30" s="18">
        <v>8.0</v>
      </c>
    </row>
    <row r="31">
      <c r="A31" s="20" t="s">
        <v>109</v>
      </c>
      <c r="B31" s="21"/>
      <c r="C31" s="1">
        <f t="shared" si="1"/>
        <v>29</v>
      </c>
      <c r="D31" s="15">
        <f>VLOOKUP(A31,TDP!A:C,3,FALSE)</f>
        <v>0.15</v>
      </c>
      <c r="E31" s="17">
        <f>VLOOKUP(A31,'2023 Puntos'!A:E,5,FALSE)</f>
        <v>8.56</v>
      </c>
      <c r="F31" s="18">
        <v>29.0</v>
      </c>
      <c r="G31" s="7" t="s">
        <v>109</v>
      </c>
      <c r="H31" s="7" t="s">
        <v>110</v>
      </c>
      <c r="I31" s="1" t="str">
        <f t="shared" si="2"/>
        <v>Cero a la izquierda</v>
      </c>
      <c r="J31" s="18">
        <v>8.0</v>
      </c>
      <c r="K31" s="18">
        <v>9.0</v>
      </c>
    </row>
    <row r="32">
      <c r="A32" s="4" t="s">
        <v>111</v>
      </c>
      <c r="B32" s="7" t="s">
        <v>112</v>
      </c>
      <c r="C32" s="1">
        <f t="shared" si="1"/>
        <v>30</v>
      </c>
      <c r="D32" s="15">
        <f>VLOOKUP(A32,TDP!A:C,3,FALSE)</f>
        <v>0.18</v>
      </c>
      <c r="E32" s="17">
        <f>VLOOKUP(A32,'2023 Puntos'!A:E,5,FALSE)</f>
        <v>156.88</v>
      </c>
      <c r="F32" s="18">
        <v>30.0</v>
      </c>
      <c r="G32" s="7" t="s">
        <v>111</v>
      </c>
      <c r="H32" s="7" t="s">
        <v>110</v>
      </c>
      <c r="I32" s="1" t="str">
        <f t="shared" si="2"/>
        <v>Mediocre</v>
      </c>
      <c r="J32" s="18">
        <v>5.0</v>
      </c>
      <c r="K32" s="18">
        <v>8.0</v>
      </c>
    </row>
    <row r="33">
      <c r="A33" s="20" t="s">
        <v>113</v>
      </c>
      <c r="B33" s="21" t="s">
        <v>114</v>
      </c>
      <c r="C33" s="1">
        <f t="shared" si="1"/>
        <v>31</v>
      </c>
      <c r="D33" s="15">
        <f>VLOOKUP(A33,TDP!A:C,3,FALSE)</f>
        <v>0.18</v>
      </c>
      <c r="E33" s="17">
        <f>VLOOKUP(A33,'2023 Puntos'!A:E,5,FALSE)</f>
        <v>41.34</v>
      </c>
      <c r="F33" s="18">
        <v>31.0</v>
      </c>
      <c r="G33" s="7" t="s">
        <v>113</v>
      </c>
      <c r="H33" s="7" t="s">
        <v>20</v>
      </c>
      <c r="I33" s="1" t="str">
        <f t="shared" si="2"/>
        <v>Cero a la izquierda</v>
      </c>
      <c r="J33" s="18">
        <v>7.0</v>
      </c>
      <c r="K33" s="18">
        <v>9.0</v>
      </c>
    </row>
    <row r="34">
      <c r="A34" s="20" t="s">
        <v>115</v>
      </c>
      <c r="B34" s="21" t="s">
        <v>116</v>
      </c>
      <c r="C34" s="1">
        <f t="shared" si="1"/>
        <v>32</v>
      </c>
      <c r="D34" s="15">
        <f>VLOOKUP(A34,TDP!A:C,3,FALSE)</f>
        <v>0.08</v>
      </c>
      <c r="E34" s="17">
        <f>VLOOKUP(A34,'2023 Puntos'!A:E,5,FALSE)</f>
        <v>0</v>
      </c>
      <c r="F34" s="18">
        <v>32.0</v>
      </c>
      <c r="G34" s="7" t="s">
        <v>115</v>
      </c>
      <c r="H34" s="1"/>
      <c r="I34" s="1" t="str">
        <f t="shared" si="2"/>
        <v>Cero a la izquierda</v>
      </c>
      <c r="J34" s="18">
        <v>3.0</v>
      </c>
      <c r="K34" s="18">
        <v>3.0</v>
      </c>
    </row>
    <row r="35">
      <c r="A35" s="4" t="s">
        <v>117</v>
      </c>
      <c r="B35" s="7" t="s">
        <v>118</v>
      </c>
      <c r="C35" s="1">
        <f t="shared" si="1"/>
        <v>33</v>
      </c>
      <c r="D35" s="15">
        <f>VLOOKUP(A35,TDP!A:C,3,FALSE)</f>
        <v>0.16</v>
      </c>
      <c r="E35" s="17">
        <f>VLOOKUP(A35,'2023 Puntos'!A:E,5,FALSE)</f>
        <v>221.55</v>
      </c>
      <c r="F35" s="18">
        <v>33.0</v>
      </c>
      <c r="G35" s="7" t="s">
        <v>119</v>
      </c>
      <c r="H35" s="7" t="s">
        <v>120</v>
      </c>
      <c r="I35" s="1" t="str">
        <f t="shared" si="2"/>
        <v>Varon</v>
      </c>
      <c r="J35" s="18">
        <v>8.0</v>
      </c>
      <c r="K35" s="18">
        <v>8.0</v>
      </c>
    </row>
    <row r="36">
      <c r="A36" s="20" t="s">
        <v>121</v>
      </c>
      <c r="B36" s="21" t="s">
        <v>122</v>
      </c>
      <c r="C36" s="1">
        <f t="shared" si="1"/>
        <v>34</v>
      </c>
      <c r="D36" s="15">
        <f>VLOOKUP(A36,TDP!A:C,3,FALSE)</f>
        <v>0.12</v>
      </c>
      <c r="E36" s="17">
        <f>VLOOKUP(A36,'2023 Puntos'!A:E,5,FALSE)</f>
        <v>28.08</v>
      </c>
      <c r="F36" s="18">
        <v>34.0</v>
      </c>
      <c r="G36" s="7" t="s">
        <v>121</v>
      </c>
      <c r="H36" s="7" t="s">
        <v>123</v>
      </c>
      <c r="I36" s="1" t="str">
        <f t="shared" si="2"/>
        <v>Cero a la izquierda</v>
      </c>
      <c r="J36" s="18">
        <v>4.0</v>
      </c>
      <c r="K36" s="18">
        <v>5.0</v>
      </c>
    </row>
    <row r="37">
      <c r="A37" s="20" t="s">
        <v>42</v>
      </c>
      <c r="B37" s="21" t="s">
        <v>124</v>
      </c>
      <c r="C37" s="1">
        <f t="shared" si="1"/>
        <v>35</v>
      </c>
      <c r="D37" s="15">
        <f>VLOOKUP(A37,TDP!A:C,3,FALSE)</f>
        <v>0.17</v>
      </c>
      <c r="E37" s="17">
        <f>VLOOKUP(A37,'2023 Puntos'!A:E,5,FALSE)</f>
        <v>90.64</v>
      </c>
      <c r="F37" s="18">
        <v>35.0</v>
      </c>
      <c r="G37" s="7" t="s">
        <v>42</v>
      </c>
      <c r="H37" s="7" t="s">
        <v>125</v>
      </c>
      <c r="I37" s="1" t="str">
        <f t="shared" si="2"/>
        <v>Mediocre</v>
      </c>
      <c r="J37" s="18">
        <v>6.0</v>
      </c>
      <c r="K37" s="18">
        <v>8.0</v>
      </c>
    </row>
    <row r="38">
      <c r="A38" s="20" t="s">
        <v>126</v>
      </c>
      <c r="B38" s="21"/>
      <c r="C38" s="1">
        <f t="shared" si="1"/>
        <v>36</v>
      </c>
      <c r="D38" s="15">
        <f>VLOOKUP(A38,TDP!A:C,3,FALSE)</f>
        <v>0.12</v>
      </c>
      <c r="E38" s="17">
        <f>VLOOKUP(A38,'2023 Puntos'!A:E,5,FALSE)</f>
        <v>0</v>
      </c>
      <c r="F38" s="18">
        <v>36.0</v>
      </c>
      <c r="G38" s="7" t="s">
        <v>126</v>
      </c>
      <c r="H38" s="7" t="s">
        <v>127</v>
      </c>
      <c r="I38" s="1" t="str">
        <f t="shared" si="2"/>
        <v>Cero a la izquierda</v>
      </c>
      <c r="J38" s="18">
        <v>5.0</v>
      </c>
      <c r="K38" s="18">
        <v>7.0</v>
      </c>
    </row>
    <row r="39">
      <c r="A39" s="20" t="s">
        <v>128</v>
      </c>
      <c r="B39" s="21"/>
      <c r="C39" s="1">
        <f t="shared" si="1"/>
        <v>37</v>
      </c>
      <c r="D39" s="1" t="str">
        <f>VLOOKUP(A39,TDP!A:C,3,FALSE)</f>
        <v>#N/A</v>
      </c>
      <c r="E39" s="17">
        <f>VLOOKUP(A39,'2023 Puntos'!A:E,5,FALSE)</f>
        <v>0</v>
      </c>
      <c r="F39" s="18">
        <v>37.0</v>
      </c>
      <c r="G39" s="7" t="s">
        <v>128</v>
      </c>
      <c r="H39" s="1"/>
      <c r="I39" s="1" t="str">
        <f t="shared" si="2"/>
        <v>Cero a la izquierda</v>
      </c>
      <c r="J39" s="18">
        <v>3.0</v>
      </c>
      <c r="K39" s="18">
        <v>6.0</v>
      </c>
    </row>
    <row r="40">
      <c r="A40" s="20" t="s">
        <v>129</v>
      </c>
      <c r="B40" s="21"/>
      <c r="C40" s="1">
        <f t="shared" si="1"/>
        <v>38</v>
      </c>
      <c r="D40" s="15">
        <f>VLOOKUP(A40,TDP!A:C,3,FALSE)</f>
        <v>0.1</v>
      </c>
      <c r="E40" s="17">
        <f>VLOOKUP(A40,'2023 Puntos'!A:E,5,FALSE)</f>
        <v>33.66</v>
      </c>
      <c r="F40" s="18">
        <v>38.0</v>
      </c>
      <c r="G40" s="7" t="s">
        <v>129</v>
      </c>
      <c r="H40" s="1"/>
      <c r="I40" s="1" t="str">
        <f t="shared" si="2"/>
        <v>Cero a la izquierda</v>
      </c>
      <c r="J40" s="18">
        <v>3.0</v>
      </c>
      <c r="K40" s="18">
        <v>4.0</v>
      </c>
    </row>
    <row r="41">
      <c r="A41" s="20" t="s">
        <v>130</v>
      </c>
      <c r="B41" s="21"/>
      <c r="C41" s="43">
        <f t="shared" si="1"/>
        <v>39</v>
      </c>
      <c r="D41" s="43" t="str">
        <f>VLOOKUP(A41,TDP!A:C,3,FALSE)</f>
        <v>#N/A</v>
      </c>
      <c r="E41" s="17">
        <f>VLOOKUP(A41,'2023 Puntos'!A:E,5,FALSE)</f>
        <v>0</v>
      </c>
      <c r="F41" s="18">
        <v>39.0</v>
      </c>
      <c r="G41" s="7" t="s">
        <v>130</v>
      </c>
      <c r="H41" s="7" t="s">
        <v>131</v>
      </c>
      <c r="I41" s="1" t="str">
        <f t="shared" si="2"/>
        <v>Cero a la izquierda</v>
      </c>
      <c r="J41" s="18">
        <v>7.0</v>
      </c>
      <c r="K41" s="18">
        <v>8.0</v>
      </c>
    </row>
    <row r="42">
      <c r="G42" s="1"/>
      <c r="H42" s="1"/>
      <c r="I42" s="1"/>
    </row>
    <row r="43">
      <c r="G43" s="1"/>
      <c r="H43" s="1"/>
      <c r="I43" s="1"/>
    </row>
    <row r="44">
      <c r="G44" s="1"/>
      <c r="H44" s="1"/>
      <c r="I44" s="1"/>
    </row>
    <row r="45">
      <c r="G45" s="1"/>
      <c r="H45" s="1"/>
      <c r="I45" s="1"/>
    </row>
    <row r="46">
      <c r="G46" s="1"/>
      <c r="H46" s="1"/>
      <c r="I46" s="1"/>
    </row>
    <row r="47">
      <c r="G47" s="1"/>
      <c r="H47" s="1"/>
      <c r="I47" s="1"/>
    </row>
    <row r="48">
      <c r="G48" s="1"/>
      <c r="H48" s="1"/>
      <c r="I48" s="1"/>
    </row>
    <row r="49">
      <c r="A49" s="7">
        <v>7.0</v>
      </c>
      <c r="B49" s="7" t="s">
        <v>132</v>
      </c>
      <c r="G49" s="1"/>
      <c r="H49" s="1"/>
      <c r="I49" s="1"/>
    </row>
    <row r="50">
      <c r="A50" s="7">
        <v>6.0</v>
      </c>
      <c r="B50" s="7" t="s">
        <v>133</v>
      </c>
      <c r="G50" s="1"/>
      <c r="H50" s="1"/>
      <c r="I50" s="1"/>
    </row>
    <row r="51">
      <c r="A51" s="7">
        <v>5.0</v>
      </c>
      <c r="B51" s="7" t="s">
        <v>133</v>
      </c>
      <c r="G51" s="1"/>
      <c r="H51" s="1"/>
      <c r="I51" s="1"/>
    </row>
    <row r="52">
      <c r="A52" s="7">
        <v>4.0</v>
      </c>
      <c r="B52" s="7" t="s">
        <v>133</v>
      </c>
      <c r="G52" s="1"/>
      <c r="H52" s="1"/>
      <c r="I52" s="1"/>
    </row>
    <row r="53">
      <c r="A53" s="7">
        <v>3.0</v>
      </c>
      <c r="B53" s="7" t="s">
        <v>134</v>
      </c>
      <c r="G53" s="1"/>
      <c r="H53" s="1"/>
      <c r="I53" s="1"/>
    </row>
    <row r="54">
      <c r="A54" s="7">
        <v>2.0</v>
      </c>
      <c r="B54" s="7" t="s">
        <v>134</v>
      </c>
      <c r="G54" s="1"/>
      <c r="H54" s="1"/>
      <c r="I54" s="1"/>
    </row>
    <row r="55">
      <c r="A55" s="7">
        <v>1.0</v>
      </c>
      <c r="B55" s="7" t="s">
        <v>135</v>
      </c>
      <c r="G55" s="1"/>
      <c r="H55" s="1"/>
      <c r="I55" s="1"/>
    </row>
    <row r="56">
      <c r="A56" s="7">
        <v>0.0</v>
      </c>
      <c r="B56" s="7" t="s">
        <v>136</v>
      </c>
      <c r="G56" s="1"/>
      <c r="H56" s="1"/>
      <c r="I56" s="1"/>
    </row>
    <row r="57">
      <c r="A57" s="7">
        <v>-1.0</v>
      </c>
      <c r="B57" s="7" t="s">
        <v>137</v>
      </c>
      <c r="G57" s="1"/>
      <c r="H57" s="1"/>
      <c r="I57" s="1"/>
    </row>
    <row r="58">
      <c r="A58" s="7">
        <v>-2.0</v>
      </c>
      <c r="B58" s="7" t="s">
        <v>138</v>
      </c>
      <c r="G58" s="1"/>
      <c r="H58" s="1"/>
      <c r="I58" s="1"/>
    </row>
    <row r="59">
      <c r="A59" s="7">
        <v>-3.0</v>
      </c>
      <c r="B59" s="7" t="s">
        <v>139</v>
      </c>
      <c r="G59" s="1"/>
      <c r="H59" s="1"/>
      <c r="I59" s="1"/>
    </row>
    <row r="60">
      <c r="G60" s="1"/>
      <c r="H60" s="1"/>
      <c r="I60" s="1"/>
    </row>
    <row r="61">
      <c r="G61" s="1"/>
      <c r="H61" s="1"/>
      <c r="I61" s="1"/>
    </row>
    <row r="62">
      <c r="G62" s="1"/>
      <c r="H62" s="1"/>
      <c r="I62" s="1"/>
    </row>
    <row r="63">
      <c r="G63" s="1"/>
      <c r="H63" s="1"/>
      <c r="I63" s="1"/>
    </row>
    <row r="64">
      <c r="G64" s="1"/>
      <c r="H64" s="1"/>
      <c r="I64" s="1"/>
    </row>
    <row r="65">
      <c r="G65" s="1"/>
      <c r="H65" s="1"/>
      <c r="I65" s="1"/>
    </row>
    <row r="66">
      <c r="G66" s="1"/>
      <c r="H66" s="1"/>
      <c r="I66" s="1"/>
    </row>
    <row r="67">
      <c r="G67" s="1"/>
      <c r="H67" s="1"/>
      <c r="I67" s="1"/>
    </row>
    <row r="68">
      <c r="G68" s="1"/>
      <c r="H68" s="1"/>
      <c r="I68" s="1"/>
    </row>
    <row r="69">
      <c r="G69" s="1"/>
      <c r="H69" s="1"/>
      <c r="I69" s="1"/>
    </row>
    <row r="70">
      <c r="G70" s="1"/>
      <c r="H70" s="1"/>
      <c r="I70" s="1"/>
    </row>
    <row r="71">
      <c r="G71" s="1"/>
      <c r="H71" s="1"/>
      <c r="I71" s="1"/>
    </row>
    <row r="72">
      <c r="G72" s="1"/>
      <c r="H72" s="1"/>
      <c r="I72" s="1"/>
    </row>
    <row r="73">
      <c r="G73" s="1"/>
      <c r="H73" s="1"/>
      <c r="I73" s="1"/>
    </row>
    <row r="74">
      <c r="G74" s="1"/>
      <c r="H74" s="1"/>
      <c r="I74" s="1"/>
    </row>
    <row r="75">
      <c r="G75" s="1"/>
      <c r="H75" s="1"/>
      <c r="I75" s="1"/>
    </row>
    <row r="76">
      <c r="G76" s="1"/>
      <c r="H76" s="1"/>
      <c r="I76" s="1"/>
    </row>
    <row r="77">
      <c r="G77" s="1"/>
      <c r="H77" s="1"/>
      <c r="I77" s="1"/>
    </row>
    <row r="78">
      <c r="G78" s="1"/>
      <c r="H78" s="1"/>
      <c r="I78" s="1"/>
    </row>
    <row r="79">
      <c r="G79" s="1"/>
      <c r="H79" s="1"/>
      <c r="I79" s="1"/>
    </row>
    <row r="80">
      <c r="G80" s="1"/>
      <c r="H80" s="1"/>
      <c r="I80" s="1"/>
    </row>
    <row r="81">
      <c r="G81" s="1"/>
      <c r="H81" s="1"/>
      <c r="I81" s="1"/>
    </row>
    <row r="82">
      <c r="G82" s="1"/>
      <c r="H82" s="1"/>
      <c r="I82" s="1"/>
    </row>
    <row r="83">
      <c r="G83" s="1"/>
      <c r="H83" s="1"/>
      <c r="I83" s="1"/>
    </row>
    <row r="84">
      <c r="G84" s="1"/>
      <c r="H84" s="1"/>
      <c r="I84" s="1"/>
    </row>
    <row r="85">
      <c r="G85" s="1"/>
      <c r="H85" s="1"/>
      <c r="I85" s="1"/>
    </row>
    <row r="86">
      <c r="G86" s="1"/>
      <c r="H86" s="1"/>
      <c r="I86" s="1"/>
    </row>
    <row r="87">
      <c r="G87" s="1"/>
      <c r="H87" s="1"/>
      <c r="I87" s="1"/>
    </row>
    <row r="88">
      <c r="G88" s="1"/>
      <c r="H88" s="1"/>
      <c r="I88" s="1"/>
    </row>
    <row r="89">
      <c r="G89" s="1"/>
      <c r="H89" s="1"/>
      <c r="I89" s="1"/>
    </row>
    <row r="90">
      <c r="G90" s="1"/>
      <c r="H90" s="1"/>
      <c r="I90" s="1"/>
    </row>
    <row r="91">
      <c r="G91" s="1"/>
      <c r="H91" s="1"/>
      <c r="I91" s="1"/>
    </row>
    <row r="92">
      <c r="G92" s="1"/>
      <c r="H92" s="1"/>
      <c r="I92" s="1"/>
    </row>
    <row r="93">
      <c r="G93" s="1"/>
      <c r="H93" s="1"/>
      <c r="I93" s="1"/>
    </row>
    <row r="94">
      <c r="G94" s="1"/>
      <c r="H94" s="1"/>
      <c r="I94" s="1"/>
    </row>
    <row r="95">
      <c r="G95" s="1"/>
      <c r="H95" s="1"/>
      <c r="I95" s="1"/>
    </row>
    <row r="96">
      <c r="G96" s="1"/>
      <c r="H96" s="1"/>
      <c r="I96" s="1"/>
    </row>
    <row r="97">
      <c r="G97" s="1"/>
      <c r="H97" s="1"/>
      <c r="I97" s="1"/>
    </row>
    <row r="98">
      <c r="G98" s="1"/>
      <c r="H98" s="1"/>
      <c r="I98" s="1"/>
    </row>
    <row r="99">
      <c r="G99" s="1"/>
      <c r="H99" s="1"/>
      <c r="I99" s="1"/>
    </row>
    <row r="100">
      <c r="G100" s="1"/>
      <c r="H100" s="1"/>
      <c r="I100" s="1"/>
    </row>
    <row r="101">
      <c r="G101" s="1"/>
      <c r="H101" s="1"/>
      <c r="I101" s="1"/>
    </row>
    <row r="102">
      <c r="G102" s="1"/>
      <c r="H102" s="1"/>
      <c r="I102" s="1"/>
    </row>
    <row r="103">
      <c r="G103" s="1"/>
      <c r="H103" s="1"/>
      <c r="I103" s="1"/>
    </row>
    <row r="104">
      <c r="G104" s="1"/>
      <c r="H104" s="1"/>
      <c r="I104" s="1"/>
    </row>
    <row r="105">
      <c r="G105" s="1"/>
      <c r="H105" s="1"/>
      <c r="I105" s="1"/>
    </row>
    <row r="106">
      <c r="G106" s="1"/>
      <c r="H106" s="1"/>
      <c r="I106" s="1"/>
    </row>
    <row r="107">
      <c r="G107" s="1"/>
      <c r="H107" s="1"/>
      <c r="I107" s="1"/>
    </row>
    <row r="108">
      <c r="G108" s="1"/>
      <c r="H108" s="1"/>
      <c r="I108" s="1"/>
    </row>
    <row r="109">
      <c r="G109" s="1"/>
      <c r="H109" s="1"/>
      <c r="I109" s="1"/>
    </row>
    <row r="110">
      <c r="G110" s="1"/>
      <c r="H110" s="1"/>
      <c r="I110" s="1"/>
    </row>
    <row r="111">
      <c r="G111" s="1"/>
      <c r="H111" s="1"/>
      <c r="I111" s="1"/>
    </row>
    <row r="112">
      <c r="G112" s="1"/>
      <c r="H112" s="1"/>
      <c r="I112" s="1"/>
    </row>
    <row r="113">
      <c r="G113" s="1"/>
      <c r="H113" s="1"/>
      <c r="I113" s="1"/>
    </row>
    <row r="114">
      <c r="G114" s="1"/>
      <c r="H114" s="1"/>
      <c r="I114" s="1"/>
    </row>
    <row r="115">
      <c r="G115" s="1"/>
      <c r="H115" s="1"/>
      <c r="I115" s="1"/>
    </row>
    <row r="116">
      <c r="G116" s="1"/>
      <c r="H116" s="1"/>
      <c r="I116" s="1"/>
    </row>
    <row r="117">
      <c r="G117" s="1"/>
      <c r="H117" s="1"/>
      <c r="I117" s="1"/>
    </row>
    <row r="118">
      <c r="G118" s="1"/>
      <c r="H118" s="1"/>
      <c r="I118" s="1"/>
    </row>
    <row r="119">
      <c r="G119" s="1"/>
      <c r="H119" s="1"/>
      <c r="I119" s="1"/>
    </row>
    <row r="120">
      <c r="G120" s="1"/>
      <c r="H120" s="1"/>
      <c r="I120" s="1"/>
    </row>
    <row r="121">
      <c r="G121" s="1"/>
      <c r="H121" s="1"/>
      <c r="I121" s="1"/>
    </row>
    <row r="122">
      <c r="G122" s="1"/>
      <c r="H122" s="1"/>
      <c r="I122" s="1"/>
    </row>
    <row r="123">
      <c r="G123" s="1"/>
      <c r="H123" s="1"/>
      <c r="I123" s="1"/>
    </row>
    <row r="124">
      <c r="G124" s="1"/>
      <c r="H124" s="1"/>
      <c r="I124" s="1"/>
    </row>
    <row r="125">
      <c r="G125" s="1"/>
      <c r="H125" s="1"/>
      <c r="I125" s="1"/>
    </row>
    <row r="126">
      <c r="G126" s="1"/>
      <c r="H126" s="1"/>
      <c r="I126" s="1"/>
    </row>
    <row r="127">
      <c r="G127" s="1"/>
      <c r="H127" s="1"/>
      <c r="I127" s="1"/>
    </row>
    <row r="128">
      <c r="G128" s="1"/>
      <c r="H128" s="1"/>
      <c r="I128" s="1"/>
    </row>
    <row r="129">
      <c r="G129" s="1"/>
      <c r="H129" s="1"/>
      <c r="I129" s="1"/>
    </row>
    <row r="130">
      <c r="G130" s="1"/>
      <c r="H130" s="1"/>
      <c r="I130" s="1"/>
    </row>
    <row r="131">
      <c r="G131" s="1"/>
      <c r="H131" s="1"/>
      <c r="I131" s="1"/>
    </row>
    <row r="132">
      <c r="G132" s="1"/>
      <c r="H132" s="1"/>
      <c r="I132" s="1"/>
    </row>
    <row r="133">
      <c r="G133" s="1"/>
      <c r="H133" s="1"/>
      <c r="I133" s="1"/>
    </row>
    <row r="134">
      <c r="G134" s="1"/>
      <c r="H134" s="1"/>
      <c r="I134" s="1"/>
    </row>
    <row r="135">
      <c r="G135" s="1"/>
      <c r="H135" s="1"/>
      <c r="I135" s="1"/>
    </row>
    <row r="136">
      <c r="G136" s="1"/>
      <c r="H136" s="1"/>
      <c r="I136" s="1"/>
    </row>
    <row r="137">
      <c r="G137" s="1"/>
      <c r="H137" s="1"/>
      <c r="I137" s="1"/>
    </row>
    <row r="138">
      <c r="G138" s="1"/>
      <c r="H138" s="1"/>
      <c r="I138" s="1"/>
    </row>
    <row r="139">
      <c r="G139" s="1"/>
      <c r="H139" s="1"/>
      <c r="I139" s="1"/>
    </row>
    <row r="140">
      <c r="G140" s="1"/>
      <c r="H140" s="1"/>
      <c r="I140" s="1"/>
    </row>
    <row r="141">
      <c r="G141" s="1"/>
      <c r="H141" s="1"/>
      <c r="I141" s="1"/>
    </row>
    <row r="142">
      <c r="G142" s="1"/>
      <c r="H142" s="1"/>
      <c r="I142" s="1"/>
    </row>
    <row r="143">
      <c r="G143" s="1"/>
      <c r="H143" s="1"/>
      <c r="I143" s="1"/>
    </row>
    <row r="144">
      <c r="G144" s="1"/>
      <c r="H144" s="1"/>
      <c r="I144" s="1"/>
    </row>
    <row r="145">
      <c r="G145" s="1"/>
      <c r="H145" s="1"/>
      <c r="I145" s="1"/>
    </row>
    <row r="146">
      <c r="G146" s="1"/>
      <c r="H146" s="1"/>
      <c r="I146" s="1"/>
    </row>
    <row r="147">
      <c r="G147" s="1"/>
      <c r="H147" s="1"/>
      <c r="I147" s="1"/>
    </row>
    <row r="148">
      <c r="G148" s="1"/>
      <c r="H148" s="1"/>
      <c r="I148" s="1"/>
    </row>
    <row r="149">
      <c r="G149" s="1"/>
      <c r="H149" s="1"/>
      <c r="I149" s="1"/>
    </row>
    <row r="150">
      <c r="G150" s="1"/>
      <c r="H150" s="1"/>
      <c r="I150" s="1"/>
    </row>
    <row r="151">
      <c r="G151" s="1"/>
      <c r="H151" s="1"/>
      <c r="I151" s="1"/>
    </row>
    <row r="152">
      <c r="G152" s="1"/>
      <c r="H152" s="1"/>
      <c r="I152" s="1"/>
    </row>
    <row r="153">
      <c r="G153" s="1"/>
      <c r="H153" s="1"/>
      <c r="I153" s="1"/>
    </row>
    <row r="154">
      <c r="G154" s="1"/>
      <c r="H154" s="1"/>
      <c r="I154" s="1"/>
    </row>
    <row r="155">
      <c r="G155" s="1"/>
      <c r="H155" s="1"/>
      <c r="I155" s="1"/>
    </row>
    <row r="156">
      <c r="G156" s="1"/>
      <c r="H156" s="1"/>
      <c r="I156" s="1"/>
    </row>
    <row r="157">
      <c r="G157" s="1"/>
      <c r="H157" s="1"/>
      <c r="I157" s="1"/>
    </row>
    <row r="158">
      <c r="G158" s="1"/>
      <c r="H158" s="1"/>
      <c r="I158" s="1"/>
    </row>
    <row r="159">
      <c r="G159" s="1"/>
      <c r="H159" s="1"/>
      <c r="I159" s="1"/>
    </row>
    <row r="160">
      <c r="G160" s="1"/>
      <c r="H160" s="1"/>
      <c r="I160" s="1"/>
    </row>
    <row r="161">
      <c r="G161" s="1"/>
      <c r="H161" s="1"/>
      <c r="I161" s="1"/>
    </row>
    <row r="162">
      <c r="G162" s="1"/>
      <c r="H162" s="1"/>
      <c r="I162" s="1"/>
    </row>
    <row r="163">
      <c r="G163" s="1"/>
      <c r="H163" s="1"/>
      <c r="I163" s="1"/>
    </row>
    <row r="164">
      <c r="G164" s="1"/>
      <c r="H164" s="1"/>
      <c r="I164" s="1"/>
    </row>
    <row r="165">
      <c r="G165" s="1"/>
      <c r="H165" s="1"/>
      <c r="I165" s="1"/>
    </row>
    <row r="166">
      <c r="G166" s="1"/>
      <c r="H166" s="1"/>
      <c r="I166" s="1"/>
    </row>
    <row r="167">
      <c r="G167" s="1"/>
      <c r="H167" s="1"/>
      <c r="I167" s="1"/>
    </row>
    <row r="168">
      <c r="G168" s="1"/>
      <c r="H168" s="1"/>
      <c r="I168" s="1"/>
    </row>
    <row r="169">
      <c r="G169" s="1"/>
      <c r="H169" s="1"/>
      <c r="I169" s="1"/>
    </row>
    <row r="170">
      <c r="G170" s="1"/>
      <c r="H170" s="1"/>
      <c r="I170" s="1"/>
    </row>
    <row r="171">
      <c r="G171" s="1"/>
      <c r="H171" s="1"/>
      <c r="I171" s="1"/>
    </row>
    <row r="172">
      <c r="G172" s="1"/>
      <c r="H172" s="1"/>
      <c r="I172" s="1"/>
    </row>
    <row r="173">
      <c r="G173" s="1"/>
      <c r="H173" s="1"/>
      <c r="I173" s="1"/>
    </row>
    <row r="174">
      <c r="G174" s="1"/>
      <c r="H174" s="1"/>
      <c r="I174" s="1"/>
    </row>
    <row r="175">
      <c r="G175" s="1"/>
      <c r="H175" s="1"/>
      <c r="I175" s="1"/>
    </row>
    <row r="176">
      <c r="G176" s="1"/>
      <c r="H176" s="1"/>
      <c r="I176" s="1"/>
    </row>
    <row r="177">
      <c r="G177" s="1"/>
      <c r="H177" s="1"/>
      <c r="I177" s="1"/>
    </row>
    <row r="178">
      <c r="G178" s="1"/>
      <c r="H178" s="1"/>
      <c r="I178" s="1"/>
    </row>
    <row r="179">
      <c r="G179" s="1"/>
      <c r="H179" s="1"/>
      <c r="I179" s="1"/>
    </row>
    <row r="180">
      <c r="G180" s="1"/>
      <c r="H180" s="1"/>
      <c r="I180" s="1"/>
    </row>
    <row r="181">
      <c r="G181" s="1"/>
      <c r="H181" s="1"/>
      <c r="I181" s="1"/>
    </row>
    <row r="182">
      <c r="G182" s="1"/>
      <c r="H182" s="1"/>
      <c r="I182" s="1"/>
    </row>
    <row r="183">
      <c r="G183" s="1"/>
      <c r="H183" s="1"/>
      <c r="I183" s="1"/>
    </row>
    <row r="184">
      <c r="G184" s="1"/>
      <c r="H184" s="1"/>
      <c r="I184" s="1"/>
    </row>
    <row r="185">
      <c r="G185" s="1"/>
      <c r="H185" s="1"/>
      <c r="I185" s="1"/>
    </row>
    <row r="186">
      <c r="G186" s="1"/>
      <c r="H186" s="1"/>
      <c r="I186" s="1"/>
    </row>
    <row r="187">
      <c r="G187" s="1"/>
      <c r="H187" s="1"/>
      <c r="I187" s="1"/>
    </row>
    <row r="188">
      <c r="G188" s="1"/>
      <c r="H188" s="1"/>
      <c r="I188" s="1"/>
    </row>
    <row r="189">
      <c r="G189" s="1"/>
      <c r="H189" s="1"/>
      <c r="I189" s="1"/>
    </row>
    <row r="190">
      <c r="G190" s="1"/>
      <c r="H190" s="1"/>
      <c r="I190" s="1"/>
    </row>
    <row r="191">
      <c r="G191" s="1"/>
      <c r="H191" s="1"/>
      <c r="I191" s="1"/>
    </row>
    <row r="192">
      <c r="G192" s="1"/>
      <c r="H192" s="1"/>
      <c r="I192" s="1"/>
    </row>
    <row r="193">
      <c r="G193" s="1"/>
      <c r="H193" s="1"/>
      <c r="I193" s="1"/>
    </row>
    <row r="194">
      <c r="G194" s="1"/>
      <c r="H194" s="1"/>
      <c r="I194" s="1"/>
    </row>
    <row r="195">
      <c r="G195" s="1"/>
      <c r="H195" s="1"/>
      <c r="I195" s="1"/>
    </row>
    <row r="196">
      <c r="G196" s="1"/>
      <c r="H196" s="1"/>
      <c r="I196" s="1"/>
    </row>
    <row r="197">
      <c r="G197" s="1"/>
      <c r="H197" s="1"/>
      <c r="I197" s="1"/>
    </row>
    <row r="198">
      <c r="G198" s="1"/>
      <c r="H198" s="1"/>
      <c r="I198" s="1"/>
    </row>
    <row r="199">
      <c r="G199" s="1"/>
      <c r="H199" s="1"/>
      <c r="I199" s="1"/>
    </row>
    <row r="200">
      <c r="G200" s="1"/>
      <c r="H200" s="1"/>
      <c r="I200" s="1"/>
    </row>
    <row r="201">
      <c r="G201" s="1"/>
      <c r="H201" s="1"/>
      <c r="I201" s="1"/>
    </row>
    <row r="202">
      <c r="G202" s="1"/>
      <c r="H202" s="1"/>
      <c r="I202" s="1"/>
    </row>
    <row r="203">
      <c r="G203" s="1"/>
      <c r="H203" s="1"/>
      <c r="I203" s="1"/>
    </row>
    <row r="204">
      <c r="G204" s="1"/>
      <c r="H204" s="1"/>
      <c r="I204" s="1"/>
    </row>
    <row r="205">
      <c r="G205" s="1"/>
      <c r="H205" s="1"/>
      <c r="I205" s="1"/>
    </row>
    <row r="206">
      <c r="G206" s="1"/>
      <c r="H206" s="1"/>
      <c r="I206" s="1"/>
    </row>
    <row r="207">
      <c r="G207" s="1"/>
      <c r="H207" s="1"/>
      <c r="I207" s="1"/>
    </row>
    <row r="208">
      <c r="G208" s="1"/>
      <c r="H208" s="1"/>
      <c r="I208" s="1"/>
    </row>
    <row r="209">
      <c r="G209" s="1"/>
      <c r="H209" s="1"/>
      <c r="I209" s="1"/>
    </row>
    <row r="210">
      <c r="G210" s="1"/>
      <c r="H210" s="1"/>
      <c r="I210" s="1"/>
    </row>
    <row r="211">
      <c r="G211" s="1"/>
      <c r="H211" s="1"/>
      <c r="I211" s="1"/>
    </row>
    <row r="212">
      <c r="G212" s="1"/>
      <c r="H212" s="1"/>
      <c r="I212" s="1"/>
    </row>
    <row r="213">
      <c r="G213" s="1"/>
      <c r="H213" s="1"/>
      <c r="I213" s="1"/>
    </row>
    <row r="214">
      <c r="G214" s="1"/>
      <c r="H214" s="1"/>
      <c r="I214" s="1"/>
    </row>
    <row r="215">
      <c r="G215" s="1"/>
      <c r="H215" s="1"/>
      <c r="I215" s="1"/>
    </row>
    <row r="216">
      <c r="G216" s="1"/>
      <c r="H216" s="1"/>
      <c r="I216" s="1"/>
    </row>
    <row r="217">
      <c r="G217" s="1"/>
      <c r="H217" s="1"/>
      <c r="I217" s="1"/>
    </row>
    <row r="218">
      <c r="G218" s="1"/>
      <c r="H218" s="1"/>
      <c r="I218" s="1"/>
    </row>
    <row r="219">
      <c r="G219" s="1"/>
      <c r="H219" s="1"/>
      <c r="I219" s="1"/>
    </row>
    <row r="220">
      <c r="G220" s="1"/>
      <c r="H220" s="1"/>
      <c r="I220" s="1"/>
    </row>
    <row r="221">
      <c r="G221" s="1"/>
      <c r="H221" s="1"/>
      <c r="I221" s="1"/>
    </row>
    <row r="222">
      <c r="G222" s="1"/>
      <c r="H222" s="1"/>
      <c r="I222" s="1"/>
    </row>
    <row r="223">
      <c r="G223" s="1"/>
      <c r="H223" s="1"/>
      <c r="I223" s="1"/>
    </row>
    <row r="224">
      <c r="G224" s="1"/>
      <c r="H224" s="1"/>
      <c r="I224" s="1"/>
    </row>
    <row r="225">
      <c r="G225" s="1"/>
      <c r="H225" s="1"/>
      <c r="I225" s="1"/>
    </row>
    <row r="226">
      <c r="G226" s="1"/>
      <c r="H226" s="1"/>
      <c r="I226" s="1"/>
    </row>
    <row r="227">
      <c r="G227" s="1"/>
      <c r="H227" s="1"/>
      <c r="I227" s="1"/>
    </row>
    <row r="228">
      <c r="G228" s="1"/>
      <c r="H228" s="1"/>
      <c r="I228" s="1"/>
    </row>
    <row r="229">
      <c r="G229" s="1"/>
      <c r="H229" s="1"/>
      <c r="I229" s="1"/>
    </row>
    <row r="230">
      <c r="G230" s="1"/>
      <c r="H230" s="1"/>
      <c r="I230" s="1"/>
    </row>
    <row r="231">
      <c r="G231" s="1"/>
      <c r="H231" s="1"/>
      <c r="I231" s="1"/>
    </row>
    <row r="232">
      <c r="G232" s="1"/>
      <c r="H232" s="1"/>
      <c r="I232" s="1"/>
    </row>
    <row r="233">
      <c r="G233" s="1"/>
      <c r="H233" s="1"/>
      <c r="I233" s="1"/>
    </row>
    <row r="234">
      <c r="G234" s="1"/>
      <c r="H234" s="1"/>
      <c r="I234" s="1"/>
    </row>
    <row r="235">
      <c r="G235" s="1"/>
      <c r="H235" s="1"/>
      <c r="I235" s="1"/>
    </row>
    <row r="236">
      <c r="G236" s="1"/>
      <c r="H236" s="1"/>
      <c r="I236" s="1"/>
    </row>
    <row r="237">
      <c r="G237" s="1"/>
      <c r="H237" s="1"/>
      <c r="I237" s="1"/>
    </row>
    <row r="238">
      <c r="G238" s="1"/>
      <c r="H238" s="1"/>
      <c r="I238" s="1"/>
    </row>
    <row r="239">
      <c r="G239" s="1"/>
      <c r="H239" s="1"/>
      <c r="I239" s="1"/>
    </row>
    <row r="240">
      <c r="G240" s="1"/>
      <c r="H240" s="1"/>
      <c r="I240" s="1"/>
    </row>
    <row r="241">
      <c r="G241" s="1"/>
      <c r="H241" s="1"/>
      <c r="I241" s="1"/>
    </row>
    <row r="242">
      <c r="G242" s="1"/>
      <c r="H242" s="1"/>
      <c r="I242" s="1"/>
    </row>
    <row r="243">
      <c r="G243" s="1"/>
      <c r="H243" s="1"/>
      <c r="I243" s="1"/>
    </row>
    <row r="244">
      <c r="G244" s="1"/>
      <c r="H244" s="1"/>
      <c r="I244" s="1"/>
    </row>
    <row r="245">
      <c r="G245" s="1"/>
      <c r="H245" s="1"/>
      <c r="I245" s="1"/>
    </row>
    <row r="246">
      <c r="G246" s="1"/>
      <c r="H246" s="1"/>
      <c r="I246" s="1"/>
    </row>
    <row r="247">
      <c r="G247" s="1"/>
      <c r="H247" s="1"/>
      <c r="I247" s="1"/>
    </row>
    <row r="248">
      <c r="G248" s="1"/>
      <c r="H248" s="1"/>
      <c r="I248" s="1"/>
    </row>
    <row r="249">
      <c r="G249" s="1"/>
      <c r="H249" s="1"/>
      <c r="I249" s="1"/>
    </row>
    <row r="250">
      <c r="G250" s="1"/>
      <c r="H250" s="1"/>
      <c r="I250" s="1"/>
    </row>
    <row r="251">
      <c r="G251" s="1"/>
      <c r="H251" s="1"/>
      <c r="I251" s="1"/>
    </row>
    <row r="252">
      <c r="G252" s="1"/>
      <c r="H252" s="1"/>
      <c r="I252" s="1"/>
    </row>
    <row r="253">
      <c r="G253" s="1"/>
      <c r="H253" s="1"/>
      <c r="I253" s="1"/>
    </row>
    <row r="254">
      <c r="G254" s="1"/>
      <c r="H254" s="1"/>
      <c r="I254" s="1"/>
    </row>
    <row r="255">
      <c r="G255" s="1"/>
      <c r="H255" s="1"/>
      <c r="I255" s="1"/>
    </row>
    <row r="256">
      <c r="G256" s="1"/>
      <c r="H256" s="1"/>
      <c r="I256" s="1"/>
    </row>
    <row r="257">
      <c r="G257" s="1"/>
      <c r="H257" s="1"/>
      <c r="I257" s="1"/>
    </row>
    <row r="258">
      <c r="G258" s="1"/>
      <c r="H258" s="1"/>
      <c r="I258" s="1"/>
    </row>
    <row r="259">
      <c r="G259" s="1"/>
      <c r="H259" s="1"/>
      <c r="I259" s="1"/>
    </row>
    <row r="260">
      <c r="G260" s="1"/>
      <c r="H260" s="1"/>
      <c r="I260" s="1"/>
    </row>
    <row r="261">
      <c r="G261" s="1"/>
      <c r="H261" s="1"/>
      <c r="I261" s="1"/>
    </row>
    <row r="262">
      <c r="G262" s="1"/>
      <c r="H262" s="1"/>
      <c r="I262" s="1"/>
    </row>
    <row r="263">
      <c r="G263" s="1"/>
      <c r="H263" s="1"/>
      <c r="I263" s="1"/>
    </row>
    <row r="264">
      <c r="G264" s="1"/>
      <c r="H264" s="1"/>
      <c r="I264" s="1"/>
    </row>
    <row r="265">
      <c r="G265" s="1"/>
      <c r="H265" s="1"/>
      <c r="I265" s="1"/>
    </row>
    <row r="266">
      <c r="G266" s="1"/>
      <c r="H266" s="1"/>
      <c r="I266" s="1"/>
    </row>
    <row r="267">
      <c r="G267" s="1"/>
      <c r="H267" s="1"/>
      <c r="I267" s="1"/>
    </row>
    <row r="268">
      <c r="G268" s="1"/>
      <c r="H268" s="1"/>
      <c r="I268" s="1"/>
    </row>
    <row r="269">
      <c r="G269" s="1"/>
      <c r="H269" s="1"/>
      <c r="I269" s="1"/>
    </row>
    <row r="270">
      <c r="G270" s="1"/>
      <c r="H270" s="1"/>
      <c r="I270" s="1"/>
    </row>
    <row r="271">
      <c r="G271" s="1"/>
      <c r="H271" s="1"/>
      <c r="I271" s="1"/>
    </row>
    <row r="272">
      <c r="G272" s="1"/>
      <c r="H272" s="1"/>
      <c r="I272" s="1"/>
    </row>
    <row r="273">
      <c r="G273" s="1"/>
      <c r="H273" s="1"/>
      <c r="I273" s="1"/>
    </row>
    <row r="274">
      <c r="G274" s="1"/>
      <c r="H274" s="1"/>
      <c r="I274" s="1"/>
    </row>
    <row r="275">
      <c r="G275" s="1"/>
      <c r="H275" s="1"/>
      <c r="I275" s="1"/>
    </row>
    <row r="276">
      <c r="G276" s="1"/>
      <c r="H276" s="1"/>
      <c r="I276" s="1"/>
    </row>
    <row r="277">
      <c r="G277" s="1"/>
      <c r="H277" s="1"/>
      <c r="I277" s="1"/>
    </row>
    <row r="278">
      <c r="G278" s="1"/>
      <c r="H278" s="1"/>
      <c r="I278" s="1"/>
    </row>
    <row r="279">
      <c r="G279" s="1"/>
      <c r="H279" s="1"/>
      <c r="I279" s="1"/>
    </row>
    <row r="280">
      <c r="G280" s="1"/>
      <c r="H280" s="1"/>
      <c r="I280" s="1"/>
    </row>
    <row r="281">
      <c r="G281" s="1"/>
      <c r="H281" s="1"/>
      <c r="I281" s="1"/>
    </row>
    <row r="282">
      <c r="G282" s="1"/>
      <c r="H282" s="1"/>
      <c r="I282" s="1"/>
    </row>
    <row r="283">
      <c r="G283" s="1"/>
      <c r="H283" s="1"/>
      <c r="I283" s="1"/>
    </row>
    <row r="284">
      <c r="G284" s="1"/>
      <c r="H284" s="1"/>
      <c r="I284" s="1"/>
    </row>
    <row r="285">
      <c r="G285" s="1"/>
      <c r="H285" s="1"/>
      <c r="I285" s="1"/>
    </row>
    <row r="286">
      <c r="G286" s="1"/>
      <c r="H286" s="1"/>
      <c r="I286" s="1"/>
    </row>
    <row r="287">
      <c r="G287" s="1"/>
      <c r="H287" s="1"/>
      <c r="I287" s="1"/>
    </row>
    <row r="288">
      <c r="G288" s="1"/>
      <c r="H288" s="1"/>
      <c r="I288" s="1"/>
    </row>
    <row r="289">
      <c r="G289" s="1"/>
      <c r="H289" s="1"/>
      <c r="I289" s="1"/>
    </row>
    <row r="290">
      <c r="G290" s="1"/>
      <c r="H290" s="1"/>
      <c r="I290" s="1"/>
    </row>
    <row r="291">
      <c r="G291" s="1"/>
      <c r="H291" s="1"/>
      <c r="I291" s="1"/>
    </row>
    <row r="292">
      <c r="G292" s="1"/>
      <c r="H292" s="1"/>
      <c r="I292" s="1"/>
    </row>
    <row r="293">
      <c r="G293" s="1"/>
      <c r="H293" s="1"/>
      <c r="I293" s="1"/>
    </row>
    <row r="294">
      <c r="G294" s="1"/>
      <c r="H294" s="1"/>
      <c r="I294" s="1"/>
    </row>
    <row r="295">
      <c r="G295" s="1"/>
      <c r="H295" s="1"/>
      <c r="I295" s="1"/>
    </row>
    <row r="296">
      <c r="G296" s="1"/>
      <c r="H296" s="1"/>
      <c r="I296" s="1"/>
    </row>
    <row r="297">
      <c r="G297" s="1"/>
      <c r="H297" s="1"/>
      <c r="I297" s="1"/>
    </row>
    <row r="298">
      <c r="G298" s="1"/>
      <c r="H298" s="1"/>
      <c r="I298" s="1"/>
    </row>
    <row r="299">
      <c r="G299" s="1"/>
      <c r="H299" s="1"/>
      <c r="I299" s="1"/>
    </row>
    <row r="300">
      <c r="G300" s="1"/>
      <c r="H300" s="1"/>
      <c r="I300" s="1"/>
    </row>
    <row r="301">
      <c r="G301" s="1"/>
      <c r="H301" s="1"/>
      <c r="I301" s="1"/>
    </row>
    <row r="302">
      <c r="G302" s="1"/>
      <c r="H302" s="1"/>
      <c r="I302" s="1"/>
    </row>
    <row r="303">
      <c r="G303" s="1"/>
      <c r="H303" s="1"/>
      <c r="I303" s="1"/>
    </row>
    <row r="304">
      <c r="G304" s="1"/>
      <c r="H304" s="1"/>
      <c r="I304" s="1"/>
    </row>
    <row r="305">
      <c r="G305" s="1"/>
      <c r="H305" s="1"/>
      <c r="I305" s="1"/>
    </row>
    <row r="306">
      <c r="G306" s="1"/>
      <c r="H306" s="1"/>
      <c r="I306" s="1"/>
    </row>
    <row r="307">
      <c r="G307" s="1"/>
      <c r="H307" s="1"/>
      <c r="I307" s="1"/>
    </row>
    <row r="308">
      <c r="G308" s="1"/>
      <c r="H308" s="1"/>
      <c r="I308" s="1"/>
    </row>
    <row r="309">
      <c r="G309" s="1"/>
      <c r="H309" s="1"/>
      <c r="I309" s="1"/>
    </row>
    <row r="310">
      <c r="G310" s="1"/>
      <c r="H310" s="1"/>
      <c r="I310" s="1"/>
    </row>
    <row r="311">
      <c r="G311" s="1"/>
      <c r="H311" s="1"/>
      <c r="I311" s="1"/>
    </row>
    <row r="312">
      <c r="G312" s="1"/>
      <c r="H312" s="1"/>
      <c r="I312" s="1"/>
    </row>
    <row r="313">
      <c r="G313" s="1"/>
      <c r="H313" s="1"/>
      <c r="I313" s="1"/>
    </row>
    <row r="314">
      <c r="G314" s="1"/>
      <c r="H314" s="1"/>
      <c r="I314" s="1"/>
    </row>
    <row r="315">
      <c r="G315" s="1"/>
      <c r="H315" s="1"/>
      <c r="I315" s="1"/>
    </row>
    <row r="316">
      <c r="G316" s="1"/>
      <c r="H316" s="1"/>
      <c r="I316" s="1"/>
    </row>
    <row r="317">
      <c r="G317" s="1"/>
      <c r="H317" s="1"/>
      <c r="I317" s="1"/>
    </row>
    <row r="318">
      <c r="G318" s="1"/>
      <c r="H318" s="1"/>
      <c r="I318" s="1"/>
    </row>
    <row r="319">
      <c r="G319" s="1"/>
      <c r="H319" s="1"/>
      <c r="I319" s="1"/>
    </row>
    <row r="320">
      <c r="G320" s="1"/>
      <c r="H320" s="1"/>
      <c r="I320" s="1"/>
    </row>
    <row r="321">
      <c r="G321" s="1"/>
      <c r="H321" s="1"/>
      <c r="I321" s="1"/>
    </row>
    <row r="322">
      <c r="G322" s="1"/>
      <c r="H322" s="1"/>
      <c r="I322" s="1"/>
    </row>
    <row r="323">
      <c r="G323" s="1"/>
      <c r="H323" s="1"/>
      <c r="I323" s="1"/>
    </row>
    <row r="324">
      <c r="G324" s="1"/>
      <c r="H324" s="1"/>
      <c r="I324" s="1"/>
    </row>
    <row r="325">
      <c r="G325" s="1"/>
      <c r="H325" s="1"/>
      <c r="I325" s="1"/>
    </row>
    <row r="326">
      <c r="G326" s="1"/>
      <c r="H326" s="1"/>
      <c r="I326" s="1"/>
    </row>
    <row r="327">
      <c r="G327" s="1"/>
      <c r="H327" s="1"/>
      <c r="I327" s="1"/>
    </row>
    <row r="328">
      <c r="G328" s="1"/>
      <c r="H328" s="1"/>
      <c r="I328" s="1"/>
    </row>
    <row r="329">
      <c r="G329" s="1"/>
      <c r="H329" s="1"/>
      <c r="I329" s="1"/>
    </row>
    <row r="330">
      <c r="G330" s="1"/>
      <c r="H330" s="1"/>
      <c r="I330" s="1"/>
    </row>
    <row r="331">
      <c r="G331" s="1"/>
      <c r="H331" s="1"/>
      <c r="I331" s="1"/>
    </row>
    <row r="332">
      <c r="G332" s="1"/>
      <c r="H332" s="1"/>
      <c r="I332" s="1"/>
    </row>
    <row r="333">
      <c r="G333" s="1"/>
      <c r="H333" s="1"/>
      <c r="I333" s="1"/>
    </row>
    <row r="334">
      <c r="G334" s="1"/>
      <c r="H334" s="1"/>
      <c r="I334" s="1"/>
    </row>
    <row r="335">
      <c r="G335" s="1"/>
      <c r="H335" s="1"/>
      <c r="I335" s="1"/>
    </row>
    <row r="336">
      <c r="G336" s="1"/>
      <c r="H336" s="1"/>
      <c r="I336" s="1"/>
    </row>
    <row r="337">
      <c r="G337" s="1"/>
      <c r="H337" s="1"/>
      <c r="I337" s="1"/>
    </row>
    <row r="338">
      <c r="G338" s="1"/>
      <c r="H338" s="1"/>
      <c r="I338" s="1"/>
    </row>
    <row r="339">
      <c r="G339" s="1"/>
      <c r="H339" s="1"/>
      <c r="I339" s="1"/>
    </row>
    <row r="340">
      <c r="G340" s="1"/>
      <c r="H340" s="1"/>
      <c r="I340" s="1"/>
    </row>
    <row r="341">
      <c r="G341" s="1"/>
      <c r="H341" s="1"/>
      <c r="I341" s="1"/>
    </row>
    <row r="342">
      <c r="G342" s="1"/>
      <c r="H342" s="1"/>
      <c r="I342" s="1"/>
    </row>
    <row r="343">
      <c r="G343" s="1"/>
      <c r="H343" s="1"/>
      <c r="I343" s="1"/>
    </row>
    <row r="344">
      <c r="G344" s="1"/>
      <c r="H344" s="1"/>
      <c r="I344" s="1"/>
    </row>
    <row r="345">
      <c r="G345" s="1"/>
      <c r="H345" s="1"/>
      <c r="I345" s="1"/>
    </row>
    <row r="346">
      <c r="G346" s="1"/>
      <c r="H346" s="1"/>
      <c r="I346" s="1"/>
    </row>
    <row r="347">
      <c r="G347" s="1"/>
      <c r="H347" s="1"/>
      <c r="I347" s="1"/>
    </row>
    <row r="348">
      <c r="G348" s="1"/>
      <c r="H348" s="1"/>
      <c r="I348" s="1"/>
    </row>
    <row r="349">
      <c r="G349" s="1"/>
      <c r="H349" s="1"/>
      <c r="I349" s="1"/>
    </row>
    <row r="350">
      <c r="G350" s="1"/>
      <c r="H350" s="1"/>
      <c r="I350" s="1"/>
    </row>
    <row r="351">
      <c r="G351" s="1"/>
      <c r="H351" s="1"/>
      <c r="I351" s="1"/>
    </row>
    <row r="352">
      <c r="G352" s="1"/>
      <c r="H352" s="1"/>
      <c r="I352" s="1"/>
    </row>
    <row r="353">
      <c r="G353" s="1"/>
      <c r="H353" s="1"/>
      <c r="I353" s="1"/>
    </row>
    <row r="354">
      <c r="G354" s="1"/>
      <c r="H354" s="1"/>
      <c r="I354" s="1"/>
    </row>
    <row r="355">
      <c r="G355" s="1"/>
      <c r="H355" s="1"/>
      <c r="I355" s="1"/>
    </row>
    <row r="356">
      <c r="G356" s="1"/>
      <c r="H356" s="1"/>
      <c r="I356" s="1"/>
    </row>
    <row r="357">
      <c r="G357" s="1"/>
      <c r="H357" s="1"/>
      <c r="I357" s="1"/>
    </row>
    <row r="358">
      <c r="G358" s="1"/>
      <c r="H358" s="1"/>
      <c r="I358" s="1"/>
    </row>
    <row r="359">
      <c r="G359" s="1"/>
      <c r="H359" s="1"/>
      <c r="I359" s="1"/>
    </row>
    <row r="360">
      <c r="G360" s="1"/>
      <c r="H360" s="1"/>
      <c r="I360" s="1"/>
    </row>
    <row r="361">
      <c r="G361" s="1"/>
      <c r="H361" s="1"/>
      <c r="I361" s="1"/>
    </row>
    <row r="362">
      <c r="G362" s="1"/>
      <c r="H362" s="1"/>
      <c r="I362" s="1"/>
    </row>
    <row r="363">
      <c r="G363" s="1"/>
      <c r="H363" s="1"/>
      <c r="I363" s="1"/>
    </row>
    <row r="364">
      <c r="G364" s="1"/>
      <c r="H364" s="1"/>
      <c r="I364" s="1"/>
    </row>
    <row r="365">
      <c r="G365" s="1"/>
      <c r="H365" s="1"/>
      <c r="I365" s="1"/>
    </row>
    <row r="366">
      <c r="G366" s="1"/>
      <c r="H366" s="1"/>
      <c r="I366" s="1"/>
    </row>
    <row r="367">
      <c r="G367" s="1"/>
      <c r="H367" s="1"/>
      <c r="I367" s="1"/>
    </row>
    <row r="368">
      <c r="G368" s="1"/>
      <c r="H368" s="1"/>
      <c r="I368" s="1"/>
    </row>
    <row r="369">
      <c r="G369" s="1"/>
      <c r="H369" s="1"/>
      <c r="I369" s="1"/>
    </row>
    <row r="370">
      <c r="G370" s="1"/>
      <c r="H370" s="1"/>
      <c r="I370" s="1"/>
    </row>
    <row r="371">
      <c r="G371" s="1"/>
      <c r="H371" s="1"/>
      <c r="I371" s="1"/>
    </row>
    <row r="372">
      <c r="G372" s="1"/>
      <c r="H372" s="1"/>
      <c r="I372" s="1"/>
    </row>
    <row r="373">
      <c r="G373" s="1"/>
      <c r="H373" s="1"/>
      <c r="I373" s="1"/>
    </row>
    <row r="374">
      <c r="G374" s="1"/>
      <c r="H374" s="1"/>
      <c r="I374" s="1"/>
    </row>
    <row r="375">
      <c r="G375" s="1"/>
      <c r="H375" s="1"/>
      <c r="I375" s="1"/>
    </row>
    <row r="376">
      <c r="G376" s="1"/>
      <c r="H376" s="1"/>
      <c r="I376" s="1"/>
    </row>
    <row r="377">
      <c r="G377" s="1"/>
      <c r="H377" s="1"/>
      <c r="I377" s="1"/>
    </row>
    <row r="378">
      <c r="G378" s="1"/>
      <c r="H378" s="1"/>
      <c r="I378" s="1"/>
    </row>
    <row r="379">
      <c r="G379" s="1"/>
      <c r="H379" s="1"/>
      <c r="I379" s="1"/>
    </row>
    <row r="380">
      <c r="G380" s="1"/>
      <c r="H380" s="1"/>
      <c r="I380" s="1"/>
    </row>
    <row r="381">
      <c r="G381" s="1"/>
      <c r="H381" s="1"/>
      <c r="I381" s="1"/>
    </row>
    <row r="382">
      <c r="G382" s="1"/>
      <c r="H382" s="1"/>
      <c r="I382" s="1"/>
    </row>
    <row r="383">
      <c r="G383" s="1"/>
      <c r="H383" s="1"/>
      <c r="I383" s="1"/>
    </row>
    <row r="384">
      <c r="G384" s="1"/>
      <c r="H384" s="1"/>
      <c r="I384" s="1"/>
    </row>
    <row r="385">
      <c r="G385" s="1"/>
      <c r="H385" s="1"/>
      <c r="I385" s="1"/>
    </row>
    <row r="386">
      <c r="G386" s="1"/>
      <c r="H386" s="1"/>
      <c r="I386" s="1"/>
    </row>
    <row r="387">
      <c r="G387" s="1"/>
      <c r="H387" s="1"/>
      <c r="I387" s="1"/>
    </row>
    <row r="388">
      <c r="G388" s="1"/>
      <c r="H388" s="1"/>
      <c r="I388" s="1"/>
    </row>
    <row r="389">
      <c r="G389" s="1"/>
      <c r="H389" s="1"/>
      <c r="I389" s="1"/>
    </row>
    <row r="390">
      <c r="G390" s="1"/>
      <c r="H390" s="1"/>
      <c r="I390" s="1"/>
    </row>
    <row r="391">
      <c r="G391" s="1"/>
      <c r="H391" s="1"/>
      <c r="I391" s="1"/>
    </row>
    <row r="392">
      <c r="G392" s="1"/>
      <c r="H392" s="1"/>
      <c r="I392" s="1"/>
    </row>
    <row r="393">
      <c r="G393" s="1"/>
      <c r="H393" s="1"/>
      <c r="I393" s="1"/>
    </row>
    <row r="394">
      <c r="G394" s="1"/>
      <c r="H394" s="1"/>
      <c r="I394" s="1"/>
    </row>
    <row r="395">
      <c r="G395" s="1"/>
      <c r="H395" s="1"/>
      <c r="I395" s="1"/>
    </row>
    <row r="396">
      <c r="G396" s="1"/>
      <c r="H396" s="1"/>
      <c r="I396" s="1"/>
    </row>
    <row r="397">
      <c r="G397" s="1"/>
      <c r="H397" s="1"/>
      <c r="I397" s="1"/>
    </row>
    <row r="398">
      <c r="G398" s="1"/>
      <c r="H398" s="1"/>
      <c r="I398" s="1"/>
    </row>
    <row r="399">
      <c r="G399" s="1"/>
      <c r="H399" s="1"/>
      <c r="I399" s="1"/>
    </row>
    <row r="400">
      <c r="G400" s="1"/>
      <c r="H400" s="1"/>
      <c r="I400" s="1"/>
    </row>
    <row r="401">
      <c r="G401" s="1"/>
      <c r="H401" s="1"/>
      <c r="I401" s="1"/>
    </row>
    <row r="402">
      <c r="G402" s="1"/>
      <c r="H402" s="1"/>
      <c r="I402" s="1"/>
    </row>
    <row r="403">
      <c r="G403" s="1"/>
      <c r="H403" s="1"/>
      <c r="I403" s="1"/>
    </row>
    <row r="404">
      <c r="G404" s="1"/>
      <c r="H404" s="1"/>
      <c r="I404" s="1"/>
    </row>
    <row r="405">
      <c r="G405" s="1"/>
      <c r="H405" s="1"/>
      <c r="I405" s="1"/>
    </row>
    <row r="406">
      <c r="G406" s="1"/>
      <c r="H406" s="1"/>
      <c r="I406" s="1"/>
    </row>
    <row r="407">
      <c r="G407" s="1"/>
      <c r="H407" s="1"/>
      <c r="I407" s="1"/>
    </row>
    <row r="408">
      <c r="G408" s="1"/>
      <c r="H408" s="1"/>
      <c r="I408" s="1"/>
    </row>
    <row r="409">
      <c r="G409" s="1"/>
      <c r="H409" s="1"/>
      <c r="I409" s="1"/>
    </row>
    <row r="410">
      <c r="G410" s="1"/>
      <c r="H410" s="1"/>
      <c r="I410" s="1"/>
    </row>
    <row r="411">
      <c r="G411" s="1"/>
      <c r="H411" s="1"/>
      <c r="I411" s="1"/>
    </row>
    <row r="412">
      <c r="G412" s="1"/>
      <c r="H412" s="1"/>
      <c r="I412" s="1"/>
    </row>
    <row r="413">
      <c r="G413" s="1"/>
      <c r="H413" s="1"/>
      <c r="I413" s="1"/>
    </row>
    <row r="414">
      <c r="G414" s="1"/>
      <c r="H414" s="1"/>
      <c r="I414" s="1"/>
    </row>
    <row r="415">
      <c r="G415" s="1"/>
      <c r="H415" s="1"/>
      <c r="I415" s="1"/>
    </row>
    <row r="416">
      <c r="G416" s="1"/>
      <c r="H416" s="1"/>
      <c r="I416" s="1"/>
    </row>
    <row r="417">
      <c r="G417" s="1"/>
      <c r="H417" s="1"/>
      <c r="I417" s="1"/>
    </row>
    <row r="418">
      <c r="G418" s="1"/>
      <c r="H418" s="1"/>
      <c r="I418" s="1"/>
    </row>
    <row r="419">
      <c r="G419" s="1"/>
      <c r="H419" s="1"/>
      <c r="I419" s="1"/>
    </row>
    <row r="420">
      <c r="G420" s="1"/>
      <c r="H420" s="1"/>
      <c r="I420" s="1"/>
    </row>
    <row r="421">
      <c r="G421" s="1"/>
      <c r="H421" s="1"/>
      <c r="I421" s="1"/>
    </row>
    <row r="422">
      <c r="G422" s="1"/>
      <c r="H422" s="1"/>
      <c r="I422" s="1"/>
    </row>
    <row r="423">
      <c r="G423" s="1"/>
      <c r="H423" s="1"/>
      <c r="I423" s="1"/>
    </row>
    <row r="424">
      <c r="G424" s="1"/>
      <c r="H424" s="1"/>
      <c r="I424" s="1"/>
    </row>
    <row r="425">
      <c r="G425" s="1"/>
      <c r="H425" s="1"/>
      <c r="I425" s="1"/>
    </row>
    <row r="426">
      <c r="G426" s="1"/>
      <c r="H426" s="1"/>
      <c r="I426" s="1"/>
    </row>
    <row r="427">
      <c r="G427" s="1"/>
      <c r="H427" s="1"/>
      <c r="I427" s="1"/>
    </row>
    <row r="428">
      <c r="G428" s="1"/>
      <c r="H428" s="1"/>
      <c r="I428" s="1"/>
    </row>
    <row r="429">
      <c r="G429" s="1"/>
      <c r="H429" s="1"/>
      <c r="I429" s="1"/>
    </row>
    <row r="430">
      <c r="G430" s="1"/>
      <c r="H430" s="1"/>
      <c r="I430" s="1"/>
    </row>
    <row r="431">
      <c r="G431" s="1"/>
      <c r="H431" s="1"/>
      <c r="I431" s="1"/>
    </row>
    <row r="432">
      <c r="G432" s="1"/>
      <c r="H432" s="1"/>
      <c r="I432" s="1"/>
    </row>
    <row r="433">
      <c r="G433" s="1"/>
      <c r="H433" s="1"/>
      <c r="I433" s="1"/>
    </row>
    <row r="434">
      <c r="G434" s="1"/>
      <c r="H434" s="1"/>
      <c r="I434" s="1"/>
    </row>
    <row r="435">
      <c r="G435" s="1"/>
      <c r="H435" s="1"/>
      <c r="I435" s="1"/>
    </row>
    <row r="436">
      <c r="G436" s="1"/>
      <c r="H436" s="1"/>
      <c r="I436" s="1"/>
    </row>
    <row r="437">
      <c r="G437" s="1"/>
      <c r="H437" s="1"/>
      <c r="I437" s="1"/>
    </row>
    <row r="438">
      <c r="G438" s="1"/>
      <c r="H438" s="1"/>
      <c r="I438" s="1"/>
    </row>
    <row r="439">
      <c r="G439" s="1"/>
      <c r="H439" s="1"/>
      <c r="I439" s="1"/>
    </row>
    <row r="440">
      <c r="G440" s="1"/>
      <c r="H440" s="1"/>
      <c r="I440" s="1"/>
    </row>
    <row r="441">
      <c r="G441" s="1"/>
      <c r="H441" s="1"/>
      <c r="I441" s="1"/>
    </row>
    <row r="442">
      <c r="G442" s="1"/>
      <c r="H442" s="1"/>
      <c r="I442" s="1"/>
    </row>
    <row r="443">
      <c r="G443" s="1"/>
      <c r="H443" s="1"/>
      <c r="I443" s="1"/>
    </row>
    <row r="444">
      <c r="G444" s="1"/>
      <c r="H444" s="1"/>
      <c r="I444" s="1"/>
    </row>
    <row r="445">
      <c r="G445" s="1"/>
      <c r="H445" s="1"/>
      <c r="I445" s="1"/>
    </row>
    <row r="446">
      <c r="G446" s="1"/>
      <c r="H446" s="1"/>
      <c r="I446" s="1"/>
    </row>
    <row r="447">
      <c r="G447" s="1"/>
      <c r="H447" s="1"/>
      <c r="I447" s="1"/>
    </row>
    <row r="448">
      <c r="G448" s="1"/>
      <c r="H448" s="1"/>
      <c r="I448" s="1"/>
    </row>
    <row r="449">
      <c r="G449" s="1"/>
      <c r="H449" s="1"/>
      <c r="I449" s="1"/>
    </row>
    <row r="450">
      <c r="G450" s="1"/>
      <c r="H450" s="1"/>
      <c r="I450" s="1"/>
    </row>
    <row r="451">
      <c r="G451" s="1"/>
      <c r="H451" s="1"/>
      <c r="I451" s="1"/>
    </row>
    <row r="452">
      <c r="G452" s="1"/>
      <c r="H452" s="1"/>
      <c r="I452" s="1"/>
    </row>
    <row r="453">
      <c r="G453" s="1"/>
      <c r="H453" s="1"/>
      <c r="I453" s="1"/>
    </row>
    <row r="454">
      <c r="G454" s="1"/>
      <c r="H454" s="1"/>
      <c r="I454" s="1"/>
    </row>
    <row r="455">
      <c r="G455" s="1"/>
      <c r="H455" s="1"/>
      <c r="I455" s="1"/>
    </row>
    <row r="456">
      <c r="G456" s="1"/>
      <c r="H456" s="1"/>
      <c r="I456" s="1"/>
    </row>
    <row r="457">
      <c r="G457" s="1"/>
      <c r="H457" s="1"/>
      <c r="I457" s="1"/>
    </row>
    <row r="458">
      <c r="G458" s="1"/>
      <c r="H458" s="1"/>
      <c r="I458" s="1"/>
    </row>
    <row r="459">
      <c r="G459" s="1"/>
      <c r="H459" s="1"/>
      <c r="I459" s="1"/>
    </row>
    <row r="460">
      <c r="G460" s="1"/>
      <c r="H460" s="1"/>
      <c r="I460" s="1"/>
    </row>
    <row r="461">
      <c r="G461" s="1"/>
      <c r="H461" s="1"/>
      <c r="I461" s="1"/>
    </row>
    <row r="462">
      <c r="G462" s="1"/>
      <c r="H462" s="1"/>
      <c r="I462" s="1"/>
    </row>
    <row r="463">
      <c r="G463" s="1"/>
      <c r="H463" s="1"/>
      <c r="I463" s="1"/>
    </row>
    <row r="464">
      <c r="G464" s="1"/>
      <c r="H464" s="1"/>
      <c r="I464" s="1"/>
    </row>
    <row r="465">
      <c r="G465" s="1"/>
      <c r="H465" s="1"/>
      <c r="I465" s="1"/>
    </row>
    <row r="466">
      <c r="G466" s="1"/>
      <c r="H466" s="1"/>
      <c r="I466" s="1"/>
    </row>
    <row r="467">
      <c r="G467" s="1"/>
      <c r="H467" s="1"/>
      <c r="I467" s="1"/>
    </row>
    <row r="468">
      <c r="G468" s="1"/>
      <c r="H468" s="1"/>
      <c r="I468" s="1"/>
    </row>
    <row r="469">
      <c r="G469" s="1"/>
      <c r="H469" s="1"/>
      <c r="I469" s="1"/>
    </row>
    <row r="470">
      <c r="G470" s="1"/>
      <c r="H470" s="1"/>
      <c r="I470" s="1"/>
    </row>
    <row r="471">
      <c r="G471" s="1"/>
      <c r="H471" s="1"/>
      <c r="I471" s="1"/>
    </row>
    <row r="472">
      <c r="G472" s="1"/>
      <c r="H472" s="1"/>
      <c r="I472" s="1"/>
    </row>
    <row r="473">
      <c r="G473" s="1"/>
      <c r="H473" s="1"/>
      <c r="I473" s="1"/>
    </row>
    <row r="474">
      <c r="G474" s="1"/>
      <c r="H474" s="1"/>
      <c r="I474" s="1"/>
    </row>
    <row r="475">
      <c r="G475" s="1"/>
      <c r="H475" s="1"/>
      <c r="I475" s="1"/>
    </row>
    <row r="476">
      <c r="G476" s="1"/>
      <c r="H476" s="1"/>
      <c r="I476" s="1"/>
    </row>
    <row r="477">
      <c r="G477" s="1"/>
      <c r="H477" s="1"/>
      <c r="I477" s="1"/>
    </row>
    <row r="478">
      <c r="G478" s="1"/>
      <c r="H478" s="1"/>
      <c r="I478" s="1"/>
    </row>
    <row r="479">
      <c r="G479" s="1"/>
      <c r="H479" s="1"/>
      <c r="I479" s="1"/>
    </row>
    <row r="480">
      <c r="G480" s="1"/>
      <c r="H480" s="1"/>
      <c r="I480" s="1"/>
    </row>
    <row r="481">
      <c r="G481" s="1"/>
      <c r="H481" s="1"/>
      <c r="I481" s="1"/>
    </row>
    <row r="482">
      <c r="G482" s="1"/>
      <c r="H482" s="1"/>
      <c r="I482" s="1"/>
    </row>
    <row r="483">
      <c r="G483" s="1"/>
      <c r="H483" s="1"/>
      <c r="I483" s="1"/>
    </row>
    <row r="484">
      <c r="G484" s="1"/>
      <c r="H484" s="1"/>
      <c r="I484" s="1"/>
    </row>
    <row r="485">
      <c r="G485" s="1"/>
      <c r="H485" s="1"/>
      <c r="I485" s="1"/>
    </row>
    <row r="486">
      <c r="G486" s="1"/>
      <c r="H486" s="1"/>
      <c r="I486" s="1"/>
    </row>
    <row r="487">
      <c r="G487" s="1"/>
      <c r="H487" s="1"/>
      <c r="I487" s="1"/>
    </row>
    <row r="488">
      <c r="G488" s="1"/>
      <c r="H488" s="1"/>
      <c r="I488" s="1"/>
    </row>
    <row r="489">
      <c r="G489" s="1"/>
      <c r="H489" s="1"/>
      <c r="I489" s="1"/>
    </row>
    <row r="490">
      <c r="G490" s="1"/>
      <c r="H490" s="1"/>
      <c r="I490" s="1"/>
    </row>
    <row r="491">
      <c r="G491" s="1"/>
      <c r="H491" s="1"/>
      <c r="I491" s="1"/>
    </row>
    <row r="492">
      <c r="G492" s="1"/>
      <c r="H492" s="1"/>
      <c r="I492" s="1"/>
    </row>
    <row r="493">
      <c r="G493" s="1"/>
      <c r="H493" s="1"/>
      <c r="I493" s="1"/>
    </row>
    <row r="494">
      <c r="G494" s="1"/>
      <c r="H494" s="1"/>
      <c r="I494" s="1"/>
    </row>
    <row r="495">
      <c r="G495" s="1"/>
      <c r="H495" s="1"/>
      <c r="I495" s="1"/>
    </row>
    <row r="496">
      <c r="G496" s="1"/>
      <c r="H496" s="1"/>
      <c r="I496" s="1"/>
    </row>
    <row r="497">
      <c r="G497" s="1"/>
      <c r="H497" s="1"/>
      <c r="I497" s="1"/>
    </row>
    <row r="498">
      <c r="G498" s="1"/>
      <c r="H498" s="1"/>
      <c r="I498" s="1"/>
    </row>
    <row r="499">
      <c r="G499" s="1"/>
      <c r="H499" s="1"/>
      <c r="I499" s="1"/>
    </row>
    <row r="500">
      <c r="G500" s="1"/>
      <c r="H500" s="1"/>
      <c r="I500" s="1"/>
    </row>
    <row r="501">
      <c r="G501" s="1"/>
      <c r="H501" s="1"/>
      <c r="I501" s="1"/>
    </row>
    <row r="502">
      <c r="G502" s="1"/>
      <c r="H502" s="1"/>
      <c r="I502" s="1"/>
    </row>
    <row r="503">
      <c r="G503" s="1"/>
      <c r="H503" s="1"/>
      <c r="I503" s="1"/>
    </row>
    <row r="504">
      <c r="G504" s="1"/>
      <c r="H504" s="1"/>
      <c r="I504" s="1"/>
    </row>
    <row r="505">
      <c r="G505" s="1"/>
      <c r="H505" s="1"/>
      <c r="I505" s="1"/>
    </row>
    <row r="506">
      <c r="G506" s="1"/>
      <c r="H506" s="1"/>
      <c r="I506" s="1"/>
    </row>
    <row r="507">
      <c r="G507" s="1"/>
      <c r="H507" s="1"/>
      <c r="I507" s="1"/>
    </row>
    <row r="508">
      <c r="G508" s="1"/>
      <c r="H508" s="1"/>
      <c r="I508" s="1"/>
    </row>
    <row r="509">
      <c r="G509" s="1"/>
      <c r="H509" s="1"/>
      <c r="I509" s="1"/>
    </row>
    <row r="510">
      <c r="G510" s="1"/>
      <c r="H510" s="1"/>
      <c r="I510" s="1"/>
    </row>
    <row r="511">
      <c r="G511" s="1"/>
      <c r="H511" s="1"/>
      <c r="I511" s="1"/>
    </row>
    <row r="512">
      <c r="G512" s="1"/>
      <c r="H512" s="1"/>
      <c r="I512" s="1"/>
    </row>
    <row r="513">
      <c r="G513" s="1"/>
      <c r="H513" s="1"/>
      <c r="I513" s="1"/>
    </row>
    <row r="514">
      <c r="G514" s="1"/>
      <c r="H514" s="1"/>
      <c r="I514" s="1"/>
    </row>
    <row r="515">
      <c r="G515" s="1"/>
      <c r="H515" s="1"/>
      <c r="I515" s="1"/>
    </row>
    <row r="516">
      <c r="G516" s="1"/>
      <c r="H516" s="1"/>
      <c r="I516" s="1"/>
    </row>
    <row r="517">
      <c r="G517" s="1"/>
      <c r="H517" s="1"/>
      <c r="I517" s="1"/>
    </row>
    <row r="518">
      <c r="G518" s="1"/>
      <c r="H518" s="1"/>
      <c r="I518" s="1"/>
    </row>
    <row r="519">
      <c r="G519" s="1"/>
      <c r="H519" s="1"/>
      <c r="I519" s="1"/>
    </row>
    <row r="520">
      <c r="G520" s="1"/>
      <c r="H520" s="1"/>
      <c r="I520" s="1"/>
    </row>
    <row r="521">
      <c r="G521" s="1"/>
      <c r="H521" s="1"/>
      <c r="I521" s="1"/>
    </row>
    <row r="522">
      <c r="G522" s="1"/>
      <c r="H522" s="1"/>
      <c r="I522" s="1"/>
    </row>
    <row r="523">
      <c r="G523" s="1"/>
      <c r="H523" s="1"/>
      <c r="I523" s="1"/>
    </row>
    <row r="524">
      <c r="G524" s="1"/>
      <c r="H524" s="1"/>
      <c r="I524" s="1"/>
    </row>
    <row r="525">
      <c r="G525" s="1"/>
      <c r="H525" s="1"/>
      <c r="I525" s="1"/>
    </row>
    <row r="526">
      <c r="G526" s="1"/>
      <c r="H526" s="1"/>
      <c r="I526" s="1"/>
    </row>
    <row r="527">
      <c r="G527" s="1"/>
      <c r="H527" s="1"/>
      <c r="I527" s="1"/>
    </row>
    <row r="528">
      <c r="G528" s="1"/>
      <c r="H528" s="1"/>
      <c r="I528" s="1"/>
    </row>
    <row r="529">
      <c r="G529" s="1"/>
      <c r="H529" s="1"/>
      <c r="I529" s="1"/>
    </row>
    <row r="530">
      <c r="G530" s="1"/>
      <c r="H530" s="1"/>
      <c r="I530" s="1"/>
    </row>
    <row r="531">
      <c r="G531" s="1"/>
      <c r="H531" s="1"/>
      <c r="I531" s="1"/>
    </row>
    <row r="532">
      <c r="G532" s="1"/>
      <c r="H532" s="1"/>
      <c r="I532" s="1"/>
    </row>
    <row r="533">
      <c r="G533" s="1"/>
      <c r="H533" s="1"/>
      <c r="I533" s="1"/>
    </row>
    <row r="534">
      <c r="G534" s="1"/>
      <c r="H534" s="1"/>
      <c r="I534" s="1"/>
    </row>
    <row r="535">
      <c r="G535" s="1"/>
      <c r="H535" s="1"/>
      <c r="I535" s="1"/>
    </row>
    <row r="536">
      <c r="G536" s="1"/>
      <c r="H536" s="1"/>
      <c r="I536" s="1"/>
    </row>
    <row r="537">
      <c r="G537" s="1"/>
      <c r="H537" s="1"/>
      <c r="I537" s="1"/>
    </row>
    <row r="538">
      <c r="G538" s="1"/>
      <c r="H538" s="1"/>
      <c r="I538" s="1"/>
    </row>
    <row r="539">
      <c r="G539" s="1"/>
      <c r="H539" s="1"/>
      <c r="I539" s="1"/>
    </row>
    <row r="540">
      <c r="G540" s="1"/>
      <c r="H540" s="1"/>
      <c r="I540" s="1"/>
    </row>
    <row r="541">
      <c r="G541" s="1"/>
      <c r="H541" s="1"/>
      <c r="I541" s="1"/>
    </row>
    <row r="542">
      <c r="G542" s="1"/>
      <c r="H542" s="1"/>
      <c r="I542" s="1"/>
    </row>
    <row r="543">
      <c r="G543" s="1"/>
      <c r="H543" s="1"/>
      <c r="I543" s="1"/>
    </row>
    <row r="544">
      <c r="G544" s="1"/>
      <c r="H544" s="1"/>
      <c r="I544" s="1"/>
    </row>
    <row r="545">
      <c r="G545" s="1"/>
      <c r="H545" s="1"/>
      <c r="I545" s="1"/>
    </row>
    <row r="546">
      <c r="G546" s="1"/>
      <c r="H546" s="1"/>
      <c r="I546" s="1"/>
    </row>
    <row r="547">
      <c r="G547" s="1"/>
      <c r="H547" s="1"/>
      <c r="I547" s="1"/>
    </row>
    <row r="548">
      <c r="G548" s="1"/>
      <c r="H548" s="1"/>
      <c r="I548" s="1"/>
    </row>
    <row r="549">
      <c r="G549" s="1"/>
      <c r="H549" s="1"/>
      <c r="I549" s="1"/>
    </row>
    <row r="550">
      <c r="G550" s="1"/>
      <c r="H550" s="1"/>
      <c r="I550" s="1"/>
    </row>
    <row r="551">
      <c r="G551" s="1"/>
      <c r="H551" s="1"/>
      <c r="I551" s="1"/>
    </row>
    <row r="552">
      <c r="G552" s="1"/>
      <c r="H552" s="1"/>
      <c r="I552" s="1"/>
    </row>
    <row r="553">
      <c r="G553" s="1"/>
      <c r="H553" s="1"/>
      <c r="I553" s="1"/>
    </row>
    <row r="554">
      <c r="G554" s="1"/>
      <c r="H554" s="1"/>
      <c r="I554" s="1"/>
    </row>
    <row r="555">
      <c r="G555" s="1"/>
      <c r="H555" s="1"/>
      <c r="I555" s="1"/>
    </row>
    <row r="556">
      <c r="G556" s="1"/>
      <c r="H556" s="1"/>
      <c r="I556" s="1"/>
    </row>
    <row r="557">
      <c r="G557" s="1"/>
      <c r="H557" s="1"/>
      <c r="I557" s="1"/>
    </row>
    <row r="558">
      <c r="G558" s="1"/>
      <c r="H558" s="1"/>
      <c r="I558" s="1"/>
    </row>
    <row r="559">
      <c r="G559" s="1"/>
      <c r="H559" s="1"/>
      <c r="I559" s="1"/>
    </row>
    <row r="560">
      <c r="G560" s="1"/>
      <c r="H560" s="1"/>
      <c r="I560" s="1"/>
    </row>
    <row r="561">
      <c r="G561" s="1"/>
      <c r="H561" s="1"/>
      <c r="I561" s="1"/>
    </row>
    <row r="562">
      <c r="G562" s="1"/>
      <c r="H562" s="1"/>
      <c r="I562" s="1"/>
    </row>
    <row r="563">
      <c r="G563" s="1"/>
      <c r="H563" s="1"/>
      <c r="I563" s="1"/>
    </row>
    <row r="564">
      <c r="G564" s="1"/>
      <c r="H564" s="1"/>
      <c r="I564" s="1"/>
    </row>
    <row r="565">
      <c r="G565" s="1"/>
      <c r="H565" s="1"/>
      <c r="I565" s="1"/>
    </row>
    <row r="566">
      <c r="G566" s="1"/>
      <c r="H566" s="1"/>
      <c r="I566" s="1"/>
    </row>
    <row r="567">
      <c r="G567" s="1"/>
      <c r="H567" s="1"/>
      <c r="I567" s="1"/>
    </row>
    <row r="568">
      <c r="G568" s="1"/>
      <c r="H568" s="1"/>
      <c r="I568" s="1"/>
    </row>
    <row r="569">
      <c r="G569" s="1"/>
      <c r="H569" s="1"/>
      <c r="I569" s="1"/>
    </row>
    <row r="570">
      <c r="G570" s="1"/>
      <c r="H570" s="1"/>
      <c r="I570" s="1"/>
    </row>
    <row r="571">
      <c r="G571" s="1"/>
      <c r="H571" s="1"/>
      <c r="I571" s="1"/>
    </row>
    <row r="572">
      <c r="G572" s="1"/>
      <c r="H572" s="1"/>
      <c r="I572" s="1"/>
    </row>
    <row r="573">
      <c r="G573" s="1"/>
      <c r="H573" s="1"/>
      <c r="I573" s="1"/>
    </row>
    <row r="574">
      <c r="G574" s="1"/>
      <c r="H574" s="1"/>
      <c r="I574" s="1"/>
    </row>
    <row r="575">
      <c r="G575" s="1"/>
      <c r="H575" s="1"/>
      <c r="I575" s="1"/>
    </row>
    <row r="576">
      <c r="G576" s="1"/>
      <c r="H576" s="1"/>
      <c r="I576" s="1"/>
    </row>
    <row r="577">
      <c r="G577" s="1"/>
      <c r="H577" s="1"/>
      <c r="I577" s="1"/>
    </row>
    <row r="578">
      <c r="G578" s="1"/>
      <c r="H578" s="1"/>
      <c r="I578" s="1"/>
    </row>
    <row r="579">
      <c r="G579" s="1"/>
      <c r="H579" s="1"/>
      <c r="I579" s="1"/>
    </row>
    <row r="580">
      <c r="G580" s="1"/>
      <c r="H580" s="1"/>
      <c r="I580" s="1"/>
    </row>
    <row r="581">
      <c r="G581" s="1"/>
      <c r="H581" s="1"/>
      <c r="I581" s="1"/>
    </row>
    <row r="582">
      <c r="G582" s="1"/>
      <c r="H582" s="1"/>
      <c r="I582" s="1"/>
    </row>
    <row r="583">
      <c r="G583" s="1"/>
      <c r="H583" s="1"/>
      <c r="I583" s="1"/>
    </row>
    <row r="584">
      <c r="G584" s="1"/>
      <c r="H584" s="1"/>
      <c r="I584" s="1"/>
    </row>
    <row r="585">
      <c r="G585" s="1"/>
      <c r="H585" s="1"/>
      <c r="I585" s="1"/>
    </row>
    <row r="586">
      <c r="G586" s="1"/>
      <c r="H586" s="1"/>
      <c r="I586" s="1"/>
    </row>
    <row r="587">
      <c r="G587" s="1"/>
      <c r="H587" s="1"/>
      <c r="I587" s="1"/>
    </row>
    <row r="588">
      <c r="G588" s="1"/>
      <c r="H588" s="1"/>
      <c r="I588" s="1"/>
    </row>
    <row r="589">
      <c r="G589" s="1"/>
      <c r="H589" s="1"/>
      <c r="I589" s="1"/>
    </row>
    <row r="590">
      <c r="G590" s="1"/>
      <c r="H590" s="1"/>
      <c r="I590" s="1"/>
    </row>
    <row r="591">
      <c r="G591" s="1"/>
      <c r="H591" s="1"/>
      <c r="I591" s="1"/>
    </row>
    <row r="592">
      <c r="G592" s="1"/>
      <c r="H592" s="1"/>
      <c r="I592" s="1"/>
    </row>
    <row r="593">
      <c r="G593" s="1"/>
      <c r="H593" s="1"/>
      <c r="I593" s="1"/>
    </row>
    <row r="594">
      <c r="G594" s="1"/>
      <c r="H594" s="1"/>
      <c r="I594" s="1"/>
    </row>
    <row r="595">
      <c r="G595" s="1"/>
      <c r="H595" s="1"/>
      <c r="I595" s="1"/>
    </row>
    <row r="596">
      <c r="G596" s="1"/>
      <c r="H596" s="1"/>
      <c r="I596" s="1"/>
    </row>
    <row r="597">
      <c r="G597" s="1"/>
      <c r="H597" s="1"/>
      <c r="I597" s="1"/>
    </row>
    <row r="598">
      <c r="G598" s="1"/>
      <c r="H598" s="1"/>
      <c r="I598" s="1"/>
    </row>
    <row r="599">
      <c r="G599" s="1"/>
      <c r="H599" s="1"/>
      <c r="I599" s="1"/>
    </row>
    <row r="600">
      <c r="G600" s="1"/>
      <c r="H600" s="1"/>
      <c r="I600" s="1"/>
    </row>
    <row r="601">
      <c r="G601" s="1"/>
      <c r="H601" s="1"/>
      <c r="I601" s="1"/>
    </row>
    <row r="602">
      <c r="G602" s="1"/>
      <c r="H602" s="1"/>
      <c r="I602" s="1"/>
    </row>
    <row r="603">
      <c r="G603" s="1"/>
      <c r="H603" s="1"/>
      <c r="I603" s="1"/>
    </row>
    <row r="604">
      <c r="G604" s="1"/>
      <c r="H604" s="1"/>
      <c r="I604" s="1"/>
    </row>
    <row r="605">
      <c r="G605" s="1"/>
      <c r="H605" s="1"/>
      <c r="I605" s="1"/>
    </row>
    <row r="606">
      <c r="G606" s="1"/>
      <c r="H606" s="1"/>
      <c r="I606" s="1"/>
    </row>
    <row r="607">
      <c r="G607" s="1"/>
      <c r="H607" s="1"/>
      <c r="I607" s="1"/>
    </row>
    <row r="608">
      <c r="G608" s="1"/>
      <c r="H608" s="1"/>
      <c r="I608" s="1"/>
    </row>
    <row r="609">
      <c r="G609" s="1"/>
      <c r="H609" s="1"/>
      <c r="I609" s="1"/>
    </row>
    <row r="610">
      <c r="G610" s="1"/>
      <c r="H610" s="1"/>
      <c r="I610" s="1"/>
    </row>
    <row r="611">
      <c r="G611" s="1"/>
      <c r="H611" s="1"/>
      <c r="I611" s="1"/>
    </row>
    <row r="612">
      <c r="G612" s="1"/>
      <c r="H612" s="1"/>
      <c r="I612" s="1"/>
    </row>
    <row r="613">
      <c r="G613" s="1"/>
      <c r="H613" s="1"/>
      <c r="I613" s="1"/>
    </row>
    <row r="614">
      <c r="G614" s="1"/>
      <c r="H614" s="1"/>
      <c r="I614" s="1"/>
    </row>
    <row r="615">
      <c r="G615" s="1"/>
      <c r="H615" s="1"/>
      <c r="I615" s="1"/>
    </row>
    <row r="616">
      <c r="G616" s="1"/>
      <c r="H616" s="1"/>
      <c r="I616" s="1"/>
    </row>
    <row r="617">
      <c r="G617" s="1"/>
      <c r="H617" s="1"/>
      <c r="I617" s="1"/>
    </row>
    <row r="618">
      <c r="G618" s="1"/>
      <c r="H618" s="1"/>
      <c r="I618" s="1"/>
    </row>
    <row r="619">
      <c r="G619" s="1"/>
      <c r="H619" s="1"/>
      <c r="I619" s="1"/>
    </row>
    <row r="620">
      <c r="G620" s="1"/>
      <c r="H620" s="1"/>
      <c r="I620" s="1"/>
    </row>
    <row r="621">
      <c r="G621" s="1"/>
      <c r="H621" s="1"/>
      <c r="I621" s="1"/>
    </row>
    <row r="622">
      <c r="G622" s="1"/>
      <c r="H622" s="1"/>
      <c r="I622" s="1"/>
    </row>
    <row r="623">
      <c r="G623" s="1"/>
      <c r="H623" s="1"/>
      <c r="I623" s="1"/>
    </row>
    <row r="624">
      <c r="G624" s="1"/>
      <c r="H624" s="1"/>
      <c r="I624" s="1"/>
    </row>
    <row r="625">
      <c r="G625" s="1"/>
      <c r="H625" s="1"/>
      <c r="I625" s="1"/>
    </row>
    <row r="626">
      <c r="G626" s="1"/>
      <c r="H626" s="1"/>
      <c r="I626" s="1"/>
    </row>
    <row r="627">
      <c r="G627" s="1"/>
      <c r="H627" s="1"/>
      <c r="I627" s="1"/>
    </row>
    <row r="628">
      <c r="G628" s="1"/>
      <c r="H628" s="1"/>
      <c r="I628" s="1"/>
    </row>
    <row r="629">
      <c r="G629" s="1"/>
      <c r="H629" s="1"/>
      <c r="I629" s="1"/>
    </row>
    <row r="630">
      <c r="G630" s="1"/>
      <c r="H630" s="1"/>
      <c r="I630" s="1"/>
    </row>
    <row r="631">
      <c r="G631" s="1"/>
      <c r="H631" s="1"/>
      <c r="I631" s="1"/>
    </row>
    <row r="632">
      <c r="G632" s="1"/>
      <c r="H632" s="1"/>
      <c r="I632" s="1"/>
    </row>
    <row r="633">
      <c r="G633" s="1"/>
      <c r="H633" s="1"/>
      <c r="I633" s="1"/>
    </row>
    <row r="634">
      <c r="G634" s="1"/>
      <c r="H634" s="1"/>
      <c r="I634" s="1"/>
    </row>
    <row r="635">
      <c r="G635" s="1"/>
      <c r="H635" s="1"/>
      <c r="I635" s="1"/>
    </row>
    <row r="636">
      <c r="G636" s="1"/>
      <c r="H636" s="1"/>
      <c r="I636" s="1"/>
    </row>
    <row r="637">
      <c r="G637" s="1"/>
      <c r="H637" s="1"/>
      <c r="I637" s="1"/>
    </row>
    <row r="638">
      <c r="G638" s="1"/>
      <c r="H638" s="1"/>
      <c r="I638" s="1"/>
    </row>
    <row r="639">
      <c r="G639" s="1"/>
      <c r="H639" s="1"/>
      <c r="I639" s="1"/>
    </row>
    <row r="640">
      <c r="G640" s="1"/>
      <c r="H640" s="1"/>
      <c r="I640" s="1"/>
    </row>
    <row r="641">
      <c r="G641" s="1"/>
      <c r="H641" s="1"/>
      <c r="I641" s="1"/>
    </row>
    <row r="642">
      <c r="G642" s="1"/>
      <c r="H642" s="1"/>
      <c r="I642" s="1"/>
    </row>
    <row r="643">
      <c r="G643" s="1"/>
      <c r="H643" s="1"/>
      <c r="I643" s="1"/>
    </row>
    <row r="644">
      <c r="G644" s="1"/>
      <c r="H644" s="1"/>
      <c r="I644" s="1"/>
    </row>
    <row r="645">
      <c r="G645" s="1"/>
      <c r="H645" s="1"/>
      <c r="I645" s="1"/>
    </row>
    <row r="646">
      <c r="G646" s="1"/>
      <c r="H646" s="1"/>
      <c r="I646" s="1"/>
    </row>
    <row r="647">
      <c r="G647" s="1"/>
      <c r="H647" s="1"/>
      <c r="I647" s="1"/>
    </row>
    <row r="648">
      <c r="G648" s="1"/>
      <c r="H648" s="1"/>
      <c r="I648" s="1"/>
    </row>
    <row r="649">
      <c r="G649" s="1"/>
      <c r="H649" s="1"/>
      <c r="I649" s="1"/>
    </row>
    <row r="650">
      <c r="G650" s="1"/>
      <c r="H650" s="1"/>
      <c r="I650" s="1"/>
    </row>
    <row r="651">
      <c r="G651" s="1"/>
      <c r="H651" s="1"/>
      <c r="I651" s="1"/>
    </row>
    <row r="652">
      <c r="G652" s="1"/>
      <c r="H652" s="1"/>
      <c r="I652" s="1"/>
    </row>
    <row r="653">
      <c r="G653" s="1"/>
      <c r="H653" s="1"/>
      <c r="I653" s="1"/>
    </row>
    <row r="654">
      <c r="G654" s="1"/>
      <c r="H654" s="1"/>
      <c r="I654" s="1"/>
    </row>
    <row r="655">
      <c r="G655" s="1"/>
      <c r="H655" s="1"/>
      <c r="I655" s="1"/>
    </row>
    <row r="656">
      <c r="G656" s="1"/>
      <c r="H656" s="1"/>
      <c r="I656" s="1"/>
    </row>
    <row r="657">
      <c r="G657" s="1"/>
      <c r="H657" s="1"/>
      <c r="I657" s="1"/>
    </row>
    <row r="658">
      <c r="G658" s="1"/>
      <c r="H658" s="1"/>
      <c r="I658" s="1"/>
    </row>
    <row r="659">
      <c r="G659" s="1"/>
      <c r="H659" s="1"/>
      <c r="I659" s="1"/>
    </row>
    <row r="660">
      <c r="G660" s="1"/>
      <c r="H660" s="1"/>
      <c r="I660" s="1"/>
    </row>
    <row r="661">
      <c r="G661" s="1"/>
      <c r="H661" s="1"/>
      <c r="I661" s="1"/>
    </row>
    <row r="662">
      <c r="G662" s="1"/>
      <c r="H662" s="1"/>
      <c r="I662" s="1"/>
    </row>
    <row r="663">
      <c r="G663" s="1"/>
      <c r="H663" s="1"/>
      <c r="I663" s="1"/>
    </row>
    <row r="664">
      <c r="G664" s="1"/>
      <c r="H664" s="1"/>
      <c r="I664" s="1"/>
    </row>
    <row r="665">
      <c r="G665" s="1"/>
      <c r="H665" s="1"/>
      <c r="I665" s="1"/>
    </row>
    <row r="666">
      <c r="G666" s="1"/>
      <c r="H666" s="1"/>
      <c r="I666" s="1"/>
    </row>
    <row r="667">
      <c r="G667" s="1"/>
      <c r="H667" s="1"/>
      <c r="I667" s="1"/>
    </row>
    <row r="668">
      <c r="G668" s="1"/>
      <c r="H668" s="1"/>
      <c r="I668" s="1"/>
    </row>
    <row r="669">
      <c r="G669" s="1"/>
      <c r="H669" s="1"/>
      <c r="I669" s="1"/>
    </row>
    <row r="670">
      <c r="G670" s="1"/>
      <c r="H670" s="1"/>
      <c r="I670" s="1"/>
    </row>
    <row r="671">
      <c r="G671" s="1"/>
      <c r="H671" s="1"/>
      <c r="I671" s="1"/>
    </row>
    <row r="672">
      <c r="G672" s="1"/>
      <c r="H672" s="1"/>
      <c r="I672" s="1"/>
    </row>
    <row r="673">
      <c r="G673" s="1"/>
      <c r="H673" s="1"/>
      <c r="I673" s="1"/>
    </row>
    <row r="674">
      <c r="G674" s="1"/>
      <c r="H674" s="1"/>
      <c r="I674" s="1"/>
    </row>
    <row r="675">
      <c r="G675" s="1"/>
      <c r="H675" s="1"/>
      <c r="I675" s="1"/>
    </row>
    <row r="676">
      <c r="G676" s="1"/>
      <c r="H676" s="1"/>
      <c r="I676" s="1"/>
    </row>
    <row r="677">
      <c r="G677" s="1"/>
      <c r="H677" s="1"/>
      <c r="I677" s="1"/>
    </row>
    <row r="678">
      <c r="G678" s="1"/>
      <c r="H678" s="1"/>
      <c r="I678" s="1"/>
    </row>
    <row r="679">
      <c r="G679" s="1"/>
      <c r="H679" s="1"/>
      <c r="I679" s="1"/>
    </row>
    <row r="680">
      <c r="G680" s="1"/>
      <c r="H680" s="1"/>
      <c r="I680" s="1"/>
    </row>
    <row r="681">
      <c r="G681" s="1"/>
      <c r="H681" s="1"/>
      <c r="I681" s="1"/>
    </row>
    <row r="682">
      <c r="G682" s="1"/>
      <c r="H682" s="1"/>
      <c r="I682" s="1"/>
    </row>
    <row r="683">
      <c r="G683" s="1"/>
      <c r="H683" s="1"/>
      <c r="I683" s="1"/>
    </row>
    <row r="684">
      <c r="G684" s="1"/>
      <c r="H684" s="1"/>
      <c r="I684" s="1"/>
    </row>
    <row r="685">
      <c r="G685" s="1"/>
      <c r="H685" s="1"/>
      <c r="I685" s="1"/>
    </row>
    <row r="686">
      <c r="G686" s="1"/>
      <c r="H686" s="1"/>
      <c r="I686" s="1"/>
    </row>
    <row r="687">
      <c r="G687" s="1"/>
      <c r="H687" s="1"/>
      <c r="I687" s="1"/>
    </row>
    <row r="688">
      <c r="G688" s="1"/>
      <c r="H688" s="1"/>
      <c r="I688" s="1"/>
    </row>
    <row r="689">
      <c r="G689" s="1"/>
      <c r="H689" s="1"/>
      <c r="I689" s="1"/>
    </row>
    <row r="690">
      <c r="G690" s="1"/>
      <c r="H690" s="1"/>
      <c r="I690" s="1"/>
    </row>
    <row r="691">
      <c r="G691" s="1"/>
      <c r="H691" s="1"/>
      <c r="I691" s="1"/>
    </row>
    <row r="692">
      <c r="G692" s="1"/>
      <c r="H692" s="1"/>
      <c r="I692" s="1"/>
    </row>
    <row r="693">
      <c r="G693" s="1"/>
      <c r="H693" s="1"/>
      <c r="I693" s="1"/>
    </row>
    <row r="694">
      <c r="G694" s="1"/>
      <c r="H694" s="1"/>
      <c r="I694" s="1"/>
    </row>
    <row r="695">
      <c r="G695" s="1"/>
      <c r="H695" s="1"/>
      <c r="I695" s="1"/>
    </row>
    <row r="696">
      <c r="G696" s="1"/>
      <c r="H696" s="1"/>
      <c r="I696" s="1"/>
    </row>
    <row r="697">
      <c r="G697" s="1"/>
      <c r="H697" s="1"/>
      <c r="I697" s="1"/>
    </row>
    <row r="698">
      <c r="G698" s="1"/>
      <c r="H698" s="1"/>
      <c r="I698" s="1"/>
    </row>
    <row r="699">
      <c r="G699" s="1"/>
      <c r="H699" s="1"/>
      <c r="I699" s="1"/>
    </row>
    <row r="700">
      <c r="G700" s="1"/>
      <c r="H700" s="1"/>
      <c r="I700" s="1"/>
    </row>
    <row r="701">
      <c r="G701" s="1"/>
      <c r="H701" s="1"/>
      <c r="I701" s="1"/>
    </row>
    <row r="702">
      <c r="G702" s="1"/>
      <c r="H702" s="1"/>
      <c r="I702" s="1"/>
    </row>
    <row r="703">
      <c r="G703" s="1"/>
      <c r="H703" s="1"/>
      <c r="I703" s="1"/>
    </row>
    <row r="704">
      <c r="G704" s="1"/>
      <c r="H704" s="1"/>
      <c r="I704" s="1"/>
    </row>
    <row r="705">
      <c r="G705" s="1"/>
      <c r="H705" s="1"/>
      <c r="I705" s="1"/>
    </row>
    <row r="706">
      <c r="G706" s="1"/>
      <c r="H706" s="1"/>
      <c r="I706" s="1"/>
    </row>
    <row r="707">
      <c r="G707" s="1"/>
      <c r="H707" s="1"/>
      <c r="I707" s="1"/>
    </row>
    <row r="708">
      <c r="G708" s="1"/>
      <c r="H708" s="1"/>
      <c r="I708" s="1"/>
    </row>
    <row r="709">
      <c r="G709" s="1"/>
      <c r="H709" s="1"/>
      <c r="I709" s="1"/>
    </row>
    <row r="710">
      <c r="G710" s="1"/>
      <c r="H710" s="1"/>
      <c r="I710" s="1"/>
    </row>
    <row r="711">
      <c r="G711" s="1"/>
      <c r="H711" s="1"/>
      <c r="I711" s="1"/>
    </row>
    <row r="712">
      <c r="G712" s="1"/>
      <c r="H712" s="1"/>
      <c r="I712" s="1"/>
    </row>
    <row r="713">
      <c r="G713" s="1"/>
      <c r="H713" s="1"/>
      <c r="I713" s="1"/>
    </row>
    <row r="714">
      <c r="G714" s="1"/>
      <c r="H714" s="1"/>
      <c r="I714" s="1"/>
    </row>
    <row r="715">
      <c r="G715" s="1"/>
      <c r="H715" s="1"/>
      <c r="I715" s="1"/>
    </row>
    <row r="716">
      <c r="G716" s="1"/>
      <c r="H716" s="1"/>
      <c r="I716" s="1"/>
    </row>
    <row r="717">
      <c r="G717" s="1"/>
      <c r="H717" s="1"/>
      <c r="I717" s="1"/>
    </row>
    <row r="718">
      <c r="G718" s="1"/>
      <c r="H718" s="1"/>
      <c r="I718" s="1"/>
    </row>
    <row r="719">
      <c r="G719" s="1"/>
      <c r="H719" s="1"/>
      <c r="I719" s="1"/>
    </row>
    <row r="720">
      <c r="G720" s="1"/>
      <c r="H720" s="1"/>
      <c r="I720" s="1"/>
    </row>
    <row r="721">
      <c r="G721" s="1"/>
      <c r="H721" s="1"/>
      <c r="I721" s="1"/>
    </row>
    <row r="722">
      <c r="G722" s="1"/>
      <c r="H722" s="1"/>
      <c r="I722" s="1"/>
    </row>
    <row r="723">
      <c r="G723" s="1"/>
      <c r="H723" s="1"/>
      <c r="I723" s="1"/>
    </row>
    <row r="724">
      <c r="G724" s="1"/>
      <c r="H724" s="1"/>
      <c r="I724" s="1"/>
    </row>
    <row r="725">
      <c r="G725" s="1"/>
      <c r="H725" s="1"/>
      <c r="I725" s="1"/>
    </row>
    <row r="726">
      <c r="G726" s="1"/>
      <c r="H726" s="1"/>
      <c r="I726" s="1"/>
    </row>
    <row r="727">
      <c r="G727" s="1"/>
      <c r="H727" s="1"/>
      <c r="I727" s="1"/>
    </row>
    <row r="728">
      <c r="G728" s="1"/>
      <c r="H728" s="1"/>
      <c r="I728" s="1"/>
    </row>
    <row r="729">
      <c r="G729" s="1"/>
      <c r="H729" s="1"/>
      <c r="I729" s="1"/>
    </row>
    <row r="730">
      <c r="G730" s="1"/>
      <c r="H730" s="1"/>
      <c r="I730" s="1"/>
    </row>
    <row r="731">
      <c r="G731" s="1"/>
      <c r="H731" s="1"/>
      <c r="I731" s="1"/>
    </row>
    <row r="732">
      <c r="G732" s="1"/>
      <c r="H732" s="1"/>
      <c r="I732" s="1"/>
    </row>
    <row r="733">
      <c r="G733" s="1"/>
      <c r="H733" s="1"/>
      <c r="I733" s="1"/>
    </row>
    <row r="734">
      <c r="G734" s="1"/>
      <c r="H734" s="1"/>
      <c r="I734" s="1"/>
    </row>
    <row r="735">
      <c r="G735" s="1"/>
      <c r="H735" s="1"/>
      <c r="I735" s="1"/>
    </row>
    <row r="736">
      <c r="G736" s="1"/>
      <c r="H736" s="1"/>
      <c r="I736" s="1"/>
    </row>
    <row r="737">
      <c r="G737" s="1"/>
      <c r="H737" s="1"/>
      <c r="I737" s="1"/>
    </row>
    <row r="738">
      <c r="G738" s="1"/>
      <c r="H738" s="1"/>
      <c r="I738" s="1"/>
    </row>
    <row r="739">
      <c r="G739" s="1"/>
      <c r="H739" s="1"/>
      <c r="I739" s="1"/>
    </row>
    <row r="740">
      <c r="G740" s="1"/>
      <c r="H740" s="1"/>
      <c r="I740" s="1"/>
    </row>
    <row r="741">
      <c r="G741" s="1"/>
      <c r="H741" s="1"/>
      <c r="I741" s="1"/>
    </row>
    <row r="742">
      <c r="G742" s="1"/>
      <c r="H742" s="1"/>
      <c r="I742" s="1"/>
    </row>
    <row r="743">
      <c r="G743" s="1"/>
      <c r="H743" s="1"/>
      <c r="I743" s="1"/>
    </row>
    <row r="744">
      <c r="G744" s="1"/>
      <c r="H744" s="1"/>
      <c r="I744" s="1"/>
    </row>
    <row r="745">
      <c r="G745" s="1"/>
      <c r="H745" s="1"/>
      <c r="I745" s="1"/>
    </row>
    <row r="746">
      <c r="G746" s="1"/>
      <c r="H746" s="1"/>
      <c r="I746" s="1"/>
    </row>
    <row r="747">
      <c r="G747" s="1"/>
      <c r="H747" s="1"/>
      <c r="I747" s="1"/>
    </row>
    <row r="748">
      <c r="G748" s="1"/>
      <c r="H748" s="1"/>
      <c r="I748" s="1"/>
    </row>
    <row r="749">
      <c r="G749" s="1"/>
      <c r="H749" s="1"/>
      <c r="I749" s="1"/>
    </row>
    <row r="750">
      <c r="G750" s="1"/>
      <c r="H750" s="1"/>
      <c r="I750" s="1"/>
    </row>
    <row r="751">
      <c r="G751" s="1"/>
      <c r="H751" s="1"/>
      <c r="I751" s="1"/>
    </row>
    <row r="752">
      <c r="G752" s="1"/>
      <c r="H752" s="1"/>
      <c r="I752" s="1"/>
    </row>
    <row r="753">
      <c r="G753" s="1"/>
      <c r="H753" s="1"/>
      <c r="I753" s="1"/>
    </row>
    <row r="754">
      <c r="G754" s="1"/>
      <c r="H754" s="1"/>
      <c r="I754" s="1"/>
    </row>
    <row r="755">
      <c r="G755" s="1"/>
      <c r="H755" s="1"/>
      <c r="I755" s="1"/>
    </row>
    <row r="756">
      <c r="G756" s="1"/>
      <c r="H756" s="1"/>
      <c r="I756" s="1"/>
    </row>
    <row r="757">
      <c r="G757" s="1"/>
      <c r="H757" s="1"/>
      <c r="I757" s="1"/>
    </row>
    <row r="758">
      <c r="G758" s="1"/>
      <c r="H758" s="1"/>
      <c r="I758" s="1"/>
    </row>
    <row r="759">
      <c r="G759" s="1"/>
      <c r="H759" s="1"/>
      <c r="I759" s="1"/>
    </row>
    <row r="760">
      <c r="G760" s="1"/>
      <c r="H760" s="1"/>
      <c r="I760" s="1"/>
    </row>
    <row r="761">
      <c r="G761" s="1"/>
      <c r="H761" s="1"/>
      <c r="I761" s="1"/>
    </row>
    <row r="762">
      <c r="G762" s="1"/>
      <c r="H762" s="1"/>
      <c r="I762" s="1"/>
    </row>
    <row r="763">
      <c r="G763" s="1"/>
      <c r="H763" s="1"/>
      <c r="I763" s="1"/>
    </row>
    <row r="764">
      <c r="G764" s="1"/>
      <c r="H764" s="1"/>
      <c r="I764" s="1"/>
    </row>
    <row r="765">
      <c r="G765" s="1"/>
      <c r="H765" s="1"/>
      <c r="I765" s="1"/>
    </row>
    <row r="766">
      <c r="G766" s="1"/>
      <c r="H766" s="1"/>
      <c r="I766" s="1"/>
    </row>
    <row r="767">
      <c r="G767" s="1"/>
      <c r="H767" s="1"/>
      <c r="I767" s="1"/>
    </row>
    <row r="768">
      <c r="G768" s="1"/>
      <c r="H768" s="1"/>
      <c r="I768" s="1"/>
    </row>
    <row r="769">
      <c r="G769" s="1"/>
      <c r="H769" s="1"/>
      <c r="I769" s="1"/>
    </row>
    <row r="770">
      <c r="G770" s="1"/>
      <c r="H770" s="1"/>
      <c r="I770" s="1"/>
    </row>
    <row r="771">
      <c r="G771" s="1"/>
      <c r="H771" s="1"/>
      <c r="I771" s="1"/>
    </row>
    <row r="772">
      <c r="G772" s="1"/>
      <c r="H772" s="1"/>
      <c r="I772" s="1"/>
    </row>
    <row r="773">
      <c r="G773" s="1"/>
      <c r="H773" s="1"/>
      <c r="I773" s="1"/>
    </row>
    <row r="774">
      <c r="G774" s="1"/>
      <c r="H774" s="1"/>
      <c r="I774" s="1"/>
    </row>
    <row r="775">
      <c r="G775" s="1"/>
      <c r="H775" s="1"/>
      <c r="I775" s="1"/>
    </row>
    <row r="776">
      <c r="G776" s="1"/>
      <c r="H776" s="1"/>
      <c r="I776" s="1"/>
    </row>
    <row r="777">
      <c r="G777" s="1"/>
      <c r="H777" s="1"/>
      <c r="I777" s="1"/>
    </row>
    <row r="778">
      <c r="G778" s="1"/>
      <c r="H778" s="1"/>
      <c r="I778" s="1"/>
    </row>
    <row r="779">
      <c r="G779" s="1"/>
      <c r="H779" s="1"/>
      <c r="I779" s="1"/>
    </row>
    <row r="780">
      <c r="G780" s="1"/>
      <c r="H780" s="1"/>
      <c r="I780" s="1"/>
    </row>
    <row r="781">
      <c r="G781" s="1"/>
      <c r="H781" s="1"/>
      <c r="I781" s="1"/>
    </row>
    <row r="782">
      <c r="G782" s="1"/>
      <c r="H782" s="1"/>
      <c r="I782" s="1"/>
    </row>
    <row r="783">
      <c r="G783" s="1"/>
      <c r="H783" s="1"/>
      <c r="I783" s="1"/>
    </row>
    <row r="784">
      <c r="G784" s="1"/>
      <c r="H784" s="1"/>
      <c r="I784" s="1"/>
    </row>
    <row r="785">
      <c r="G785" s="1"/>
      <c r="H785" s="1"/>
      <c r="I785" s="1"/>
    </row>
    <row r="786">
      <c r="G786" s="1"/>
      <c r="H786" s="1"/>
      <c r="I786" s="1"/>
    </row>
    <row r="787">
      <c r="G787" s="1"/>
      <c r="H787" s="1"/>
      <c r="I787" s="1"/>
    </row>
    <row r="788">
      <c r="G788" s="1"/>
      <c r="H788" s="1"/>
      <c r="I788" s="1"/>
    </row>
    <row r="789">
      <c r="G789" s="1"/>
      <c r="H789" s="1"/>
      <c r="I789" s="1"/>
    </row>
    <row r="790">
      <c r="G790" s="1"/>
      <c r="H790" s="1"/>
      <c r="I790" s="1"/>
    </row>
    <row r="791">
      <c r="G791" s="1"/>
      <c r="H791" s="1"/>
      <c r="I791" s="1"/>
    </row>
    <row r="792">
      <c r="G792" s="1"/>
      <c r="H792" s="1"/>
      <c r="I792" s="1"/>
    </row>
    <row r="793">
      <c r="G793" s="1"/>
      <c r="H793" s="1"/>
      <c r="I793" s="1"/>
    </row>
    <row r="794">
      <c r="G794" s="1"/>
      <c r="H794" s="1"/>
      <c r="I794" s="1"/>
    </row>
    <row r="795">
      <c r="G795" s="1"/>
      <c r="H795" s="1"/>
      <c r="I795" s="1"/>
    </row>
    <row r="796">
      <c r="G796" s="1"/>
      <c r="H796" s="1"/>
      <c r="I796" s="1"/>
    </row>
    <row r="797">
      <c r="G797" s="1"/>
      <c r="H797" s="1"/>
      <c r="I797" s="1"/>
    </row>
    <row r="798">
      <c r="G798" s="1"/>
      <c r="H798" s="1"/>
      <c r="I798" s="1"/>
    </row>
    <row r="799">
      <c r="G799" s="1"/>
      <c r="H799" s="1"/>
      <c r="I799" s="1"/>
    </row>
    <row r="800">
      <c r="G800" s="1"/>
      <c r="H800" s="1"/>
      <c r="I800" s="1"/>
    </row>
    <row r="801">
      <c r="G801" s="1"/>
      <c r="H801" s="1"/>
      <c r="I801" s="1"/>
    </row>
    <row r="802">
      <c r="G802" s="1"/>
      <c r="H802" s="1"/>
      <c r="I802" s="1"/>
    </row>
    <row r="803">
      <c r="G803" s="1"/>
      <c r="H803" s="1"/>
      <c r="I803" s="1"/>
    </row>
    <row r="804">
      <c r="G804" s="1"/>
      <c r="H804" s="1"/>
      <c r="I804" s="1"/>
    </row>
    <row r="805">
      <c r="G805" s="1"/>
      <c r="H805" s="1"/>
      <c r="I805" s="1"/>
    </row>
    <row r="806">
      <c r="G806" s="1"/>
      <c r="H806" s="1"/>
      <c r="I806" s="1"/>
    </row>
    <row r="807">
      <c r="G807" s="1"/>
      <c r="H807" s="1"/>
      <c r="I807" s="1"/>
    </row>
    <row r="808">
      <c r="G808" s="1"/>
      <c r="H808" s="1"/>
      <c r="I808" s="1"/>
    </row>
    <row r="809">
      <c r="G809" s="1"/>
      <c r="H809" s="1"/>
      <c r="I809" s="1"/>
    </row>
    <row r="810">
      <c r="G810" s="1"/>
      <c r="H810" s="1"/>
      <c r="I810" s="1"/>
    </row>
    <row r="811">
      <c r="G811" s="1"/>
      <c r="H811" s="1"/>
      <c r="I811" s="1"/>
    </row>
    <row r="812">
      <c r="G812" s="1"/>
      <c r="H812" s="1"/>
      <c r="I812" s="1"/>
    </row>
    <row r="813">
      <c r="G813" s="1"/>
      <c r="H813" s="1"/>
      <c r="I813" s="1"/>
    </row>
    <row r="814">
      <c r="G814" s="1"/>
      <c r="H814" s="1"/>
      <c r="I814" s="1"/>
    </row>
    <row r="815">
      <c r="G815" s="1"/>
      <c r="H815" s="1"/>
      <c r="I815" s="1"/>
    </row>
    <row r="816">
      <c r="G816" s="1"/>
      <c r="H816" s="1"/>
      <c r="I816" s="1"/>
    </row>
    <row r="817">
      <c r="G817" s="1"/>
      <c r="H817" s="1"/>
      <c r="I817" s="1"/>
    </row>
    <row r="818">
      <c r="G818" s="1"/>
      <c r="H818" s="1"/>
      <c r="I818" s="1"/>
    </row>
    <row r="819">
      <c r="G819" s="1"/>
      <c r="H819" s="1"/>
      <c r="I819" s="1"/>
    </row>
    <row r="820">
      <c r="G820" s="1"/>
      <c r="H820" s="1"/>
      <c r="I820" s="1"/>
    </row>
    <row r="821">
      <c r="G821" s="1"/>
      <c r="H821" s="1"/>
      <c r="I821" s="1"/>
    </row>
    <row r="822">
      <c r="G822" s="1"/>
      <c r="H822" s="1"/>
      <c r="I822" s="1"/>
    </row>
    <row r="823">
      <c r="G823" s="1"/>
      <c r="H823" s="1"/>
      <c r="I823" s="1"/>
    </row>
    <row r="824">
      <c r="G824" s="1"/>
      <c r="H824" s="1"/>
      <c r="I824" s="1"/>
    </row>
    <row r="825">
      <c r="G825" s="1"/>
      <c r="H825" s="1"/>
      <c r="I825" s="1"/>
    </row>
    <row r="826">
      <c r="G826" s="1"/>
      <c r="H826" s="1"/>
      <c r="I826" s="1"/>
    </row>
    <row r="827">
      <c r="G827" s="1"/>
      <c r="H827" s="1"/>
      <c r="I827" s="1"/>
    </row>
    <row r="828">
      <c r="G828" s="1"/>
      <c r="H828" s="1"/>
      <c r="I828" s="1"/>
    </row>
    <row r="829">
      <c r="G829" s="1"/>
      <c r="H829" s="1"/>
      <c r="I829" s="1"/>
    </row>
    <row r="830">
      <c r="G830" s="1"/>
      <c r="H830" s="1"/>
      <c r="I830" s="1"/>
    </row>
    <row r="831">
      <c r="G831" s="1"/>
      <c r="H831" s="1"/>
      <c r="I831" s="1"/>
    </row>
    <row r="832">
      <c r="G832" s="1"/>
      <c r="H832" s="1"/>
      <c r="I832" s="1"/>
    </row>
    <row r="833">
      <c r="G833" s="1"/>
      <c r="H833" s="1"/>
      <c r="I833" s="1"/>
    </row>
    <row r="834">
      <c r="G834" s="1"/>
      <c r="H834" s="1"/>
      <c r="I834" s="1"/>
    </row>
    <row r="835">
      <c r="G835" s="1"/>
      <c r="H835" s="1"/>
      <c r="I835" s="1"/>
    </row>
    <row r="836">
      <c r="G836" s="1"/>
      <c r="H836" s="1"/>
      <c r="I836" s="1"/>
    </row>
    <row r="837">
      <c r="G837" s="1"/>
      <c r="H837" s="1"/>
      <c r="I837" s="1"/>
    </row>
    <row r="838">
      <c r="G838" s="1"/>
      <c r="H838" s="1"/>
      <c r="I838" s="1"/>
    </row>
    <row r="839">
      <c r="G839" s="1"/>
      <c r="H839" s="1"/>
      <c r="I839" s="1"/>
    </row>
    <row r="840">
      <c r="G840" s="1"/>
      <c r="H840" s="1"/>
      <c r="I840" s="1"/>
    </row>
    <row r="841">
      <c r="G841" s="1"/>
      <c r="H841" s="1"/>
      <c r="I841" s="1"/>
    </row>
    <row r="842">
      <c r="G842" s="1"/>
      <c r="H842" s="1"/>
      <c r="I842" s="1"/>
    </row>
    <row r="843">
      <c r="G843" s="1"/>
      <c r="H843" s="1"/>
      <c r="I843" s="1"/>
    </row>
    <row r="844">
      <c r="G844" s="1"/>
      <c r="H844" s="1"/>
      <c r="I844" s="1"/>
    </row>
    <row r="845">
      <c r="G845" s="1"/>
      <c r="H845" s="1"/>
      <c r="I845" s="1"/>
    </row>
    <row r="846">
      <c r="G846" s="1"/>
      <c r="H846" s="1"/>
      <c r="I846" s="1"/>
    </row>
    <row r="847">
      <c r="G847" s="1"/>
      <c r="H847" s="1"/>
      <c r="I847" s="1"/>
    </row>
    <row r="848">
      <c r="G848" s="1"/>
      <c r="H848" s="1"/>
      <c r="I848" s="1"/>
    </row>
    <row r="849">
      <c r="G849" s="1"/>
      <c r="H849" s="1"/>
      <c r="I849" s="1"/>
    </row>
    <row r="850">
      <c r="G850" s="1"/>
      <c r="H850" s="1"/>
      <c r="I850" s="1"/>
    </row>
    <row r="851">
      <c r="G851" s="1"/>
      <c r="H851" s="1"/>
      <c r="I851" s="1"/>
    </row>
    <row r="852">
      <c r="G852" s="1"/>
      <c r="H852" s="1"/>
      <c r="I852" s="1"/>
    </row>
    <row r="853">
      <c r="G853" s="1"/>
      <c r="H853" s="1"/>
      <c r="I853" s="1"/>
    </row>
    <row r="854">
      <c r="G854" s="1"/>
      <c r="H854" s="1"/>
      <c r="I854" s="1"/>
    </row>
    <row r="855">
      <c r="G855" s="1"/>
      <c r="H855" s="1"/>
      <c r="I855" s="1"/>
    </row>
    <row r="856">
      <c r="G856" s="1"/>
      <c r="H856" s="1"/>
      <c r="I856" s="1"/>
    </row>
    <row r="857">
      <c r="G857" s="1"/>
      <c r="H857" s="1"/>
      <c r="I857" s="1"/>
    </row>
    <row r="858">
      <c r="G858" s="1"/>
      <c r="H858" s="1"/>
      <c r="I858" s="1"/>
    </row>
    <row r="859">
      <c r="G859" s="1"/>
      <c r="H859" s="1"/>
      <c r="I859" s="1"/>
    </row>
    <row r="860">
      <c r="G860" s="1"/>
      <c r="H860" s="1"/>
      <c r="I860" s="1"/>
    </row>
    <row r="861">
      <c r="G861" s="1"/>
      <c r="H861" s="1"/>
      <c r="I861" s="1"/>
    </row>
    <row r="862">
      <c r="G862" s="1"/>
      <c r="H862" s="1"/>
      <c r="I862" s="1"/>
    </row>
    <row r="863">
      <c r="G863" s="1"/>
      <c r="H863" s="1"/>
      <c r="I863" s="1"/>
    </row>
    <row r="864">
      <c r="G864" s="1"/>
      <c r="H864" s="1"/>
      <c r="I864" s="1"/>
    </row>
    <row r="865">
      <c r="G865" s="1"/>
      <c r="H865" s="1"/>
      <c r="I865" s="1"/>
    </row>
    <row r="866">
      <c r="G866" s="1"/>
      <c r="H866" s="1"/>
      <c r="I866" s="1"/>
    </row>
    <row r="867">
      <c r="G867" s="1"/>
      <c r="H867" s="1"/>
      <c r="I867" s="1"/>
    </row>
    <row r="868">
      <c r="G868" s="1"/>
      <c r="H868" s="1"/>
      <c r="I868" s="1"/>
    </row>
    <row r="869">
      <c r="G869" s="1"/>
      <c r="H869" s="1"/>
      <c r="I869" s="1"/>
    </row>
    <row r="870">
      <c r="G870" s="1"/>
      <c r="H870" s="1"/>
      <c r="I870" s="1"/>
    </row>
    <row r="871">
      <c r="G871" s="1"/>
      <c r="H871" s="1"/>
      <c r="I871" s="1"/>
    </row>
    <row r="872">
      <c r="G872" s="1"/>
      <c r="H872" s="1"/>
      <c r="I872" s="1"/>
    </row>
    <row r="873">
      <c r="G873" s="1"/>
      <c r="H873" s="1"/>
      <c r="I873" s="1"/>
    </row>
    <row r="874">
      <c r="G874" s="1"/>
      <c r="H874" s="1"/>
      <c r="I874" s="1"/>
    </row>
    <row r="875">
      <c r="G875" s="1"/>
      <c r="H875" s="1"/>
      <c r="I875" s="1"/>
    </row>
    <row r="876">
      <c r="G876" s="1"/>
      <c r="H876" s="1"/>
      <c r="I876" s="1"/>
    </row>
    <row r="877">
      <c r="G877" s="1"/>
      <c r="H877" s="1"/>
      <c r="I877" s="1"/>
    </row>
    <row r="878">
      <c r="G878" s="1"/>
      <c r="H878" s="1"/>
      <c r="I878" s="1"/>
    </row>
    <row r="879">
      <c r="G879" s="1"/>
      <c r="H879" s="1"/>
      <c r="I879" s="1"/>
    </row>
    <row r="880">
      <c r="G880" s="1"/>
      <c r="H880" s="1"/>
      <c r="I880" s="1"/>
    </row>
    <row r="881">
      <c r="G881" s="1"/>
      <c r="H881" s="1"/>
      <c r="I881" s="1"/>
    </row>
    <row r="882">
      <c r="G882" s="1"/>
      <c r="H882" s="1"/>
      <c r="I882" s="1"/>
    </row>
    <row r="883">
      <c r="G883" s="1"/>
      <c r="H883" s="1"/>
      <c r="I883" s="1"/>
    </row>
    <row r="884">
      <c r="G884" s="1"/>
      <c r="H884" s="1"/>
      <c r="I884" s="1"/>
    </row>
    <row r="885">
      <c r="G885" s="1"/>
      <c r="H885" s="1"/>
      <c r="I885" s="1"/>
    </row>
    <row r="886">
      <c r="G886" s="1"/>
      <c r="H886" s="1"/>
      <c r="I886" s="1"/>
    </row>
    <row r="887">
      <c r="G887" s="1"/>
      <c r="H887" s="1"/>
      <c r="I887" s="1"/>
    </row>
    <row r="888">
      <c r="G888" s="1"/>
      <c r="H888" s="1"/>
      <c r="I888" s="1"/>
    </row>
    <row r="889">
      <c r="G889" s="1"/>
      <c r="H889" s="1"/>
      <c r="I889" s="1"/>
    </row>
    <row r="890">
      <c r="G890" s="1"/>
      <c r="H890" s="1"/>
      <c r="I890" s="1"/>
    </row>
    <row r="891">
      <c r="G891" s="1"/>
      <c r="H891" s="1"/>
      <c r="I891" s="1"/>
    </row>
    <row r="892">
      <c r="G892" s="1"/>
      <c r="H892" s="1"/>
      <c r="I892" s="1"/>
    </row>
    <row r="893">
      <c r="G893" s="1"/>
      <c r="H893" s="1"/>
      <c r="I893" s="1"/>
    </row>
    <row r="894">
      <c r="G894" s="1"/>
      <c r="H894" s="1"/>
      <c r="I894" s="1"/>
    </row>
    <row r="895">
      <c r="G895" s="1"/>
      <c r="H895" s="1"/>
      <c r="I895" s="1"/>
    </row>
    <row r="896">
      <c r="G896" s="1"/>
      <c r="H896" s="1"/>
      <c r="I896" s="1"/>
    </row>
    <row r="897">
      <c r="G897" s="1"/>
      <c r="H897" s="1"/>
      <c r="I897" s="1"/>
    </row>
    <row r="898">
      <c r="G898" s="1"/>
      <c r="H898" s="1"/>
      <c r="I898" s="1"/>
    </row>
    <row r="899">
      <c r="G899" s="1"/>
      <c r="H899" s="1"/>
      <c r="I899" s="1"/>
    </row>
    <row r="900">
      <c r="G900" s="1"/>
      <c r="H900" s="1"/>
      <c r="I900" s="1"/>
    </row>
    <row r="901">
      <c r="G901" s="1"/>
      <c r="H901" s="1"/>
      <c r="I901" s="1"/>
    </row>
    <row r="902">
      <c r="G902" s="1"/>
      <c r="H902" s="1"/>
      <c r="I902" s="1"/>
    </row>
    <row r="903">
      <c r="G903" s="1"/>
      <c r="H903" s="1"/>
      <c r="I903" s="1"/>
    </row>
    <row r="904">
      <c r="G904" s="1"/>
      <c r="H904" s="1"/>
      <c r="I904" s="1"/>
    </row>
    <row r="905">
      <c r="G905" s="1"/>
      <c r="H905" s="1"/>
      <c r="I905" s="1"/>
    </row>
    <row r="906">
      <c r="G906" s="1"/>
      <c r="H906" s="1"/>
      <c r="I906" s="1"/>
    </row>
    <row r="907">
      <c r="G907" s="1"/>
      <c r="H907" s="1"/>
      <c r="I907" s="1"/>
    </row>
    <row r="908">
      <c r="G908" s="1"/>
      <c r="H908" s="1"/>
      <c r="I908" s="1"/>
    </row>
    <row r="909">
      <c r="G909" s="1"/>
      <c r="H909" s="1"/>
      <c r="I909" s="1"/>
    </row>
    <row r="910">
      <c r="G910" s="1"/>
      <c r="H910" s="1"/>
      <c r="I910" s="1"/>
    </row>
    <row r="911">
      <c r="G911" s="1"/>
      <c r="H911" s="1"/>
      <c r="I911" s="1"/>
    </row>
    <row r="912">
      <c r="G912" s="1"/>
      <c r="H912" s="1"/>
      <c r="I912" s="1"/>
    </row>
    <row r="913">
      <c r="G913" s="1"/>
      <c r="H913" s="1"/>
      <c r="I913" s="1"/>
    </row>
    <row r="914">
      <c r="G914" s="1"/>
      <c r="H914" s="1"/>
      <c r="I914" s="1"/>
    </row>
    <row r="915">
      <c r="G915" s="1"/>
      <c r="H915" s="1"/>
      <c r="I915" s="1"/>
    </row>
    <row r="916">
      <c r="G916" s="1"/>
      <c r="H916" s="1"/>
      <c r="I916" s="1"/>
    </row>
    <row r="917">
      <c r="G917" s="1"/>
      <c r="H917" s="1"/>
      <c r="I917" s="1"/>
    </row>
    <row r="918">
      <c r="G918" s="1"/>
      <c r="H918" s="1"/>
      <c r="I918" s="1"/>
    </row>
    <row r="919">
      <c r="G919" s="1"/>
      <c r="H919" s="1"/>
      <c r="I919" s="1"/>
    </row>
    <row r="920">
      <c r="G920" s="1"/>
      <c r="H920" s="1"/>
      <c r="I920" s="1"/>
    </row>
    <row r="921">
      <c r="G921" s="1"/>
      <c r="H921" s="1"/>
      <c r="I921" s="1"/>
    </row>
    <row r="922">
      <c r="G922" s="1"/>
      <c r="H922" s="1"/>
      <c r="I922" s="1"/>
    </row>
    <row r="923">
      <c r="G923" s="1"/>
      <c r="H923" s="1"/>
      <c r="I923" s="1"/>
    </row>
    <row r="924">
      <c r="G924" s="1"/>
      <c r="H924" s="1"/>
      <c r="I924" s="1"/>
    </row>
    <row r="925">
      <c r="G925" s="1"/>
      <c r="H925" s="1"/>
      <c r="I925" s="1"/>
    </row>
    <row r="926">
      <c r="G926" s="1"/>
      <c r="H926" s="1"/>
      <c r="I926" s="1"/>
    </row>
    <row r="927">
      <c r="G927" s="1"/>
      <c r="H927" s="1"/>
      <c r="I927" s="1"/>
    </row>
    <row r="928">
      <c r="G928" s="1"/>
      <c r="H928" s="1"/>
      <c r="I928" s="1"/>
    </row>
    <row r="929">
      <c r="G929" s="1"/>
      <c r="H929" s="1"/>
      <c r="I929" s="1"/>
    </row>
    <row r="930">
      <c r="G930" s="1"/>
      <c r="H930" s="1"/>
      <c r="I930" s="1"/>
    </row>
    <row r="931">
      <c r="G931" s="1"/>
      <c r="H931" s="1"/>
      <c r="I931" s="1"/>
    </row>
    <row r="932">
      <c r="G932" s="1"/>
      <c r="H932" s="1"/>
      <c r="I932" s="1"/>
    </row>
    <row r="933">
      <c r="G933" s="1"/>
      <c r="H933" s="1"/>
      <c r="I933" s="1"/>
    </row>
    <row r="934">
      <c r="G934" s="1"/>
      <c r="H934" s="1"/>
      <c r="I934" s="1"/>
    </row>
    <row r="935">
      <c r="G935" s="1"/>
      <c r="H935" s="1"/>
      <c r="I935" s="1"/>
    </row>
    <row r="936">
      <c r="G936" s="1"/>
      <c r="H936" s="1"/>
      <c r="I936" s="1"/>
    </row>
    <row r="937">
      <c r="G937" s="1"/>
      <c r="H937" s="1"/>
      <c r="I937" s="1"/>
    </row>
    <row r="938">
      <c r="G938" s="1"/>
      <c r="H938" s="1"/>
      <c r="I938" s="1"/>
    </row>
    <row r="939">
      <c r="G939" s="1"/>
      <c r="H939" s="1"/>
      <c r="I939" s="1"/>
    </row>
    <row r="940">
      <c r="G940" s="1"/>
      <c r="H940" s="1"/>
      <c r="I940" s="1"/>
    </row>
    <row r="941">
      <c r="G941" s="1"/>
      <c r="H941" s="1"/>
      <c r="I941" s="1"/>
    </row>
    <row r="942">
      <c r="G942" s="1"/>
      <c r="H942" s="1"/>
      <c r="I942" s="1"/>
    </row>
    <row r="943">
      <c r="G943" s="1"/>
      <c r="H943" s="1"/>
      <c r="I943" s="1"/>
    </row>
    <row r="944">
      <c r="G944" s="1"/>
      <c r="H944" s="1"/>
      <c r="I944" s="1"/>
    </row>
    <row r="945">
      <c r="G945" s="1"/>
      <c r="H945" s="1"/>
      <c r="I945" s="1"/>
    </row>
    <row r="946">
      <c r="G946" s="1"/>
      <c r="H946" s="1"/>
      <c r="I946" s="1"/>
    </row>
    <row r="947">
      <c r="G947" s="1"/>
      <c r="H947" s="1"/>
      <c r="I947" s="1"/>
    </row>
    <row r="948">
      <c r="G948" s="1"/>
      <c r="H948" s="1"/>
      <c r="I948" s="1"/>
    </row>
    <row r="949">
      <c r="G949" s="1"/>
      <c r="H949" s="1"/>
      <c r="I949" s="1"/>
    </row>
    <row r="950">
      <c r="G950" s="1"/>
      <c r="H950" s="1"/>
      <c r="I950" s="1"/>
    </row>
    <row r="951">
      <c r="G951" s="1"/>
      <c r="H951" s="1"/>
      <c r="I951" s="1"/>
    </row>
    <row r="952">
      <c r="G952" s="1"/>
      <c r="H952" s="1"/>
      <c r="I952" s="1"/>
    </row>
    <row r="953">
      <c r="G953" s="1"/>
      <c r="H953" s="1"/>
      <c r="I953" s="1"/>
    </row>
    <row r="954">
      <c r="G954" s="1"/>
      <c r="H954" s="1"/>
      <c r="I954" s="1"/>
    </row>
    <row r="955">
      <c r="G955" s="1"/>
      <c r="H955" s="1"/>
      <c r="I955" s="1"/>
    </row>
    <row r="956">
      <c r="G956" s="1"/>
      <c r="H956" s="1"/>
      <c r="I956" s="1"/>
    </row>
    <row r="957">
      <c r="G957" s="1"/>
      <c r="H957" s="1"/>
      <c r="I957" s="1"/>
    </row>
    <row r="958">
      <c r="G958" s="1"/>
      <c r="H958" s="1"/>
      <c r="I958" s="1"/>
    </row>
    <row r="959">
      <c r="G959" s="1"/>
      <c r="H959" s="1"/>
      <c r="I959" s="1"/>
    </row>
    <row r="960">
      <c r="G960" s="1"/>
      <c r="H960" s="1"/>
      <c r="I960" s="1"/>
    </row>
    <row r="961">
      <c r="G961" s="1"/>
      <c r="H961" s="1"/>
      <c r="I961" s="1"/>
    </row>
    <row r="962">
      <c r="G962" s="1"/>
      <c r="H962" s="1"/>
      <c r="I962" s="1"/>
    </row>
    <row r="963">
      <c r="G963" s="1"/>
      <c r="H963" s="1"/>
      <c r="I963" s="1"/>
    </row>
    <row r="964">
      <c r="G964" s="1"/>
      <c r="H964" s="1"/>
      <c r="I964" s="1"/>
    </row>
    <row r="965">
      <c r="G965" s="1"/>
      <c r="H965" s="1"/>
      <c r="I965" s="1"/>
    </row>
    <row r="966">
      <c r="G966" s="1"/>
      <c r="H966" s="1"/>
      <c r="I966" s="1"/>
    </row>
    <row r="967">
      <c r="G967" s="1"/>
      <c r="H967" s="1"/>
      <c r="I967" s="1"/>
    </row>
    <row r="968">
      <c r="G968" s="1"/>
      <c r="H968" s="1"/>
      <c r="I968" s="1"/>
    </row>
    <row r="969">
      <c r="G969" s="1"/>
      <c r="H969" s="1"/>
      <c r="I969" s="1"/>
    </row>
    <row r="970">
      <c r="G970" s="1"/>
      <c r="H970" s="1"/>
      <c r="I970" s="1"/>
    </row>
    <row r="971">
      <c r="G971" s="1"/>
      <c r="H971" s="1"/>
      <c r="I971" s="1"/>
    </row>
    <row r="972">
      <c r="G972" s="1"/>
      <c r="H972" s="1"/>
      <c r="I972" s="1"/>
    </row>
    <row r="973">
      <c r="G973" s="1"/>
      <c r="H973" s="1"/>
      <c r="I973" s="1"/>
    </row>
    <row r="974">
      <c r="G974" s="1"/>
      <c r="H974" s="1"/>
      <c r="I974" s="1"/>
    </row>
    <row r="975">
      <c r="G975" s="1"/>
      <c r="H975" s="1"/>
      <c r="I975" s="1"/>
    </row>
    <row r="976">
      <c r="G976" s="1"/>
      <c r="H976" s="1"/>
      <c r="I976" s="1"/>
    </row>
    <row r="977">
      <c r="G977" s="1"/>
      <c r="H977" s="1"/>
      <c r="I977" s="1"/>
    </row>
    <row r="978">
      <c r="G978" s="1"/>
      <c r="H978" s="1"/>
      <c r="I978" s="1"/>
    </row>
    <row r="979">
      <c r="G979" s="1"/>
      <c r="H979" s="1"/>
      <c r="I979" s="1"/>
    </row>
    <row r="980">
      <c r="G980" s="1"/>
      <c r="H980" s="1"/>
      <c r="I980" s="1"/>
    </row>
    <row r="981">
      <c r="G981" s="1"/>
      <c r="H981" s="1"/>
      <c r="I981" s="1"/>
    </row>
    <row r="982">
      <c r="G982" s="1"/>
      <c r="H982" s="1"/>
      <c r="I982" s="1"/>
    </row>
    <row r="983">
      <c r="G983" s="1"/>
      <c r="H983" s="1"/>
      <c r="I983" s="1"/>
    </row>
    <row r="984">
      <c r="G984" s="1"/>
      <c r="H984" s="1"/>
      <c r="I984" s="1"/>
    </row>
    <row r="985">
      <c r="G985" s="1"/>
      <c r="H985" s="1"/>
      <c r="I985" s="1"/>
    </row>
    <row r="986">
      <c r="G986" s="1"/>
      <c r="H986" s="1"/>
      <c r="I986" s="1"/>
    </row>
    <row r="987">
      <c r="G987" s="1"/>
      <c r="H987" s="1"/>
      <c r="I987" s="1"/>
    </row>
    <row r="988">
      <c r="G988" s="1"/>
      <c r="H988" s="1"/>
      <c r="I988" s="1"/>
    </row>
    <row r="989">
      <c r="G989" s="1"/>
      <c r="H989" s="1"/>
      <c r="I989" s="1"/>
    </row>
    <row r="990">
      <c r="G990" s="1"/>
      <c r="H990" s="1"/>
      <c r="I990" s="1"/>
    </row>
    <row r="991">
      <c r="G991" s="1"/>
      <c r="H991" s="1"/>
      <c r="I991" s="1"/>
    </row>
    <row r="992">
      <c r="G992" s="1"/>
      <c r="H992" s="1"/>
      <c r="I992" s="1"/>
    </row>
    <row r="993">
      <c r="G993" s="1"/>
      <c r="H993" s="1"/>
      <c r="I993" s="1"/>
    </row>
    <row r="994">
      <c r="G994" s="1"/>
      <c r="H994" s="1"/>
      <c r="I994" s="1"/>
    </row>
    <row r="995">
      <c r="G995" s="1"/>
      <c r="H995" s="1"/>
      <c r="I995" s="1"/>
    </row>
    <row r="996">
      <c r="G996" s="1"/>
      <c r="H996" s="1"/>
      <c r="I996" s="1"/>
    </row>
    <row r="997">
      <c r="G997" s="1"/>
      <c r="H997" s="1"/>
      <c r="I997" s="1"/>
    </row>
    <row r="998">
      <c r="G998" s="1"/>
      <c r="H998" s="1"/>
      <c r="I998" s="1"/>
    </row>
    <row r="999">
      <c r="G999" s="1"/>
      <c r="H999" s="1"/>
      <c r="I999" s="1"/>
    </row>
    <row r="1000">
      <c r="G1000" s="1"/>
      <c r="H1000" s="1"/>
      <c r="I1000" s="1"/>
    </row>
    <row r="1001">
      <c r="G1001" s="1"/>
      <c r="H1001" s="1"/>
      <c r="I1001" s="1"/>
    </row>
    <row r="1002">
      <c r="G1002" s="1"/>
      <c r="H1002" s="1"/>
      <c r="I1002" s="1"/>
    </row>
  </sheetData>
  <conditionalFormatting sqref="C3:C4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1.0"/>
    <col customWidth="1" min="2" max="2" width="11.13"/>
    <col customWidth="1" min="3" max="3" width="10.5"/>
    <col customWidth="1" min="4" max="4" width="6.88"/>
    <col customWidth="1" min="5" max="5" width="9.13"/>
    <col customWidth="1" hidden="1" min="6" max="14" width="5.38"/>
    <col customWidth="1" hidden="1" min="15" max="15" width="4.63"/>
    <col customWidth="1" hidden="1" min="16" max="16" width="4.88"/>
    <col customWidth="1" hidden="1" min="17" max="17" width="3.38"/>
    <col customWidth="1" hidden="1" min="18" max="18" width="3.75"/>
    <col customWidth="1" hidden="1" min="19" max="19" width="3.63"/>
    <col customWidth="1" hidden="1" min="20" max="20" width="2.25"/>
    <col customWidth="1" hidden="1" min="21" max="21" width="3.75"/>
    <col customWidth="1" hidden="1" min="22" max="22" width="5.13"/>
    <col customWidth="1" hidden="1" min="23" max="24" width="5.0"/>
    <col customWidth="1" hidden="1" min="25" max="25" width="3.63"/>
    <col customWidth="1" hidden="1" min="26" max="26" width="5.38"/>
    <col customWidth="1" hidden="1" min="27" max="28" width="5.0"/>
    <col customWidth="1" hidden="1" min="29" max="89" width="3.63"/>
    <col customWidth="1" min="90" max="145" width="3.63"/>
  </cols>
  <sheetData>
    <row r="1">
      <c r="A1" s="5"/>
      <c r="B1" s="5"/>
      <c r="C1" s="8"/>
      <c r="D1" s="8"/>
      <c r="E1" s="8"/>
      <c r="F1" s="181" t="s">
        <v>204</v>
      </c>
      <c r="G1" s="16"/>
      <c r="H1" s="16"/>
      <c r="I1" s="12"/>
      <c r="J1" s="154" t="s">
        <v>205</v>
      </c>
      <c r="N1" s="182" t="s">
        <v>206</v>
      </c>
      <c r="R1" s="183" t="s">
        <v>207</v>
      </c>
      <c r="V1" s="182" t="s">
        <v>208</v>
      </c>
      <c r="Z1" s="154" t="s">
        <v>209</v>
      </c>
      <c r="AD1" s="182" t="s">
        <v>210</v>
      </c>
      <c r="AH1" s="155">
        <v>44595.0</v>
      </c>
      <c r="AL1" s="156">
        <v>44602.0</v>
      </c>
      <c r="AM1" s="16"/>
      <c r="AN1" s="16"/>
      <c r="AO1" s="16"/>
      <c r="AP1" s="157">
        <v>44609.0</v>
      </c>
      <c r="AQ1" s="16"/>
      <c r="AR1" s="16"/>
      <c r="AS1" s="12"/>
      <c r="AT1" s="156">
        <v>44616.0</v>
      </c>
      <c r="AU1" s="16"/>
      <c r="AV1" s="16"/>
      <c r="AW1" s="16"/>
      <c r="AX1" s="157">
        <v>44623.0</v>
      </c>
      <c r="AY1" s="16"/>
      <c r="AZ1" s="16"/>
      <c r="BA1" s="12"/>
      <c r="BB1" s="156">
        <v>44630.0</v>
      </c>
      <c r="BC1" s="16"/>
      <c r="BD1" s="16"/>
      <c r="BE1" s="16"/>
      <c r="BF1" s="157">
        <v>44637.0</v>
      </c>
      <c r="BG1" s="16"/>
      <c r="BH1" s="16"/>
      <c r="BI1" s="12"/>
      <c r="BJ1" s="156">
        <v>44644.0</v>
      </c>
      <c r="BK1" s="16"/>
      <c r="BL1" s="16"/>
      <c r="BM1" s="16"/>
      <c r="BN1" s="157">
        <v>44651.0</v>
      </c>
      <c r="BO1" s="16"/>
      <c r="BP1" s="16"/>
      <c r="BQ1" s="12"/>
      <c r="BR1" s="181" t="s">
        <v>211</v>
      </c>
      <c r="BS1" s="16"/>
      <c r="BT1" s="16"/>
      <c r="BU1" s="16"/>
      <c r="BV1" s="157">
        <v>44665.0</v>
      </c>
      <c r="BW1" s="16"/>
      <c r="BX1" s="16"/>
      <c r="BY1" s="12"/>
      <c r="BZ1" s="181" t="s">
        <v>212</v>
      </c>
      <c r="CA1" s="16"/>
      <c r="CB1" s="16"/>
      <c r="CC1" s="16"/>
      <c r="CD1" s="184" t="s">
        <v>213</v>
      </c>
      <c r="CE1" s="16"/>
      <c r="CF1" s="16"/>
      <c r="CG1" s="16"/>
      <c r="CH1" s="185">
        <v>44686.0</v>
      </c>
      <c r="CI1" s="16"/>
      <c r="CJ1" s="16"/>
      <c r="CK1" s="16"/>
      <c r="CL1" s="186">
        <v>44812.0</v>
      </c>
      <c r="CM1" s="187"/>
      <c r="CN1" s="187"/>
      <c r="CO1" s="11"/>
      <c r="CP1" s="188">
        <v>44454.0</v>
      </c>
      <c r="CQ1" s="132"/>
      <c r="CR1" s="132"/>
      <c r="CS1" s="132"/>
      <c r="CT1" s="189">
        <v>44461.0</v>
      </c>
      <c r="CU1" s="132"/>
      <c r="CV1" s="132"/>
      <c r="CW1" s="132"/>
      <c r="CX1" s="188">
        <v>44468.0</v>
      </c>
      <c r="CY1" s="132"/>
      <c r="CZ1" s="132"/>
      <c r="DA1" s="132"/>
      <c r="DB1" s="188">
        <v>44840.0</v>
      </c>
      <c r="DC1" s="132"/>
      <c r="DD1" s="132"/>
      <c r="DE1" s="132"/>
      <c r="DF1" s="190">
        <v>44847.0</v>
      </c>
      <c r="DG1" s="132"/>
      <c r="DH1" s="132"/>
      <c r="DI1" s="132"/>
      <c r="DJ1" s="190">
        <v>44854.0</v>
      </c>
      <c r="DK1" s="132"/>
      <c r="DL1" s="132"/>
      <c r="DM1" s="132"/>
      <c r="DN1" s="190">
        <v>44861.0</v>
      </c>
      <c r="DO1" s="132"/>
      <c r="DP1" s="132"/>
      <c r="DQ1" s="132"/>
      <c r="DR1" s="190">
        <v>44868.0</v>
      </c>
      <c r="DS1" s="132"/>
      <c r="DT1" s="132"/>
      <c r="DU1" s="132"/>
      <c r="DV1" s="190">
        <v>44875.0</v>
      </c>
      <c r="DW1" s="132"/>
      <c r="DX1" s="132"/>
      <c r="DY1" s="132"/>
      <c r="DZ1" s="190">
        <v>44882.0</v>
      </c>
      <c r="EA1" s="132"/>
      <c r="EB1" s="132"/>
      <c r="EC1" s="132"/>
      <c r="ED1" s="190">
        <v>44889.0</v>
      </c>
      <c r="EE1" s="132"/>
      <c r="EF1" s="132"/>
      <c r="EG1" s="132"/>
      <c r="EH1" s="190">
        <v>44896.0</v>
      </c>
      <c r="EI1" s="132"/>
      <c r="EJ1" s="132"/>
      <c r="EK1" s="132"/>
      <c r="EL1" s="190">
        <v>44903.0</v>
      </c>
      <c r="EM1" s="132"/>
      <c r="EN1" s="132"/>
      <c r="EO1" s="132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1" t="s">
        <v>71</v>
      </c>
      <c r="G2" s="31" t="s">
        <v>72</v>
      </c>
      <c r="H2" s="31" t="s">
        <v>68</v>
      </c>
      <c r="I2" s="31" t="s">
        <v>70</v>
      </c>
      <c r="J2" s="159" t="s">
        <v>71</v>
      </c>
      <c r="K2" s="31" t="s">
        <v>72</v>
      </c>
      <c r="L2" s="31" t="s">
        <v>68</v>
      </c>
      <c r="M2" s="31" t="s">
        <v>70</v>
      </c>
      <c r="N2" s="31" t="s">
        <v>71</v>
      </c>
      <c r="O2" s="31" t="s">
        <v>72</v>
      </c>
      <c r="P2" s="31" t="s">
        <v>68</v>
      </c>
      <c r="Q2" s="31" t="s">
        <v>70</v>
      </c>
      <c r="R2" s="31" t="s">
        <v>71</v>
      </c>
      <c r="S2" s="31" t="s">
        <v>72</v>
      </c>
      <c r="T2" s="31" t="s">
        <v>68</v>
      </c>
      <c r="U2" s="32" t="s">
        <v>70</v>
      </c>
      <c r="V2" s="31" t="s">
        <v>71</v>
      </c>
      <c r="W2" s="31" t="s">
        <v>72</v>
      </c>
      <c r="X2" s="31" t="s">
        <v>68</v>
      </c>
      <c r="Y2" s="31" t="s">
        <v>70</v>
      </c>
      <c r="Z2" s="31" t="s">
        <v>71</v>
      </c>
      <c r="AA2" s="31" t="s">
        <v>72</v>
      </c>
      <c r="AB2" s="31" t="s">
        <v>68</v>
      </c>
      <c r="AC2" s="32" t="s">
        <v>70</v>
      </c>
      <c r="AD2" s="31" t="s">
        <v>71</v>
      </c>
      <c r="AE2" s="31" t="s">
        <v>72</v>
      </c>
      <c r="AF2" s="31" t="s">
        <v>68</v>
      </c>
      <c r="AG2" s="32" t="s">
        <v>70</v>
      </c>
      <c r="AH2" s="31" t="s">
        <v>71</v>
      </c>
      <c r="AI2" s="31" t="s">
        <v>72</v>
      </c>
      <c r="AJ2" s="31" t="s">
        <v>68</v>
      </c>
      <c r="AK2" s="32" t="s">
        <v>70</v>
      </c>
      <c r="AL2" s="159" t="s">
        <v>71</v>
      </c>
      <c r="AM2" s="31" t="s">
        <v>72</v>
      </c>
      <c r="AN2" s="31" t="s">
        <v>68</v>
      </c>
      <c r="AO2" s="32" t="s">
        <v>70</v>
      </c>
      <c r="AP2" s="31" t="s">
        <v>71</v>
      </c>
      <c r="AQ2" s="31" t="s">
        <v>72</v>
      </c>
      <c r="AR2" s="31" t="s">
        <v>68</v>
      </c>
      <c r="AS2" s="32" t="s">
        <v>70</v>
      </c>
      <c r="AT2" s="31" t="s">
        <v>71</v>
      </c>
      <c r="AU2" s="31" t="s">
        <v>72</v>
      </c>
      <c r="AV2" s="31" t="s">
        <v>68</v>
      </c>
      <c r="AW2" s="32" t="s">
        <v>70</v>
      </c>
      <c r="AX2" s="31" t="s">
        <v>71</v>
      </c>
      <c r="AY2" s="31" t="s">
        <v>72</v>
      </c>
      <c r="AZ2" s="31" t="s">
        <v>68</v>
      </c>
      <c r="BA2" s="32" t="s">
        <v>70</v>
      </c>
      <c r="BB2" s="31" t="s">
        <v>71</v>
      </c>
      <c r="BC2" s="31" t="s">
        <v>72</v>
      </c>
      <c r="BD2" s="31" t="s">
        <v>68</v>
      </c>
      <c r="BE2" s="32" t="s">
        <v>70</v>
      </c>
      <c r="BF2" s="31" t="s">
        <v>71</v>
      </c>
      <c r="BG2" s="31" t="s">
        <v>72</v>
      </c>
      <c r="BH2" s="31" t="s">
        <v>68</v>
      </c>
      <c r="BI2" s="32" t="s">
        <v>70</v>
      </c>
      <c r="BJ2" s="31" t="s">
        <v>71</v>
      </c>
      <c r="BK2" s="31" t="s">
        <v>72</v>
      </c>
      <c r="BL2" s="31" t="s">
        <v>68</v>
      </c>
      <c r="BM2" s="32" t="s">
        <v>70</v>
      </c>
      <c r="BN2" s="31" t="s">
        <v>71</v>
      </c>
      <c r="BO2" s="31" t="s">
        <v>72</v>
      </c>
      <c r="BP2" s="31" t="s">
        <v>68</v>
      </c>
      <c r="BQ2" s="32" t="s">
        <v>70</v>
      </c>
      <c r="BR2" s="31" t="s">
        <v>71</v>
      </c>
      <c r="BS2" s="31" t="s">
        <v>72</v>
      </c>
      <c r="BT2" s="31" t="s">
        <v>68</v>
      </c>
      <c r="BU2" s="32" t="s">
        <v>70</v>
      </c>
      <c r="BV2" s="31" t="s">
        <v>71</v>
      </c>
      <c r="BW2" s="31" t="s">
        <v>72</v>
      </c>
      <c r="BX2" s="31" t="s">
        <v>68</v>
      </c>
      <c r="BY2" s="32" t="s">
        <v>70</v>
      </c>
      <c r="BZ2" s="31" t="s">
        <v>71</v>
      </c>
      <c r="CA2" s="31" t="s">
        <v>72</v>
      </c>
      <c r="CB2" s="31" t="s">
        <v>68</v>
      </c>
      <c r="CC2" s="32" t="s">
        <v>70</v>
      </c>
      <c r="CD2" s="31" t="s">
        <v>71</v>
      </c>
      <c r="CE2" s="31" t="s">
        <v>72</v>
      </c>
      <c r="CF2" s="31" t="s">
        <v>68</v>
      </c>
      <c r="CG2" s="32" t="s">
        <v>70</v>
      </c>
      <c r="CH2" s="31" t="s">
        <v>71</v>
      </c>
      <c r="CI2" s="31" t="s">
        <v>72</v>
      </c>
      <c r="CJ2" s="31" t="s">
        <v>68</v>
      </c>
      <c r="CK2" s="32" t="s">
        <v>70</v>
      </c>
      <c r="CL2" s="31" t="s">
        <v>71</v>
      </c>
      <c r="CM2" s="31" t="s">
        <v>72</v>
      </c>
      <c r="CN2" s="31" t="s">
        <v>68</v>
      </c>
      <c r="CO2" s="32" t="s">
        <v>70</v>
      </c>
      <c r="CP2" s="31" t="s">
        <v>71</v>
      </c>
      <c r="CQ2" s="31" t="s">
        <v>72</v>
      </c>
      <c r="CR2" s="31" t="s">
        <v>68</v>
      </c>
      <c r="CS2" s="32" t="s">
        <v>70</v>
      </c>
      <c r="CT2" s="31" t="s">
        <v>71</v>
      </c>
      <c r="CU2" s="31" t="s">
        <v>72</v>
      </c>
      <c r="CV2" s="31" t="s">
        <v>68</v>
      </c>
      <c r="CW2" s="32" t="s">
        <v>70</v>
      </c>
      <c r="CX2" s="31" t="s">
        <v>71</v>
      </c>
      <c r="CY2" s="31" t="s">
        <v>72</v>
      </c>
      <c r="CZ2" s="31" t="s">
        <v>68</v>
      </c>
      <c r="DA2" s="32" t="s">
        <v>70</v>
      </c>
      <c r="DB2" s="31" t="s">
        <v>71</v>
      </c>
      <c r="DC2" s="31" t="s">
        <v>72</v>
      </c>
      <c r="DD2" s="31" t="s">
        <v>68</v>
      </c>
      <c r="DE2" s="32" t="s">
        <v>70</v>
      </c>
      <c r="DF2" s="31" t="s">
        <v>71</v>
      </c>
      <c r="DG2" s="31" t="s">
        <v>72</v>
      </c>
      <c r="DH2" s="31" t="s">
        <v>68</v>
      </c>
      <c r="DI2" s="32" t="s">
        <v>70</v>
      </c>
      <c r="DJ2" s="31" t="s">
        <v>71</v>
      </c>
      <c r="DK2" s="31" t="s">
        <v>72</v>
      </c>
      <c r="DL2" s="31" t="s">
        <v>68</v>
      </c>
      <c r="DM2" s="32" t="s">
        <v>70</v>
      </c>
      <c r="DN2" s="31" t="s">
        <v>71</v>
      </c>
      <c r="DO2" s="31" t="s">
        <v>72</v>
      </c>
      <c r="DP2" s="31" t="s">
        <v>68</v>
      </c>
      <c r="DQ2" s="32" t="s">
        <v>70</v>
      </c>
      <c r="DR2" s="31" t="s">
        <v>71</v>
      </c>
      <c r="DS2" s="31" t="s">
        <v>72</v>
      </c>
      <c r="DT2" s="31" t="s">
        <v>68</v>
      </c>
      <c r="DU2" s="32" t="s">
        <v>70</v>
      </c>
      <c r="DV2" s="31" t="s">
        <v>71</v>
      </c>
      <c r="DW2" s="31" t="s">
        <v>72</v>
      </c>
      <c r="DX2" s="31" t="s">
        <v>68</v>
      </c>
      <c r="DY2" s="32" t="s">
        <v>70</v>
      </c>
      <c r="DZ2" s="31" t="s">
        <v>71</v>
      </c>
      <c r="EA2" s="31" t="s">
        <v>72</v>
      </c>
      <c r="EB2" s="31" t="s">
        <v>68</v>
      </c>
      <c r="EC2" s="32" t="s">
        <v>70</v>
      </c>
      <c r="ED2" s="31" t="s">
        <v>71</v>
      </c>
      <c r="EE2" s="31" t="s">
        <v>72</v>
      </c>
      <c r="EF2" s="31" t="s">
        <v>68</v>
      </c>
      <c r="EG2" s="32" t="s">
        <v>70</v>
      </c>
      <c r="EH2" s="31" t="s">
        <v>71</v>
      </c>
      <c r="EI2" s="31" t="s">
        <v>72</v>
      </c>
      <c r="EJ2" s="31" t="s">
        <v>68</v>
      </c>
      <c r="EK2" s="32" t="s">
        <v>70</v>
      </c>
      <c r="EL2" s="31" t="s">
        <v>71</v>
      </c>
      <c r="EM2" s="31" t="s">
        <v>72</v>
      </c>
      <c r="EN2" s="31" t="s">
        <v>68</v>
      </c>
      <c r="EO2" s="32" t="s">
        <v>70</v>
      </c>
    </row>
    <row r="3">
      <c r="A3" s="20" t="s">
        <v>17</v>
      </c>
      <c r="B3" s="21" t="s">
        <v>18</v>
      </c>
      <c r="C3" s="1">
        <f t="shared" ref="C3:C41" si="1">countA($A$3:A3)</f>
        <v>1</v>
      </c>
      <c r="D3" s="15">
        <f>VLOOKUP(A3,TDP!A:C,3,FALSE)</f>
        <v>0.54</v>
      </c>
      <c r="E3" s="37">
        <f t="shared" ref="E3:E41" si="2">(1+D3)*sum(I3,M3,Q3,U3,Y3,AC3,AG3,AK3,AO3,AS3,AW3,BA3,BE3,BI3,BM3,BQ3,BU3,BY3,CC3,CG3,CK3,CO3, CS3,CW3,DA3,DE3,DI3,DM3,DQ3,DU3,DY3,EC3, EG3, EK3,EO3)</f>
        <v>241.78</v>
      </c>
      <c r="F3" s="4">
        <v>1.0</v>
      </c>
      <c r="G3" s="7">
        <v>1.0</v>
      </c>
      <c r="H3" s="7">
        <v>1.0</v>
      </c>
      <c r="I3" s="39">
        <f t="shared" ref="I3:I28" si="3"> if( F3=1, if( G3=1, if( H3=1, 5, 3), if( H3=1, 1, -3 ) ), if(G3=1,if(H3=1, -1, -2 ), if(H3=1, 7, 0 ) ) )</f>
        <v>5</v>
      </c>
      <c r="J3" s="4">
        <v>1.0</v>
      </c>
      <c r="K3" s="7">
        <v>1.0</v>
      </c>
      <c r="L3" s="7">
        <v>1.0</v>
      </c>
      <c r="M3" s="39">
        <f t="shared" ref="M3:M28" si="4"> if( J3=1, if( K3=1, if( L3=1, 5, 3), if( L3=1, 1, -3 ) ), if(K3=1,if(L3=1, -1, -2 ), if(L3=1, 7, 0 ) ) )</f>
        <v>5</v>
      </c>
      <c r="N3" s="7">
        <v>1.0</v>
      </c>
      <c r="O3" s="7">
        <v>1.0</v>
      </c>
      <c r="P3" s="7">
        <v>1.0</v>
      </c>
      <c r="Q3" s="39">
        <f t="shared" ref="Q3:Q28" si="5"> if( N3=1, if( O3=1, if( P3=1, 5, 3), if( P3=1, 1, -3 ) ), if(O3=1,if(P3=1, -1, -2 ), if(P3=1, 7, 0 ) ) )</f>
        <v>5</v>
      </c>
      <c r="R3" s="1"/>
      <c r="S3" s="1"/>
      <c r="T3" s="1"/>
      <c r="U3" s="39">
        <f t="shared" ref="U3:U28" si="6"> if( R3=1, if( S3=1, if( T3=1, 5, 3), if( T3=1, 1, -3 ) ), if(S3=1,if(T3=1, -1, -2 ), if(T3=1, 7, 0 ) ) )</f>
        <v>0</v>
      </c>
      <c r="V3" s="7">
        <v>1.0</v>
      </c>
      <c r="W3" s="7">
        <v>1.0</v>
      </c>
      <c r="X3" s="7">
        <v>1.0</v>
      </c>
      <c r="Y3" s="39">
        <f t="shared" ref="Y3:Y28" si="7"> if( V3=1, if( W3=1, if( X3=1, 5, 3), if( X3=1, 1, -3 ) ), if(W3=1,if(X3=1, -1, -2 ), if(X3=1, 7, 0 ) ) )</f>
        <v>5</v>
      </c>
      <c r="Z3" s="7">
        <v>1.0</v>
      </c>
      <c r="AA3" s="7">
        <v>1.0</v>
      </c>
      <c r="AB3" s="7">
        <v>1.0</v>
      </c>
      <c r="AC3" s="39">
        <f t="shared" ref="AC3:AC28" si="8"> if( Z3=1, if( AA3=1, if( AB3=1, 5, 3), if( AB3=1, 1, -3 ) ), if(AA3=1,if(AB3=1, -1, -2 ), if(AB3=1, 7, 0 ) ) )</f>
        <v>5</v>
      </c>
      <c r="AD3" s="7">
        <v>1.0</v>
      </c>
      <c r="AE3" s="7">
        <v>1.0</v>
      </c>
      <c r="AF3" s="7">
        <v>1.0</v>
      </c>
      <c r="AG3" s="39">
        <f t="shared" ref="AG3:AG28" si="9"> if( AD3=1, if( AE3=1, if( AF3=1, 5, 3), if( AF3=1, 1, -3 ) ), if(AE3=1,if(AF3=1, -1, -2 ), if(AF3=1, 7, 0 ) ) )</f>
        <v>5</v>
      </c>
      <c r="AH3" s="7">
        <v>1.0</v>
      </c>
      <c r="AI3" s="7">
        <v>1.0</v>
      </c>
      <c r="AJ3" s="7">
        <v>1.0</v>
      </c>
      <c r="AK3" s="39">
        <f t="shared" ref="AK3:AK28" si="10"> if( AH3=1, if( AI3=1, if( AJ3=1, 5, 3), if( AJ3=1, 1, -3 ) ), if(AI3=1,if(AJ3=1, -1, -2 ), if(AJ3=1, 7, 0 ) ) )</f>
        <v>5</v>
      </c>
      <c r="AL3" s="4">
        <v>1.0</v>
      </c>
      <c r="AM3" s="7">
        <v>1.0</v>
      </c>
      <c r="AN3" s="7">
        <v>1.0</v>
      </c>
      <c r="AO3" s="39">
        <f t="shared" ref="AO3:AO28" si="11"> if( AL3=1, if( AM3=1, if( AN3=1, 5, 3), if( AN3=1, 1, -3 ) ), if(AM3=1,if(AN3=1, -1, -2 ), if(AN3=1, 7, 0 ) ) )</f>
        <v>5</v>
      </c>
      <c r="AP3" s="7">
        <v>1.0</v>
      </c>
      <c r="AQ3" s="7">
        <v>1.0</v>
      </c>
      <c r="AR3" s="7">
        <v>1.0</v>
      </c>
      <c r="AS3" s="39">
        <f t="shared" ref="AS3:AS28" si="12"> if( AP3=1, if( AQ3=1, if( AR3=1, 5, 3), if( AR3=1, 1, -3 ) ), if(AQ3=1,if(AR3=1, -1, -2 ), if(AR3=1, 7, 0 ) ) )</f>
        <v>5</v>
      </c>
      <c r="AT3" s="7">
        <v>1.0</v>
      </c>
      <c r="AU3" s="7">
        <v>1.0</v>
      </c>
      <c r="AV3" s="7">
        <v>1.0</v>
      </c>
      <c r="AW3" s="39">
        <f t="shared" ref="AW3:AW28" si="13"> if( AT3=1, if( AU3=1, if( AV3=1, 5, 3), if( AV3=1, 1, -3 ) ), if(AU3=1,if(AV3=1, -1, -2 ), if(AV3=1, 7, 0 ) ) )</f>
        <v>5</v>
      </c>
      <c r="AX3" s="7">
        <v>1.0</v>
      </c>
      <c r="AY3" s="7">
        <v>1.0</v>
      </c>
      <c r="AZ3" s="7">
        <v>1.0</v>
      </c>
      <c r="BA3" s="39">
        <f t="shared" ref="BA3:BA28" si="14"> if( AX3=1, if( AY3=1, if( AZ3=1, 5, 3), if( AZ3=1, 1, -3 ) ), if(AY3=1,if(AZ3=1, -1, -2 ), if(AZ3=1, 7, 0 ) ) )</f>
        <v>5</v>
      </c>
      <c r="BB3" s="7">
        <v>1.0</v>
      </c>
      <c r="BC3" s="7">
        <v>1.0</v>
      </c>
      <c r="BD3" s="7">
        <v>1.0</v>
      </c>
      <c r="BE3" s="39">
        <f t="shared" ref="BE3:BE28" si="15"> if( BB3=1, if( BC3=1, if( BD3=1, 5, 3), if( BD3=1, 1, -3 ) ), if(BC3=1,if(BD3=1, -1, -2 ), if(BD3=1, 7, 0 ) ) )</f>
        <v>5</v>
      </c>
      <c r="BF3" s="7">
        <v>1.0</v>
      </c>
      <c r="BG3" s="7">
        <v>1.0</v>
      </c>
      <c r="BH3" s="7">
        <v>1.0</v>
      </c>
      <c r="BI3" s="39">
        <f t="shared" ref="BI3:BI28" si="16"> if( BF3=1, if( BG3=1, if( BH3=1, 5, 3), if( BH3=1, 1, -3 ) ), if(BG3=1,if(BH3=1, -1, -2 ), if(BH3=1, 7, 0 ) ) )</f>
        <v>5</v>
      </c>
      <c r="BJ3" s="7"/>
      <c r="BK3" s="7"/>
      <c r="BL3" s="7"/>
      <c r="BM3" s="39">
        <f t="shared" ref="BM3:BM28" si="17"> if( BJ3=1, if( BK3=1, if( BL3=1, 5, 3), if( BL3=1, 1, -3 ) ), if(BK3=1,if(BL3=1, -1, -2 ), if(BL3=1, 7, 0 ) ) )</f>
        <v>0</v>
      </c>
      <c r="BN3" s="7">
        <v>1.0</v>
      </c>
      <c r="BO3" s="7">
        <v>1.0</v>
      </c>
      <c r="BP3" s="7">
        <v>1.0</v>
      </c>
      <c r="BQ3" s="39">
        <f t="shared" ref="BQ3:BQ28" si="18"> if( BN3=1, if( BO3=1, if( BP3=1, 5, 3), if( BP3=1, 1, -3 ) ), if(BO3=1,if(BP3=1, -1, -2 ), if(BP3=1, 7, 0 ) ) )</f>
        <v>5</v>
      </c>
      <c r="BR3" s="7">
        <v>1.0</v>
      </c>
      <c r="BS3" s="7">
        <v>1.0</v>
      </c>
      <c r="BT3" s="7">
        <v>1.0</v>
      </c>
      <c r="BU3" s="39">
        <f t="shared" ref="BU3:BU28" si="19"> if( BR3=1, if( BS3=1, if( BT3=1, 5, 3), if( BT3=1, 1, -3 ) ), if(BS3=1,if(BT3=1, -1, -2 ), if(BT3=1, 7, 0 ) ) )</f>
        <v>5</v>
      </c>
      <c r="BV3" s="7">
        <v>1.0</v>
      </c>
      <c r="BW3" s="7">
        <v>1.0</v>
      </c>
      <c r="BX3" s="7">
        <v>1.0</v>
      </c>
      <c r="BY3" s="39">
        <f t="shared" ref="BY3:BY28" si="20"> if( BV3=1, if( BW3=1, if( BX3=1, 5, 3), if( BX3=1, 1, -3 ) ), if(BW3=1,if(BX3=1, -1, -2 ), if(BX3=1, 7, 0 ) ) )</f>
        <v>5</v>
      </c>
      <c r="BZ3" s="7">
        <v>1.0</v>
      </c>
      <c r="CA3" s="7">
        <v>1.0</v>
      </c>
      <c r="CB3" s="7">
        <v>1.0</v>
      </c>
      <c r="CC3" s="39">
        <f t="shared" ref="CC3:CC28" si="21"> if( BZ3=1, if( CA3=1, if( CB3=1, 5, 3), if( CB3=1, 1, -3 ) ), if(CA3=1,if(CB3=1, -1, -2 ), if(CB3=1, 7, 0 ) ) )</f>
        <v>5</v>
      </c>
      <c r="CD3" s="7">
        <v>1.0</v>
      </c>
      <c r="CE3" s="7">
        <v>1.0</v>
      </c>
      <c r="CF3" s="7">
        <v>1.0</v>
      </c>
      <c r="CG3" s="39">
        <f t="shared" ref="CG3:CG28" si="22"> if( CD3=1, if( CE3=1, if( CF3=1, 5, 3), if( CF3=1, 1, -3 ) ), if(CE3=1,if(CF3=1, -1, -2 ), if(CF3=1, 7, 0 ) ) )</f>
        <v>5</v>
      </c>
      <c r="CH3" s="7">
        <v>1.0</v>
      </c>
      <c r="CI3" s="7">
        <v>1.0</v>
      </c>
      <c r="CJ3" s="7">
        <v>1.0</v>
      </c>
      <c r="CK3" s="39">
        <f t="shared" ref="CK3:CK28" si="23"> if( CH3=1, if( CI3=1, if( CJ3=1, 5, 3), if( CJ3=1, 1, -3 ) ), if(CI3=1,if(CJ3=1, -1, -2 ), if(CJ3=1, 7, 0 ) ) )</f>
        <v>5</v>
      </c>
      <c r="CL3" s="7">
        <v>1.0</v>
      </c>
      <c r="CM3" s="7">
        <v>1.0</v>
      </c>
      <c r="CN3" s="7">
        <v>1.0</v>
      </c>
      <c r="CO3" s="39">
        <f t="shared" ref="CO3:CO41" si="24"> if( CL3=1, if( CM3=1, if( CN3=1, 5, 3), if( CN3=1, 1, -3 ) ), if(CM3=1,if(CN3=1, -1, -2 ), if(CN3=1, 7, 0 ) ) )</f>
        <v>5</v>
      </c>
      <c r="CP3" s="7">
        <v>1.0</v>
      </c>
      <c r="CQ3" s="7">
        <v>1.0</v>
      </c>
      <c r="CR3" s="7">
        <v>1.0</v>
      </c>
      <c r="CS3" s="39">
        <f t="shared" ref="CS3:CS41" si="25"> if( CP3=1, if( CQ3=1, if( CR3=1, 5, 3), if( CR3=1, 1, -3 ) ), if(CQ3=1,if(CR3=1, -1, -2 ), if(CR3=1, 7, 0 ) ) )</f>
        <v>5</v>
      </c>
      <c r="CT3" s="7">
        <v>1.0</v>
      </c>
      <c r="CU3" s="7">
        <v>1.0</v>
      </c>
      <c r="CV3" s="7">
        <v>1.0</v>
      </c>
      <c r="CW3" s="39">
        <f t="shared" ref="CW3:CW41" si="26"> if( CT3=1, if( CU3=1, if( CV3=1, 5, 3), if( CV3=1, 1, -3 ) ), if(CU3=1,if(CV3=1, -1, -2 ), if(CV3=1, 7, 0 ) ) )</f>
        <v>5</v>
      </c>
      <c r="CX3" s="7"/>
      <c r="CY3" s="7"/>
      <c r="CZ3" s="7"/>
      <c r="DA3" s="39">
        <f t="shared" ref="DA3:DA41" si="27"> if( CX3=1, if( CY3=1, if( CZ3=1, 5, 3), if( CZ3=1, 1, -3 ) ), if(CY3=1,if(CZ3=1, -1, -2 ), if(CZ3=1, 7, 0 ) ) )</f>
        <v>0</v>
      </c>
      <c r="DB3" s="7">
        <v>1.0</v>
      </c>
      <c r="DC3" s="7">
        <v>1.0</v>
      </c>
      <c r="DD3" s="7">
        <v>1.0</v>
      </c>
      <c r="DE3" s="39">
        <f t="shared" ref="DE3:DE41" si="28"> if( DB3=1, if( DC3=1, if( DD3=1, 5, 3), if( DD3=1, 1, -3 ) ), if(DC3=1,if(DD3=1, -1, -2 ), if(DD3=1, 7, 0 ) ) )</f>
        <v>5</v>
      </c>
      <c r="DF3" s="7">
        <v>1.0</v>
      </c>
      <c r="DG3" s="7">
        <v>1.0</v>
      </c>
      <c r="DH3" s="7">
        <v>1.0</v>
      </c>
      <c r="DI3" s="39">
        <f t="shared" ref="DI3:DI41" si="29"> if( DF3=1, if( DG3=1, if( DH3=1, 5, 3), if( DH3=1, 1, -3 ) ), if(DG3=1,if(DH3=1, -1, -2 ), if(DH3=1, 7, 0 ) ) )</f>
        <v>5</v>
      </c>
      <c r="DJ3" s="7">
        <v>1.0</v>
      </c>
      <c r="DK3" s="7">
        <v>1.0</v>
      </c>
      <c r="DL3" s="7">
        <v>1.0</v>
      </c>
      <c r="DM3" s="39">
        <f t="shared" ref="DM3:DM41" si="30"> if( DJ3=1, if( DK3=1, if( DL3=1, 5, 3), if( DL3=1, 1, -3 ) ), if(DK3=1,if(DL3=1, -1, -2 ), if(DL3=1, 7, 0 ) ) )</f>
        <v>5</v>
      </c>
      <c r="DN3" s="7"/>
      <c r="DO3" s="7"/>
      <c r="DP3" s="7"/>
      <c r="DQ3" s="39">
        <f t="shared" ref="DQ3:DQ41" si="31"> if( DN3=1, if( DO3=1, if( DP3=1, 5, 3), if( DP3=1, 1, -3 ) ), if(DO3=1,if(DP3=1, -1, -2 ), if(DP3=1, 7, 0 ) ) )</f>
        <v>0</v>
      </c>
      <c r="DR3" s="7">
        <v>1.0</v>
      </c>
      <c r="DS3" s="7">
        <v>1.0</v>
      </c>
      <c r="DT3" s="7">
        <v>1.0</v>
      </c>
      <c r="DU3" s="39">
        <f t="shared" ref="DU3:DU41" si="32"> if( DR3=1, if( DS3=1, if( DT3=1, 5, 3), if( DT3=1, 1, -3 ) ), if(DS3=1,if(DT3=1, -1, -2 ), if(DT3=1, 7, 0 ) ) )</f>
        <v>5</v>
      </c>
      <c r="DV3" s="7">
        <v>1.0</v>
      </c>
      <c r="DW3" s="7">
        <v>1.0</v>
      </c>
      <c r="DX3" s="7">
        <v>1.0</v>
      </c>
      <c r="DY3" s="39">
        <f t="shared" ref="DY3:DY41" si="33"> if( DV3=1, if( DW3=1, if( DX3=1, 5, 3), if( DX3=1, 1, -3 ) ), if(DW3=1,if(DX3=1, -1, -2 ), if(DX3=1, 7, 0 ) ) )</f>
        <v>5</v>
      </c>
      <c r="DZ3" s="7"/>
      <c r="EA3" s="7"/>
      <c r="EB3" s="7">
        <v>1.0</v>
      </c>
      <c r="EC3" s="39">
        <f t="shared" ref="EC3:EC41" si="34"> if( DZ3=1, if( EA3=1, if( EB3=1, 5, 3), if( EB3=1, 1, -3 ) ), if(EA3=1,if(EB3=1, -1, -2 ), if(EB3=1, 7, 0 ) ) )</f>
        <v>7</v>
      </c>
      <c r="ED3" s="7">
        <v>1.0</v>
      </c>
      <c r="EE3" s="7">
        <v>1.0</v>
      </c>
      <c r="EF3" s="7"/>
      <c r="EG3" s="39">
        <f t="shared" ref="EG3:EG41" si="35"> if( ED3=1, if( EE3=1, if( EF3=1, 5, 3), if( EF3=1, 1, -3 ) ), if(EE3=1,if(EF3=1, -1, -2 ), if(EF3=1, 7, 0 ) ) )</f>
        <v>3</v>
      </c>
      <c r="EH3" s="7">
        <v>1.0</v>
      </c>
      <c r="EI3" s="7">
        <v>1.0</v>
      </c>
      <c r="EJ3" s="7">
        <v>1.0</v>
      </c>
      <c r="EK3" s="39">
        <f t="shared" ref="EK3:EK41" si="36"> if( EH3=1, if( EI3=1, if( EJ3=1, 5, 3), if( EJ3=1, 1, -3 ) ), if(EI3=1,if(EJ3=1, -1, -2 ), if(EJ3=1, 7, 0 ) ) )</f>
        <v>5</v>
      </c>
      <c r="EL3" s="7"/>
      <c r="EM3" s="7"/>
      <c r="EN3" s="7">
        <v>1.0</v>
      </c>
      <c r="EO3" s="39">
        <f t="shared" ref="EO3:EO41" si="37"> if( EL3=1, if( EM3=1, if( EN3=1, 5, 3), if( EN3=1, 1, -3 ) ), if(EM3=1,if(EN3=1, -1, -2 ), if(EN3=1, 7, 0 ) ) )</f>
        <v>7</v>
      </c>
    </row>
    <row r="4">
      <c r="A4" s="20" t="s">
        <v>12</v>
      </c>
      <c r="B4" s="21" t="s">
        <v>13</v>
      </c>
      <c r="C4" s="1">
        <f t="shared" si="1"/>
        <v>2</v>
      </c>
      <c r="D4" s="15">
        <f>VLOOKUP(A4,TDP!A:C,3,FALSE)</f>
        <v>0.56</v>
      </c>
      <c r="E4" s="37">
        <f t="shared" si="2"/>
        <v>232.44</v>
      </c>
      <c r="F4" s="4"/>
      <c r="G4" s="7"/>
      <c r="H4" s="7">
        <v>1.0</v>
      </c>
      <c r="I4" s="39">
        <f t="shared" si="3"/>
        <v>7</v>
      </c>
      <c r="J4" s="4">
        <v>1.0</v>
      </c>
      <c r="K4" s="7">
        <v>1.0</v>
      </c>
      <c r="L4" s="7">
        <v>1.0</v>
      </c>
      <c r="M4" s="39">
        <f t="shared" si="4"/>
        <v>5</v>
      </c>
      <c r="N4" s="7">
        <v>1.0</v>
      </c>
      <c r="O4" s="7">
        <v>1.0</v>
      </c>
      <c r="P4" s="7">
        <v>1.0</v>
      </c>
      <c r="Q4" s="39">
        <f t="shared" si="5"/>
        <v>5</v>
      </c>
      <c r="R4" s="1"/>
      <c r="S4" s="1"/>
      <c r="T4" s="1"/>
      <c r="U4" s="39">
        <f t="shared" si="6"/>
        <v>0</v>
      </c>
      <c r="V4" s="7"/>
      <c r="W4" s="7"/>
      <c r="X4" s="7"/>
      <c r="Y4" s="39">
        <f t="shared" si="7"/>
        <v>0</v>
      </c>
      <c r="Z4" s="7">
        <v>1.0</v>
      </c>
      <c r="AA4" s="7">
        <v>1.0</v>
      </c>
      <c r="AB4" s="7">
        <v>1.0</v>
      </c>
      <c r="AC4" s="39">
        <f t="shared" si="8"/>
        <v>5</v>
      </c>
      <c r="AD4" s="7">
        <v>1.0</v>
      </c>
      <c r="AE4" s="7">
        <v>1.0</v>
      </c>
      <c r="AF4" s="7">
        <v>1.0</v>
      </c>
      <c r="AG4" s="39">
        <f t="shared" si="9"/>
        <v>5</v>
      </c>
      <c r="AH4" s="7">
        <v>1.0</v>
      </c>
      <c r="AI4" s="7">
        <v>1.0</v>
      </c>
      <c r="AJ4" s="7">
        <v>1.0</v>
      </c>
      <c r="AK4" s="39">
        <f t="shared" si="10"/>
        <v>5</v>
      </c>
      <c r="AL4" s="4">
        <v>1.0</v>
      </c>
      <c r="AM4" s="7">
        <v>1.0</v>
      </c>
      <c r="AN4" s="7">
        <v>1.0</v>
      </c>
      <c r="AO4" s="39">
        <f t="shared" si="11"/>
        <v>5</v>
      </c>
      <c r="AP4" s="7">
        <v>1.0</v>
      </c>
      <c r="AQ4" s="7">
        <v>1.0</v>
      </c>
      <c r="AR4" s="7">
        <v>1.0</v>
      </c>
      <c r="AS4" s="39">
        <f t="shared" si="12"/>
        <v>5</v>
      </c>
      <c r="AT4" s="7">
        <v>1.0</v>
      </c>
      <c r="AU4" s="7">
        <v>1.0</v>
      </c>
      <c r="AV4" s="7">
        <v>1.0</v>
      </c>
      <c r="AW4" s="39">
        <f t="shared" si="13"/>
        <v>5</v>
      </c>
      <c r="AX4" s="7">
        <v>1.0</v>
      </c>
      <c r="AY4" s="7">
        <v>1.0</v>
      </c>
      <c r="AZ4" s="7">
        <v>1.0</v>
      </c>
      <c r="BA4" s="39">
        <f t="shared" si="14"/>
        <v>5</v>
      </c>
      <c r="BB4" s="7"/>
      <c r="BC4" s="7"/>
      <c r="BD4" s="7">
        <v>1.0</v>
      </c>
      <c r="BE4" s="39">
        <f t="shared" si="15"/>
        <v>7</v>
      </c>
      <c r="BF4" s="7">
        <v>1.0</v>
      </c>
      <c r="BG4" s="7">
        <v>1.0</v>
      </c>
      <c r="BH4" s="7">
        <v>1.0</v>
      </c>
      <c r="BI4" s="39">
        <f t="shared" si="16"/>
        <v>5</v>
      </c>
      <c r="BJ4" s="7"/>
      <c r="BK4" s="7"/>
      <c r="BL4" s="7"/>
      <c r="BM4" s="39">
        <f t="shared" si="17"/>
        <v>0</v>
      </c>
      <c r="BN4" s="7">
        <v>1.0</v>
      </c>
      <c r="BO4" s="7">
        <v>1.0</v>
      </c>
      <c r="BP4" s="7">
        <v>1.0</v>
      </c>
      <c r="BQ4" s="39">
        <f t="shared" si="18"/>
        <v>5</v>
      </c>
      <c r="BR4" s="7">
        <v>1.0</v>
      </c>
      <c r="BS4" s="7">
        <v>1.0</v>
      </c>
      <c r="BT4" s="7">
        <v>1.0</v>
      </c>
      <c r="BU4" s="39">
        <f t="shared" si="19"/>
        <v>5</v>
      </c>
      <c r="BV4" s="7">
        <v>1.0</v>
      </c>
      <c r="BW4" s="7">
        <v>1.0</v>
      </c>
      <c r="BX4" s="7">
        <v>1.0</v>
      </c>
      <c r="BY4" s="39">
        <f t="shared" si="20"/>
        <v>5</v>
      </c>
      <c r="BZ4" s="7">
        <v>1.0</v>
      </c>
      <c r="CA4" s="7">
        <v>1.0</v>
      </c>
      <c r="CB4" s="7">
        <v>1.0</v>
      </c>
      <c r="CC4" s="39">
        <f t="shared" si="21"/>
        <v>5</v>
      </c>
      <c r="CD4" s="7">
        <v>1.0</v>
      </c>
      <c r="CE4" s="7">
        <v>1.0</v>
      </c>
      <c r="CF4" s="7">
        <v>1.0</v>
      </c>
      <c r="CG4" s="39">
        <f t="shared" si="22"/>
        <v>5</v>
      </c>
      <c r="CH4" s="7">
        <v>1.0</v>
      </c>
      <c r="CI4" s="7">
        <v>1.0</v>
      </c>
      <c r="CJ4" s="7"/>
      <c r="CK4" s="39">
        <f t="shared" si="23"/>
        <v>3</v>
      </c>
      <c r="CL4" s="7">
        <v>1.0</v>
      </c>
      <c r="CM4" s="7">
        <v>1.0</v>
      </c>
      <c r="CN4" s="7"/>
      <c r="CO4" s="39">
        <f t="shared" si="24"/>
        <v>3</v>
      </c>
      <c r="CP4" s="7"/>
      <c r="CQ4" s="7"/>
      <c r="CR4" s="7"/>
      <c r="CS4" s="39">
        <f t="shared" si="25"/>
        <v>0</v>
      </c>
      <c r="CT4" s="7">
        <v>1.0</v>
      </c>
      <c r="CU4" s="7">
        <v>1.0</v>
      </c>
      <c r="CV4" s="7"/>
      <c r="CW4" s="39">
        <f t="shared" si="26"/>
        <v>3</v>
      </c>
      <c r="CX4" s="7">
        <v>1.0</v>
      </c>
      <c r="CY4" s="7">
        <v>1.0</v>
      </c>
      <c r="CZ4" s="7">
        <v>1.0</v>
      </c>
      <c r="DA4" s="39">
        <f t="shared" si="27"/>
        <v>5</v>
      </c>
      <c r="DB4" s="7">
        <v>1.0</v>
      </c>
      <c r="DC4" s="7">
        <v>1.0</v>
      </c>
      <c r="DD4" s="7">
        <v>1.0</v>
      </c>
      <c r="DE4" s="39">
        <f t="shared" si="28"/>
        <v>5</v>
      </c>
      <c r="DF4" s="7">
        <v>1.0</v>
      </c>
      <c r="DG4" s="7">
        <v>1.0</v>
      </c>
      <c r="DH4" s="7"/>
      <c r="DI4" s="39">
        <f t="shared" si="29"/>
        <v>3</v>
      </c>
      <c r="DJ4" s="7">
        <v>1.0</v>
      </c>
      <c r="DK4" s="7">
        <v>1.0</v>
      </c>
      <c r="DL4" s="7">
        <v>1.0</v>
      </c>
      <c r="DM4" s="39">
        <f t="shared" si="30"/>
        <v>5</v>
      </c>
      <c r="DN4" s="7">
        <v>1.0</v>
      </c>
      <c r="DO4" s="7">
        <v>1.0</v>
      </c>
      <c r="DP4" s="7">
        <v>1.0</v>
      </c>
      <c r="DQ4" s="39">
        <f t="shared" si="31"/>
        <v>5</v>
      </c>
      <c r="DR4" s="7">
        <v>1.0</v>
      </c>
      <c r="DS4" s="7">
        <v>1.0</v>
      </c>
      <c r="DT4" s="7">
        <v>1.0</v>
      </c>
      <c r="DU4" s="39">
        <f t="shared" si="32"/>
        <v>5</v>
      </c>
      <c r="DV4" s="7">
        <v>1.0</v>
      </c>
      <c r="DW4" s="7">
        <v>1.0</v>
      </c>
      <c r="DX4" s="7">
        <v>1.0</v>
      </c>
      <c r="DY4" s="39">
        <f t="shared" si="33"/>
        <v>5</v>
      </c>
      <c r="DZ4" s="7">
        <v>1.0</v>
      </c>
      <c r="EA4" s="7">
        <v>1.0</v>
      </c>
      <c r="EB4" s="7">
        <v>1.0</v>
      </c>
      <c r="EC4" s="39">
        <f t="shared" si="34"/>
        <v>5</v>
      </c>
      <c r="ED4" s="7">
        <v>1.0</v>
      </c>
      <c r="EE4" s="7">
        <v>1.0</v>
      </c>
      <c r="EF4" s="7"/>
      <c r="EG4" s="39">
        <f t="shared" si="35"/>
        <v>3</v>
      </c>
      <c r="EH4" s="7">
        <v>1.0</v>
      </c>
      <c r="EI4" s="7">
        <v>1.0</v>
      </c>
      <c r="EJ4" s="7">
        <v>1.0</v>
      </c>
      <c r="EK4" s="39">
        <f t="shared" si="36"/>
        <v>5</v>
      </c>
      <c r="EL4" s="7">
        <v>1.0</v>
      </c>
      <c r="EM4" s="7">
        <v>1.0</v>
      </c>
      <c r="EN4" s="7">
        <v>1.0</v>
      </c>
      <c r="EO4" s="39">
        <f t="shared" si="37"/>
        <v>5</v>
      </c>
    </row>
    <row r="5">
      <c r="A5" s="20" t="s">
        <v>32</v>
      </c>
      <c r="B5" s="21" t="s">
        <v>33</v>
      </c>
      <c r="C5" s="1">
        <f t="shared" si="1"/>
        <v>3</v>
      </c>
      <c r="D5" s="15">
        <f>VLOOKUP(A5,TDP!A:C,3,FALSE)</f>
        <v>0.39</v>
      </c>
      <c r="E5" s="37">
        <f t="shared" si="2"/>
        <v>214.06</v>
      </c>
      <c r="F5" s="4">
        <v>1.0</v>
      </c>
      <c r="G5" s="7">
        <v>1.0</v>
      </c>
      <c r="H5" s="7">
        <v>1.0</v>
      </c>
      <c r="I5" s="39">
        <f t="shared" si="3"/>
        <v>5</v>
      </c>
      <c r="J5" s="4">
        <v>1.0</v>
      </c>
      <c r="K5" s="7">
        <v>1.0</v>
      </c>
      <c r="L5" s="7">
        <v>1.0</v>
      </c>
      <c r="M5" s="39">
        <f t="shared" si="4"/>
        <v>5</v>
      </c>
      <c r="N5" s="7">
        <v>1.0</v>
      </c>
      <c r="O5" s="7">
        <v>1.0</v>
      </c>
      <c r="P5" s="7">
        <v>1.0</v>
      </c>
      <c r="Q5" s="39">
        <f t="shared" si="5"/>
        <v>5</v>
      </c>
      <c r="R5" s="7"/>
      <c r="S5" s="7"/>
      <c r="T5" s="7"/>
      <c r="U5" s="39">
        <f t="shared" si="6"/>
        <v>0</v>
      </c>
      <c r="V5" s="7">
        <v>1.0</v>
      </c>
      <c r="W5" s="7">
        <v>1.0</v>
      </c>
      <c r="X5" s="7">
        <v>1.0</v>
      </c>
      <c r="Y5" s="39">
        <f t="shared" si="7"/>
        <v>5</v>
      </c>
      <c r="Z5" s="7">
        <v>1.0</v>
      </c>
      <c r="AA5" s="7">
        <v>1.0</v>
      </c>
      <c r="AB5" s="7">
        <v>1.0</v>
      </c>
      <c r="AC5" s="39">
        <f t="shared" si="8"/>
        <v>5</v>
      </c>
      <c r="AD5" s="7">
        <v>1.0</v>
      </c>
      <c r="AE5" s="7">
        <v>1.0</v>
      </c>
      <c r="AF5" s="7">
        <v>1.0</v>
      </c>
      <c r="AG5" s="39">
        <f t="shared" si="9"/>
        <v>5</v>
      </c>
      <c r="AH5" s="7">
        <v>1.0</v>
      </c>
      <c r="AI5" s="7">
        <v>1.0</v>
      </c>
      <c r="AJ5" s="7">
        <v>1.0</v>
      </c>
      <c r="AK5" s="39">
        <f t="shared" si="10"/>
        <v>5</v>
      </c>
      <c r="AL5" s="4">
        <v>1.0</v>
      </c>
      <c r="AM5" s="7">
        <v>1.0</v>
      </c>
      <c r="AN5" s="7">
        <v>1.0</v>
      </c>
      <c r="AO5" s="39">
        <f t="shared" si="11"/>
        <v>5</v>
      </c>
      <c r="AP5" s="7">
        <v>1.0</v>
      </c>
      <c r="AQ5" s="7">
        <v>1.0</v>
      </c>
      <c r="AR5" s="7">
        <v>1.0</v>
      </c>
      <c r="AS5" s="39">
        <f t="shared" si="12"/>
        <v>5</v>
      </c>
      <c r="AT5" s="7">
        <v>1.0</v>
      </c>
      <c r="AU5" s="7">
        <v>1.0</v>
      </c>
      <c r="AV5" s="7">
        <v>1.0</v>
      </c>
      <c r="AW5" s="39">
        <f t="shared" si="13"/>
        <v>5</v>
      </c>
      <c r="AX5" s="7">
        <v>1.0</v>
      </c>
      <c r="AY5" s="7">
        <v>1.0</v>
      </c>
      <c r="AZ5" s="7">
        <v>1.0</v>
      </c>
      <c r="BA5" s="39">
        <f t="shared" si="14"/>
        <v>5</v>
      </c>
      <c r="BB5" s="7">
        <v>1.0</v>
      </c>
      <c r="BC5" s="7">
        <v>1.0</v>
      </c>
      <c r="BD5" s="7">
        <v>1.0</v>
      </c>
      <c r="BE5" s="39">
        <f t="shared" si="15"/>
        <v>5</v>
      </c>
      <c r="BF5" s="7">
        <v>1.0</v>
      </c>
      <c r="BG5" s="7">
        <v>1.0</v>
      </c>
      <c r="BH5" s="7">
        <v>1.0</v>
      </c>
      <c r="BI5" s="39">
        <f t="shared" si="16"/>
        <v>5</v>
      </c>
      <c r="BJ5" s="7">
        <v>1.0</v>
      </c>
      <c r="BK5" s="7">
        <v>1.0</v>
      </c>
      <c r="BL5" s="7">
        <v>1.0</v>
      </c>
      <c r="BM5" s="39">
        <f t="shared" si="17"/>
        <v>5</v>
      </c>
      <c r="BN5" s="7">
        <v>1.0</v>
      </c>
      <c r="BO5" s="7">
        <v>1.0</v>
      </c>
      <c r="BP5" s="7">
        <v>1.0</v>
      </c>
      <c r="BQ5" s="39">
        <f t="shared" si="18"/>
        <v>5</v>
      </c>
      <c r="BR5" s="7">
        <v>1.0</v>
      </c>
      <c r="BS5" s="7">
        <v>1.0</v>
      </c>
      <c r="BT5" s="7">
        <v>1.0</v>
      </c>
      <c r="BU5" s="39">
        <f t="shared" si="19"/>
        <v>5</v>
      </c>
      <c r="BV5" s="7">
        <v>1.0</v>
      </c>
      <c r="BW5" s="7">
        <v>1.0</v>
      </c>
      <c r="BX5" s="7">
        <v>1.0</v>
      </c>
      <c r="BY5" s="39">
        <f t="shared" si="20"/>
        <v>5</v>
      </c>
      <c r="BZ5" s="7">
        <v>1.0</v>
      </c>
      <c r="CA5" s="7">
        <v>1.0</v>
      </c>
      <c r="CB5" s="7">
        <v>1.0</v>
      </c>
      <c r="CC5" s="39">
        <f t="shared" si="21"/>
        <v>5</v>
      </c>
      <c r="CD5" s="7">
        <v>1.0</v>
      </c>
      <c r="CE5" s="7">
        <v>1.0</v>
      </c>
      <c r="CF5" s="7">
        <v>1.0</v>
      </c>
      <c r="CG5" s="39">
        <f t="shared" si="22"/>
        <v>5</v>
      </c>
      <c r="CH5" s="7">
        <v>1.0</v>
      </c>
      <c r="CI5" s="7">
        <v>1.0</v>
      </c>
      <c r="CJ5" s="7">
        <v>1.0</v>
      </c>
      <c r="CK5" s="39">
        <f t="shared" si="23"/>
        <v>5</v>
      </c>
      <c r="CL5" s="7">
        <v>1.0</v>
      </c>
      <c r="CM5" s="7">
        <v>1.0</v>
      </c>
      <c r="CN5" s="7"/>
      <c r="CO5" s="39">
        <f t="shared" si="24"/>
        <v>3</v>
      </c>
      <c r="CP5" s="7">
        <v>1.0</v>
      </c>
      <c r="CQ5" s="7">
        <v>1.0</v>
      </c>
      <c r="CR5" s="7">
        <v>1.0</v>
      </c>
      <c r="CS5" s="39">
        <f t="shared" si="25"/>
        <v>5</v>
      </c>
      <c r="CT5" s="7">
        <v>1.0</v>
      </c>
      <c r="CU5" s="7">
        <v>1.0</v>
      </c>
      <c r="CV5" s="7"/>
      <c r="CW5" s="39">
        <f t="shared" si="26"/>
        <v>3</v>
      </c>
      <c r="CX5" s="7">
        <v>1.0</v>
      </c>
      <c r="CY5" s="7">
        <v>1.0</v>
      </c>
      <c r="CZ5" s="7"/>
      <c r="DA5" s="39">
        <f t="shared" si="27"/>
        <v>3</v>
      </c>
      <c r="DB5" s="7">
        <v>1.0</v>
      </c>
      <c r="DC5" s="7">
        <v>1.0</v>
      </c>
      <c r="DD5" s="7"/>
      <c r="DE5" s="39">
        <f t="shared" si="28"/>
        <v>3</v>
      </c>
      <c r="DF5" s="7">
        <v>1.0</v>
      </c>
      <c r="DG5" s="7">
        <v>1.0</v>
      </c>
      <c r="DH5" s="7"/>
      <c r="DI5" s="39">
        <f t="shared" si="29"/>
        <v>3</v>
      </c>
      <c r="DJ5" s="7">
        <v>1.0</v>
      </c>
      <c r="DK5" s="7">
        <v>1.0</v>
      </c>
      <c r="DL5" s="7"/>
      <c r="DM5" s="39">
        <f t="shared" si="30"/>
        <v>3</v>
      </c>
      <c r="DN5" s="7">
        <v>1.0</v>
      </c>
      <c r="DO5" s="7">
        <v>1.0</v>
      </c>
      <c r="DP5" s="7">
        <v>1.0</v>
      </c>
      <c r="DQ5" s="39">
        <f t="shared" si="31"/>
        <v>5</v>
      </c>
      <c r="DR5" s="7">
        <v>1.0</v>
      </c>
      <c r="DS5" s="7">
        <v>1.0</v>
      </c>
      <c r="DT5" s="7"/>
      <c r="DU5" s="39">
        <f t="shared" si="32"/>
        <v>3</v>
      </c>
      <c r="DV5" s="7">
        <v>1.0</v>
      </c>
      <c r="DW5" s="7">
        <v>1.0</v>
      </c>
      <c r="DX5" s="7">
        <v>1.0</v>
      </c>
      <c r="DY5" s="39">
        <f t="shared" si="33"/>
        <v>5</v>
      </c>
      <c r="DZ5" s="7">
        <v>1.0</v>
      </c>
      <c r="EA5" s="7">
        <v>1.0</v>
      </c>
      <c r="EB5" s="7">
        <v>1.0</v>
      </c>
      <c r="EC5" s="39">
        <f t="shared" si="34"/>
        <v>5</v>
      </c>
      <c r="ED5" s="7">
        <v>1.0</v>
      </c>
      <c r="EE5" s="7">
        <v>1.0</v>
      </c>
      <c r="EF5" s="7"/>
      <c r="EG5" s="39">
        <f t="shared" si="35"/>
        <v>3</v>
      </c>
      <c r="EH5" s="7">
        <v>1.0</v>
      </c>
      <c r="EI5" s="7">
        <v>1.0</v>
      </c>
      <c r="EJ5" s="7">
        <v>1.0</v>
      </c>
      <c r="EK5" s="39">
        <f t="shared" si="36"/>
        <v>5</v>
      </c>
      <c r="EL5" s="7">
        <v>1.0</v>
      </c>
      <c r="EM5" s="7">
        <v>1.0</v>
      </c>
      <c r="EN5" s="7">
        <v>1.0</v>
      </c>
      <c r="EO5" s="39">
        <f t="shared" si="37"/>
        <v>5</v>
      </c>
    </row>
    <row r="6">
      <c r="A6" s="20" t="s">
        <v>47</v>
      </c>
      <c r="B6" s="21" t="s">
        <v>167</v>
      </c>
      <c r="C6" s="1">
        <f t="shared" si="1"/>
        <v>4</v>
      </c>
      <c r="D6" s="15">
        <f>VLOOKUP(A6,TDP!A:C,3,FALSE)</f>
        <v>0.37</v>
      </c>
      <c r="E6" s="37">
        <f t="shared" si="2"/>
        <v>210.98</v>
      </c>
      <c r="F6" s="4">
        <v>1.0</v>
      </c>
      <c r="G6" s="7">
        <v>1.0</v>
      </c>
      <c r="H6" s="7">
        <v>1.0</v>
      </c>
      <c r="I6" s="39">
        <f t="shared" si="3"/>
        <v>5</v>
      </c>
      <c r="J6" s="4">
        <v>1.0</v>
      </c>
      <c r="K6" s="7">
        <v>1.0</v>
      </c>
      <c r="L6" s="7">
        <v>1.0</v>
      </c>
      <c r="M6" s="39">
        <f t="shared" si="4"/>
        <v>5</v>
      </c>
      <c r="N6" s="7">
        <v>1.0</v>
      </c>
      <c r="O6" s="7">
        <v>1.0</v>
      </c>
      <c r="P6" s="7">
        <v>1.0</v>
      </c>
      <c r="Q6" s="39">
        <f t="shared" si="5"/>
        <v>5</v>
      </c>
      <c r="R6" s="7"/>
      <c r="S6" s="7"/>
      <c r="T6" s="1"/>
      <c r="U6" s="39">
        <f t="shared" si="6"/>
        <v>0</v>
      </c>
      <c r="V6" s="7">
        <v>1.0</v>
      </c>
      <c r="W6" s="7">
        <v>1.0</v>
      </c>
      <c r="X6" s="7">
        <v>1.0</v>
      </c>
      <c r="Y6" s="39">
        <f t="shared" si="7"/>
        <v>5</v>
      </c>
      <c r="Z6" s="7">
        <v>1.0</v>
      </c>
      <c r="AA6" s="7">
        <v>1.0</v>
      </c>
      <c r="AB6" s="7">
        <v>1.0</v>
      </c>
      <c r="AC6" s="39">
        <f t="shared" si="8"/>
        <v>5</v>
      </c>
      <c r="AD6" s="7">
        <v>1.0</v>
      </c>
      <c r="AE6" s="7">
        <v>1.0</v>
      </c>
      <c r="AF6" s="7">
        <v>1.0</v>
      </c>
      <c r="AG6" s="39">
        <f t="shared" si="9"/>
        <v>5</v>
      </c>
      <c r="AH6" s="7">
        <v>1.0</v>
      </c>
      <c r="AI6" s="7">
        <v>1.0</v>
      </c>
      <c r="AJ6" s="7"/>
      <c r="AK6" s="39">
        <f t="shared" si="10"/>
        <v>3</v>
      </c>
      <c r="AL6" s="4">
        <v>1.0</v>
      </c>
      <c r="AM6" s="7">
        <v>1.0</v>
      </c>
      <c r="AN6" s="7">
        <v>1.0</v>
      </c>
      <c r="AO6" s="39">
        <f t="shared" si="11"/>
        <v>5</v>
      </c>
      <c r="AP6" s="7">
        <v>1.0</v>
      </c>
      <c r="AQ6" s="7">
        <v>1.0</v>
      </c>
      <c r="AR6" s="7">
        <v>1.0</v>
      </c>
      <c r="AS6" s="39">
        <f t="shared" si="12"/>
        <v>5</v>
      </c>
      <c r="AT6" s="7"/>
      <c r="AU6" s="7"/>
      <c r="AV6" s="7">
        <v>1.0</v>
      </c>
      <c r="AW6" s="39">
        <f t="shared" si="13"/>
        <v>7</v>
      </c>
      <c r="AX6" s="7">
        <v>1.0</v>
      </c>
      <c r="AY6" s="7">
        <v>1.0</v>
      </c>
      <c r="AZ6" s="7">
        <v>1.0</v>
      </c>
      <c r="BA6" s="39">
        <f t="shared" si="14"/>
        <v>5</v>
      </c>
      <c r="BB6" s="7">
        <v>1.0</v>
      </c>
      <c r="BC6" s="7">
        <v>1.0</v>
      </c>
      <c r="BD6" s="7">
        <v>1.0</v>
      </c>
      <c r="BE6" s="39">
        <f t="shared" si="15"/>
        <v>5</v>
      </c>
      <c r="BF6" s="7">
        <v>1.0</v>
      </c>
      <c r="BG6" s="7">
        <v>1.0</v>
      </c>
      <c r="BH6" s="7">
        <v>1.0</v>
      </c>
      <c r="BI6" s="39">
        <f t="shared" si="16"/>
        <v>5</v>
      </c>
      <c r="BJ6" s="7">
        <v>1.0</v>
      </c>
      <c r="BK6" s="7">
        <v>1.0</v>
      </c>
      <c r="BL6" s="7">
        <v>1.0</v>
      </c>
      <c r="BM6" s="39">
        <f t="shared" si="17"/>
        <v>5</v>
      </c>
      <c r="BN6" s="7">
        <v>1.0</v>
      </c>
      <c r="BO6" s="7">
        <v>1.0</v>
      </c>
      <c r="BP6" s="7">
        <v>1.0</v>
      </c>
      <c r="BQ6" s="39">
        <f t="shared" si="18"/>
        <v>5</v>
      </c>
      <c r="BR6" s="7">
        <v>1.0</v>
      </c>
      <c r="BS6" s="7">
        <v>1.0</v>
      </c>
      <c r="BT6" s="7">
        <v>1.0</v>
      </c>
      <c r="BU6" s="39">
        <f t="shared" si="19"/>
        <v>5</v>
      </c>
      <c r="BV6" s="7">
        <v>1.0</v>
      </c>
      <c r="BW6" s="7">
        <v>1.0</v>
      </c>
      <c r="BX6" s="7">
        <v>1.0</v>
      </c>
      <c r="BY6" s="39">
        <f t="shared" si="20"/>
        <v>5</v>
      </c>
      <c r="BZ6" s="7">
        <v>1.0</v>
      </c>
      <c r="CA6" s="7">
        <v>1.0</v>
      </c>
      <c r="CB6" s="7">
        <v>1.0</v>
      </c>
      <c r="CC6" s="39">
        <f t="shared" si="21"/>
        <v>5</v>
      </c>
      <c r="CD6" s="7">
        <v>1.0</v>
      </c>
      <c r="CE6" s="7">
        <v>1.0</v>
      </c>
      <c r="CF6" s="7">
        <v>1.0</v>
      </c>
      <c r="CG6" s="39">
        <f t="shared" si="22"/>
        <v>5</v>
      </c>
      <c r="CH6" s="7">
        <v>1.0</v>
      </c>
      <c r="CI6" s="7">
        <v>1.0</v>
      </c>
      <c r="CJ6" s="7">
        <v>1.0</v>
      </c>
      <c r="CK6" s="39">
        <f t="shared" si="23"/>
        <v>5</v>
      </c>
      <c r="CL6" s="7">
        <v>1.0</v>
      </c>
      <c r="CM6" s="7">
        <v>1.0</v>
      </c>
      <c r="CN6" s="7"/>
      <c r="CO6" s="39">
        <f t="shared" si="24"/>
        <v>3</v>
      </c>
      <c r="CP6" s="7">
        <v>1.0</v>
      </c>
      <c r="CQ6" s="7">
        <v>1.0</v>
      </c>
      <c r="CR6" s="7">
        <v>1.0</v>
      </c>
      <c r="CS6" s="39">
        <f t="shared" si="25"/>
        <v>5</v>
      </c>
      <c r="CT6" s="7">
        <v>1.0</v>
      </c>
      <c r="CU6" s="7">
        <v>1.0</v>
      </c>
      <c r="CV6" s="7"/>
      <c r="CW6" s="39">
        <f t="shared" si="26"/>
        <v>3</v>
      </c>
      <c r="CX6" s="7">
        <v>1.0</v>
      </c>
      <c r="CY6" s="7">
        <v>1.0</v>
      </c>
      <c r="CZ6" s="7"/>
      <c r="DA6" s="39">
        <f t="shared" si="27"/>
        <v>3</v>
      </c>
      <c r="DB6" s="7">
        <v>1.0</v>
      </c>
      <c r="DC6" s="7">
        <v>1.0</v>
      </c>
      <c r="DD6" s="7"/>
      <c r="DE6" s="39">
        <f t="shared" si="28"/>
        <v>3</v>
      </c>
      <c r="DF6" s="7">
        <v>1.0</v>
      </c>
      <c r="DG6" s="7">
        <v>1.0</v>
      </c>
      <c r="DH6" s="7"/>
      <c r="DI6" s="39">
        <f t="shared" si="29"/>
        <v>3</v>
      </c>
      <c r="DJ6" s="7">
        <v>1.0</v>
      </c>
      <c r="DK6" s="7">
        <v>1.0</v>
      </c>
      <c r="DL6" s="7"/>
      <c r="DM6" s="39">
        <f t="shared" si="30"/>
        <v>3</v>
      </c>
      <c r="DN6" s="7">
        <v>1.0</v>
      </c>
      <c r="DO6" s="7">
        <v>1.0</v>
      </c>
      <c r="DP6" s="7">
        <v>1.0</v>
      </c>
      <c r="DQ6" s="39">
        <f t="shared" si="31"/>
        <v>5</v>
      </c>
      <c r="DR6" s="7">
        <v>1.0</v>
      </c>
      <c r="DS6" s="7">
        <v>1.0</v>
      </c>
      <c r="DT6" s="7"/>
      <c r="DU6" s="39">
        <f t="shared" si="32"/>
        <v>3</v>
      </c>
      <c r="DV6" s="7">
        <v>1.0</v>
      </c>
      <c r="DW6" s="7">
        <v>1.0</v>
      </c>
      <c r="DX6" s="7">
        <v>1.0</v>
      </c>
      <c r="DY6" s="39">
        <f t="shared" si="33"/>
        <v>5</v>
      </c>
      <c r="DZ6" s="7">
        <v>1.0</v>
      </c>
      <c r="EA6" s="7">
        <v>1.0</v>
      </c>
      <c r="EB6" s="7">
        <v>1.0</v>
      </c>
      <c r="EC6" s="39">
        <f t="shared" si="34"/>
        <v>5</v>
      </c>
      <c r="ED6" s="7">
        <v>1.0</v>
      </c>
      <c r="EE6" s="7">
        <v>1.0</v>
      </c>
      <c r="EF6" s="7"/>
      <c r="EG6" s="39">
        <f t="shared" si="35"/>
        <v>3</v>
      </c>
      <c r="EH6" s="7">
        <v>1.0</v>
      </c>
      <c r="EI6" s="7">
        <v>1.0</v>
      </c>
      <c r="EJ6" s="7">
        <v>1.0</v>
      </c>
      <c r="EK6" s="39">
        <f t="shared" si="36"/>
        <v>5</v>
      </c>
      <c r="EL6" s="7">
        <v>1.0</v>
      </c>
      <c r="EM6" s="7">
        <v>1.0</v>
      </c>
      <c r="EN6" s="7">
        <v>1.0</v>
      </c>
      <c r="EO6" s="39">
        <f t="shared" si="37"/>
        <v>5</v>
      </c>
    </row>
    <row r="7">
      <c r="A7" s="20" t="s">
        <v>22</v>
      </c>
      <c r="B7" s="21" t="s">
        <v>23</v>
      </c>
      <c r="C7" s="1">
        <f t="shared" si="1"/>
        <v>5</v>
      </c>
      <c r="D7" s="15">
        <f>VLOOKUP(A7,TDP!A:C,3,FALSE)</f>
        <v>0.51</v>
      </c>
      <c r="E7" s="37">
        <f t="shared" si="2"/>
        <v>205.36</v>
      </c>
      <c r="F7" s="4">
        <v>1.0</v>
      </c>
      <c r="G7" s="7">
        <v>1.0</v>
      </c>
      <c r="H7" s="7"/>
      <c r="I7" s="39">
        <f t="shared" si="3"/>
        <v>3</v>
      </c>
      <c r="J7" s="4">
        <v>1.0</v>
      </c>
      <c r="K7" s="7">
        <v>1.0</v>
      </c>
      <c r="L7" s="7">
        <v>1.0</v>
      </c>
      <c r="M7" s="39">
        <f t="shared" si="4"/>
        <v>5</v>
      </c>
      <c r="N7" s="7"/>
      <c r="O7" s="1"/>
      <c r="P7" s="7"/>
      <c r="Q7" s="39">
        <f t="shared" si="5"/>
        <v>0</v>
      </c>
      <c r="R7" s="7"/>
      <c r="S7" s="7"/>
      <c r="T7" s="7"/>
      <c r="U7" s="39">
        <f t="shared" si="6"/>
        <v>0</v>
      </c>
      <c r="V7" s="7">
        <v>1.0</v>
      </c>
      <c r="W7" s="7">
        <v>1.0</v>
      </c>
      <c r="X7" s="7">
        <v>1.0</v>
      </c>
      <c r="Y7" s="39">
        <f t="shared" si="7"/>
        <v>5</v>
      </c>
      <c r="Z7" s="7">
        <v>1.0</v>
      </c>
      <c r="AA7" s="7">
        <v>1.0</v>
      </c>
      <c r="AB7" s="7">
        <v>1.0</v>
      </c>
      <c r="AC7" s="39">
        <f t="shared" si="8"/>
        <v>5</v>
      </c>
      <c r="AD7" s="7">
        <v>1.0</v>
      </c>
      <c r="AE7" s="7">
        <v>1.0</v>
      </c>
      <c r="AF7" s="7">
        <v>1.0</v>
      </c>
      <c r="AG7" s="39">
        <f t="shared" si="9"/>
        <v>5</v>
      </c>
      <c r="AH7" s="7">
        <v>1.0</v>
      </c>
      <c r="AI7" s="7">
        <v>1.0</v>
      </c>
      <c r="AJ7" s="7">
        <v>1.0</v>
      </c>
      <c r="AK7" s="39">
        <f t="shared" si="10"/>
        <v>5</v>
      </c>
      <c r="AL7" s="4">
        <v>1.0</v>
      </c>
      <c r="AM7" s="7">
        <v>1.0</v>
      </c>
      <c r="AN7" s="7">
        <v>1.0</v>
      </c>
      <c r="AO7" s="39">
        <f t="shared" si="11"/>
        <v>5</v>
      </c>
      <c r="AP7" s="7">
        <v>1.0</v>
      </c>
      <c r="AQ7" s="7">
        <v>1.0</v>
      </c>
      <c r="AR7" s="7">
        <v>1.0</v>
      </c>
      <c r="AS7" s="39">
        <f t="shared" si="12"/>
        <v>5</v>
      </c>
      <c r="AT7" s="7">
        <v>1.0</v>
      </c>
      <c r="AU7" s="7">
        <v>1.0</v>
      </c>
      <c r="AV7" s="7">
        <v>1.0</v>
      </c>
      <c r="AW7" s="39">
        <f t="shared" si="13"/>
        <v>5</v>
      </c>
      <c r="AX7" s="7">
        <v>1.0</v>
      </c>
      <c r="AY7" s="7">
        <v>1.0</v>
      </c>
      <c r="AZ7" s="7">
        <v>1.0</v>
      </c>
      <c r="BA7" s="39">
        <f t="shared" si="14"/>
        <v>5</v>
      </c>
      <c r="BB7" s="7">
        <v>1.0</v>
      </c>
      <c r="BC7" s="7">
        <v>1.0</v>
      </c>
      <c r="BD7" s="7">
        <v>1.0</v>
      </c>
      <c r="BE7" s="39">
        <f t="shared" si="15"/>
        <v>5</v>
      </c>
      <c r="BF7" s="7"/>
      <c r="BG7" s="7"/>
      <c r="BH7" s="7"/>
      <c r="BI7" s="39">
        <f t="shared" si="16"/>
        <v>0</v>
      </c>
      <c r="BJ7" s="7"/>
      <c r="BK7" s="7"/>
      <c r="BL7" s="7"/>
      <c r="BM7" s="39">
        <f t="shared" si="17"/>
        <v>0</v>
      </c>
      <c r="BN7" s="7">
        <v>1.0</v>
      </c>
      <c r="BO7" s="7">
        <v>1.0</v>
      </c>
      <c r="BP7" s="7">
        <v>1.0</v>
      </c>
      <c r="BQ7" s="39">
        <f t="shared" si="18"/>
        <v>5</v>
      </c>
      <c r="BR7" s="7">
        <v>1.0</v>
      </c>
      <c r="BS7" s="7">
        <v>1.0</v>
      </c>
      <c r="BT7" s="7">
        <v>1.0</v>
      </c>
      <c r="BU7" s="39">
        <f t="shared" si="19"/>
        <v>5</v>
      </c>
      <c r="BV7" s="7">
        <v>1.0</v>
      </c>
      <c r="BW7" s="7">
        <v>1.0</v>
      </c>
      <c r="BX7" s="7">
        <v>1.0</v>
      </c>
      <c r="BY7" s="39">
        <f t="shared" si="20"/>
        <v>5</v>
      </c>
      <c r="BZ7" s="7">
        <v>1.0</v>
      </c>
      <c r="CA7" s="7">
        <v>1.0</v>
      </c>
      <c r="CB7" s="7">
        <v>1.0</v>
      </c>
      <c r="CC7" s="39">
        <f t="shared" si="21"/>
        <v>5</v>
      </c>
      <c r="CD7" s="7">
        <v>1.0</v>
      </c>
      <c r="CE7" s="7">
        <v>1.0</v>
      </c>
      <c r="CF7" s="7">
        <v>1.0</v>
      </c>
      <c r="CG7" s="39">
        <f t="shared" si="22"/>
        <v>5</v>
      </c>
      <c r="CH7" s="7">
        <v>1.0</v>
      </c>
      <c r="CI7" s="7">
        <v>1.0</v>
      </c>
      <c r="CJ7" s="7">
        <v>1.0</v>
      </c>
      <c r="CK7" s="39">
        <f t="shared" si="23"/>
        <v>5</v>
      </c>
      <c r="CL7" s="7">
        <v>1.0</v>
      </c>
      <c r="CM7" s="7">
        <v>1.0</v>
      </c>
      <c r="CN7" s="7">
        <v>1.0</v>
      </c>
      <c r="CO7" s="39">
        <f t="shared" si="24"/>
        <v>5</v>
      </c>
      <c r="CP7" s="7">
        <v>1.0</v>
      </c>
      <c r="CQ7" s="7">
        <v>1.0</v>
      </c>
      <c r="CR7" s="7">
        <v>1.0</v>
      </c>
      <c r="CS7" s="39">
        <f t="shared" si="25"/>
        <v>5</v>
      </c>
      <c r="CT7" s="7"/>
      <c r="CU7" s="7"/>
      <c r="CV7" s="7"/>
      <c r="CW7" s="39">
        <f t="shared" si="26"/>
        <v>0</v>
      </c>
      <c r="CX7" s="7">
        <v>1.0</v>
      </c>
      <c r="CY7" s="7">
        <v>1.0</v>
      </c>
      <c r="CZ7" s="7">
        <v>1.0</v>
      </c>
      <c r="DA7" s="39">
        <f t="shared" si="27"/>
        <v>5</v>
      </c>
      <c r="DB7" s="7"/>
      <c r="DC7" s="7"/>
      <c r="DD7" s="7"/>
      <c r="DE7" s="39">
        <f t="shared" si="28"/>
        <v>0</v>
      </c>
      <c r="DF7" s="7">
        <v>1.0</v>
      </c>
      <c r="DG7" s="7">
        <v>1.0</v>
      </c>
      <c r="DH7" s="7">
        <v>1.0</v>
      </c>
      <c r="DI7" s="39">
        <f t="shared" si="29"/>
        <v>5</v>
      </c>
      <c r="DJ7" s="7">
        <v>1.0</v>
      </c>
      <c r="DK7" s="7">
        <v>1.0</v>
      </c>
      <c r="DL7" s="7">
        <v>1.0</v>
      </c>
      <c r="DM7" s="39">
        <f t="shared" si="30"/>
        <v>5</v>
      </c>
      <c r="DN7" s="7">
        <v>1.0</v>
      </c>
      <c r="DO7" s="7">
        <v>1.0</v>
      </c>
      <c r="DP7" s="7">
        <v>1.0</v>
      </c>
      <c r="DQ7" s="39">
        <f t="shared" si="31"/>
        <v>5</v>
      </c>
      <c r="DR7" s="7">
        <v>1.0</v>
      </c>
      <c r="DS7" s="7">
        <v>1.0</v>
      </c>
      <c r="DT7" s="7">
        <v>1.0</v>
      </c>
      <c r="DU7" s="39">
        <f t="shared" si="32"/>
        <v>5</v>
      </c>
      <c r="DV7" s="7">
        <v>1.0</v>
      </c>
      <c r="DW7" s="7">
        <v>1.0</v>
      </c>
      <c r="DX7" s="7">
        <v>1.0</v>
      </c>
      <c r="DY7" s="39">
        <f t="shared" si="33"/>
        <v>5</v>
      </c>
      <c r="DZ7" s="7"/>
      <c r="EA7" s="7"/>
      <c r="EB7" s="7"/>
      <c r="EC7" s="39">
        <f t="shared" si="34"/>
        <v>0</v>
      </c>
      <c r="ED7" s="7">
        <v>1.0</v>
      </c>
      <c r="EE7" s="7">
        <v>1.0</v>
      </c>
      <c r="EF7" s="7"/>
      <c r="EG7" s="39">
        <f t="shared" si="35"/>
        <v>3</v>
      </c>
      <c r="EH7" s="7">
        <v>1.0</v>
      </c>
      <c r="EI7" s="7">
        <v>1.0</v>
      </c>
      <c r="EJ7" s="7">
        <v>1.0</v>
      </c>
      <c r="EK7" s="39">
        <f t="shared" si="36"/>
        <v>5</v>
      </c>
      <c r="EL7" s="7">
        <v>1.0</v>
      </c>
      <c r="EM7" s="7">
        <v>1.0</v>
      </c>
      <c r="EN7" s="7">
        <v>1.0</v>
      </c>
      <c r="EO7" s="39">
        <f t="shared" si="37"/>
        <v>5</v>
      </c>
    </row>
    <row r="8">
      <c r="A8" s="20" t="s">
        <v>35</v>
      </c>
      <c r="B8" s="21" t="s">
        <v>166</v>
      </c>
      <c r="C8" s="1">
        <f t="shared" si="1"/>
        <v>6</v>
      </c>
      <c r="D8" s="15">
        <f>VLOOKUP(A8,TDP!A:C,3,FALSE)</f>
        <v>0.41</v>
      </c>
      <c r="E8" s="37">
        <f t="shared" si="2"/>
        <v>197.4</v>
      </c>
      <c r="F8" s="4">
        <v>1.0</v>
      </c>
      <c r="G8" s="7">
        <v>1.0</v>
      </c>
      <c r="H8" s="7">
        <v>1.0</v>
      </c>
      <c r="I8" s="39">
        <f t="shared" si="3"/>
        <v>5</v>
      </c>
      <c r="J8" s="4">
        <v>1.0</v>
      </c>
      <c r="K8" s="7">
        <v>1.0</v>
      </c>
      <c r="L8" s="7"/>
      <c r="M8" s="39">
        <f t="shared" si="4"/>
        <v>3</v>
      </c>
      <c r="N8" s="7"/>
      <c r="O8" s="7"/>
      <c r="P8" s="7"/>
      <c r="Q8" s="39">
        <f t="shared" si="5"/>
        <v>0</v>
      </c>
      <c r="R8" s="1"/>
      <c r="S8" s="1"/>
      <c r="T8" s="1"/>
      <c r="U8" s="39">
        <f t="shared" si="6"/>
        <v>0</v>
      </c>
      <c r="V8" s="7">
        <v>1.0</v>
      </c>
      <c r="W8" s="7">
        <v>1.0</v>
      </c>
      <c r="X8" s="7">
        <v>1.0</v>
      </c>
      <c r="Y8" s="39">
        <f t="shared" si="7"/>
        <v>5</v>
      </c>
      <c r="Z8" s="7">
        <v>1.0</v>
      </c>
      <c r="AA8" s="7">
        <v>1.0</v>
      </c>
      <c r="AB8" s="7">
        <v>1.0</v>
      </c>
      <c r="AC8" s="39">
        <f t="shared" si="8"/>
        <v>5</v>
      </c>
      <c r="AD8" s="7">
        <v>1.0</v>
      </c>
      <c r="AE8" s="7">
        <v>1.0</v>
      </c>
      <c r="AF8" s="7">
        <v>1.0</v>
      </c>
      <c r="AG8" s="39">
        <f t="shared" si="9"/>
        <v>5</v>
      </c>
      <c r="AH8" s="7">
        <v>1.0</v>
      </c>
      <c r="AI8" s="7">
        <v>1.0</v>
      </c>
      <c r="AJ8" s="7">
        <v>1.0</v>
      </c>
      <c r="AK8" s="39">
        <f t="shared" si="10"/>
        <v>5</v>
      </c>
      <c r="AL8" s="4">
        <v>1.0</v>
      </c>
      <c r="AM8" s="7">
        <v>1.0</v>
      </c>
      <c r="AN8" s="7">
        <v>1.0</v>
      </c>
      <c r="AO8" s="39">
        <f t="shared" si="11"/>
        <v>5</v>
      </c>
      <c r="AP8" s="7">
        <v>1.0</v>
      </c>
      <c r="AQ8" s="7">
        <v>1.0</v>
      </c>
      <c r="AR8" s="7">
        <v>1.0</v>
      </c>
      <c r="AS8" s="39">
        <f t="shared" si="12"/>
        <v>5</v>
      </c>
      <c r="AT8" s="7">
        <v>1.0</v>
      </c>
      <c r="AU8" s="7">
        <v>1.0</v>
      </c>
      <c r="AV8" s="7">
        <v>1.0</v>
      </c>
      <c r="AW8" s="39">
        <f t="shared" si="13"/>
        <v>5</v>
      </c>
      <c r="AX8" s="7">
        <v>1.0</v>
      </c>
      <c r="AY8" s="7">
        <v>1.0</v>
      </c>
      <c r="AZ8" s="7">
        <v>1.0</v>
      </c>
      <c r="BA8" s="39">
        <f t="shared" si="14"/>
        <v>5</v>
      </c>
      <c r="BB8" s="7"/>
      <c r="BC8" s="7"/>
      <c r="BD8" s="7"/>
      <c r="BE8" s="39">
        <f t="shared" si="15"/>
        <v>0</v>
      </c>
      <c r="BF8" s="7">
        <v>1.0</v>
      </c>
      <c r="BG8" s="7">
        <v>1.0</v>
      </c>
      <c r="BH8" s="7">
        <v>1.0</v>
      </c>
      <c r="BI8" s="39">
        <f t="shared" si="16"/>
        <v>5</v>
      </c>
      <c r="BJ8" s="7">
        <v>1.0</v>
      </c>
      <c r="BK8" s="7">
        <v>1.0</v>
      </c>
      <c r="BL8" s="7">
        <v>1.0</v>
      </c>
      <c r="BM8" s="39">
        <f t="shared" si="17"/>
        <v>5</v>
      </c>
      <c r="BN8" s="7">
        <v>1.0</v>
      </c>
      <c r="BO8" s="7">
        <v>1.0</v>
      </c>
      <c r="BP8" s="7">
        <v>1.0</v>
      </c>
      <c r="BQ8" s="39">
        <f t="shared" si="18"/>
        <v>5</v>
      </c>
      <c r="BR8" s="7">
        <v>1.0</v>
      </c>
      <c r="BS8" s="7">
        <v>1.0</v>
      </c>
      <c r="BT8" s="7">
        <v>1.0</v>
      </c>
      <c r="BU8" s="39">
        <f t="shared" si="19"/>
        <v>5</v>
      </c>
      <c r="BV8" s="7">
        <v>1.0</v>
      </c>
      <c r="BW8" s="7">
        <v>1.0</v>
      </c>
      <c r="BX8" s="7">
        <v>1.0</v>
      </c>
      <c r="BY8" s="39">
        <f t="shared" si="20"/>
        <v>5</v>
      </c>
      <c r="BZ8" s="7"/>
      <c r="CA8" s="7"/>
      <c r="CB8" s="7"/>
      <c r="CC8" s="39">
        <f t="shared" si="21"/>
        <v>0</v>
      </c>
      <c r="CD8" s="7">
        <v>1.0</v>
      </c>
      <c r="CE8" s="7">
        <v>1.0</v>
      </c>
      <c r="CF8" s="7"/>
      <c r="CG8" s="39">
        <f t="shared" si="22"/>
        <v>3</v>
      </c>
      <c r="CH8" s="7">
        <v>1.0</v>
      </c>
      <c r="CI8" s="7">
        <v>1.0</v>
      </c>
      <c r="CJ8" s="7"/>
      <c r="CK8" s="39">
        <f t="shared" si="23"/>
        <v>3</v>
      </c>
      <c r="CL8" s="7">
        <v>1.0</v>
      </c>
      <c r="CM8" s="7">
        <v>1.0</v>
      </c>
      <c r="CN8" s="7">
        <v>1.0</v>
      </c>
      <c r="CO8" s="39">
        <f t="shared" si="24"/>
        <v>5</v>
      </c>
      <c r="CP8" s="7">
        <v>1.0</v>
      </c>
      <c r="CQ8" s="7">
        <v>1.0</v>
      </c>
      <c r="CR8" s="7">
        <v>1.0</v>
      </c>
      <c r="CS8" s="39">
        <f t="shared" si="25"/>
        <v>5</v>
      </c>
      <c r="CT8" s="7">
        <v>1.0</v>
      </c>
      <c r="CU8" s="7">
        <v>1.0</v>
      </c>
      <c r="CV8" s="7">
        <v>1.0</v>
      </c>
      <c r="CW8" s="39">
        <f t="shared" si="26"/>
        <v>5</v>
      </c>
      <c r="CX8" s="7">
        <v>1.0</v>
      </c>
      <c r="CY8" s="7">
        <v>1.0</v>
      </c>
      <c r="CZ8" s="7">
        <v>1.0</v>
      </c>
      <c r="DA8" s="39">
        <f t="shared" si="27"/>
        <v>5</v>
      </c>
      <c r="DB8" s="7">
        <v>1.0</v>
      </c>
      <c r="DC8" s="7">
        <v>1.0</v>
      </c>
      <c r="DD8" s="7">
        <v>1.0</v>
      </c>
      <c r="DE8" s="39">
        <f t="shared" si="28"/>
        <v>5</v>
      </c>
      <c r="DF8" s="7">
        <v>1.0</v>
      </c>
      <c r="DG8" s="7">
        <v>1.0</v>
      </c>
      <c r="DH8" s="7">
        <v>1.0</v>
      </c>
      <c r="DI8" s="39">
        <f t="shared" si="29"/>
        <v>5</v>
      </c>
      <c r="DJ8" s="7">
        <v>1.0</v>
      </c>
      <c r="DK8" s="7">
        <v>1.0</v>
      </c>
      <c r="DL8" s="7">
        <v>1.0</v>
      </c>
      <c r="DM8" s="39">
        <f t="shared" si="30"/>
        <v>5</v>
      </c>
      <c r="DN8" s="7">
        <v>1.0</v>
      </c>
      <c r="DO8" s="7">
        <v>1.0</v>
      </c>
      <c r="DP8" s="7">
        <v>1.0</v>
      </c>
      <c r="DQ8" s="39">
        <f t="shared" si="31"/>
        <v>5</v>
      </c>
      <c r="DR8" s="7">
        <v>1.0</v>
      </c>
      <c r="DS8" s="7">
        <v>1.0</v>
      </c>
      <c r="DT8" s="7">
        <v>1.0</v>
      </c>
      <c r="DU8" s="39">
        <f t="shared" si="32"/>
        <v>5</v>
      </c>
      <c r="DV8" s="7"/>
      <c r="DW8" s="7"/>
      <c r="DX8" s="7"/>
      <c r="DY8" s="39">
        <f t="shared" si="33"/>
        <v>0</v>
      </c>
      <c r="DZ8" s="7">
        <v>1.0</v>
      </c>
      <c r="EA8" s="7">
        <v>1.0</v>
      </c>
      <c r="EB8" s="7">
        <v>1.0</v>
      </c>
      <c r="EC8" s="39">
        <f t="shared" si="34"/>
        <v>5</v>
      </c>
      <c r="ED8" s="7">
        <v>1.0</v>
      </c>
      <c r="EE8" s="7">
        <v>1.0</v>
      </c>
      <c r="EF8" s="7"/>
      <c r="EG8" s="39">
        <f t="shared" si="35"/>
        <v>3</v>
      </c>
      <c r="EH8" s="7">
        <v>1.0</v>
      </c>
      <c r="EI8" s="7">
        <v>1.0</v>
      </c>
      <c r="EJ8" s="7">
        <v>1.0</v>
      </c>
      <c r="EK8" s="39">
        <f t="shared" si="36"/>
        <v>5</v>
      </c>
      <c r="EL8" s="7">
        <v>1.0</v>
      </c>
      <c r="EM8" s="7">
        <v>1.0</v>
      </c>
      <c r="EN8" s="7"/>
      <c r="EO8" s="39">
        <f t="shared" si="37"/>
        <v>3</v>
      </c>
    </row>
    <row r="9">
      <c r="A9" s="20" t="s">
        <v>21</v>
      </c>
      <c r="B9" s="21" t="s">
        <v>75</v>
      </c>
      <c r="C9" s="1">
        <f t="shared" si="1"/>
        <v>7</v>
      </c>
      <c r="D9" s="15">
        <f>VLOOKUP(A9,TDP!A:C,3,FALSE)</f>
        <v>0.31</v>
      </c>
      <c r="E9" s="37">
        <f t="shared" si="2"/>
        <v>182.09</v>
      </c>
      <c r="F9" s="4">
        <v>1.0</v>
      </c>
      <c r="G9" s="7">
        <v>1.0</v>
      </c>
      <c r="H9" s="7">
        <v>1.0</v>
      </c>
      <c r="I9" s="39">
        <f t="shared" si="3"/>
        <v>5</v>
      </c>
      <c r="J9" s="4">
        <v>1.0</v>
      </c>
      <c r="K9" s="7">
        <v>1.0</v>
      </c>
      <c r="L9" s="7">
        <v>1.0</v>
      </c>
      <c r="M9" s="39">
        <f t="shared" si="4"/>
        <v>5</v>
      </c>
      <c r="N9" s="7">
        <v>1.0</v>
      </c>
      <c r="O9" s="7">
        <v>1.0</v>
      </c>
      <c r="P9" s="7">
        <v>1.0</v>
      </c>
      <c r="Q9" s="39">
        <f t="shared" si="5"/>
        <v>5</v>
      </c>
      <c r="R9" s="1"/>
      <c r="S9" s="1"/>
      <c r="T9" s="1"/>
      <c r="U9" s="39">
        <f t="shared" si="6"/>
        <v>0</v>
      </c>
      <c r="V9" s="7">
        <v>1.0</v>
      </c>
      <c r="W9" s="7">
        <v>1.0</v>
      </c>
      <c r="X9" s="7">
        <v>1.0</v>
      </c>
      <c r="Y9" s="39">
        <f t="shared" si="7"/>
        <v>5</v>
      </c>
      <c r="Z9" s="7">
        <v>1.0</v>
      </c>
      <c r="AA9" s="7">
        <v>1.0</v>
      </c>
      <c r="AB9" s="7">
        <v>1.0</v>
      </c>
      <c r="AC9" s="39">
        <f t="shared" si="8"/>
        <v>5</v>
      </c>
      <c r="AD9" s="7">
        <v>1.0</v>
      </c>
      <c r="AE9" s="7">
        <v>1.0</v>
      </c>
      <c r="AF9" s="7">
        <v>1.0</v>
      </c>
      <c r="AG9" s="39">
        <f t="shared" si="9"/>
        <v>5</v>
      </c>
      <c r="AH9" s="7">
        <v>1.0</v>
      </c>
      <c r="AI9" s="7">
        <v>1.0</v>
      </c>
      <c r="AJ9" s="7">
        <v>1.0</v>
      </c>
      <c r="AK9" s="39">
        <f t="shared" si="10"/>
        <v>5</v>
      </c>
      <c r="AL9" s="4">
        <v>1.0</v>
      </c>
      <c r="AM9" s="7">
        <v>1.0</v>
      </c>
      <c r="AN9" s="7">
        <v>1.0</v>
      </c>
      <c r="AO9" s="39">
        <f t="shared" si="11"/>
        <v>5</v>
      </c>
      <c r="AP9" s="7">
        <v>1.0</v>
      </c>
      <c r="AQ9" s="7">
        <v>1.0</v>
      </c>
      <c r="AR9" s="7">
        <v>1.0</v>
      </c>
      <c r="AS9" s="39">
        <f t="shared" si="12"/>
        <v>5</v>
      </c>
      <c r="AT9" s="7">
        <v>1.0</v>
      </c>
      <c r="AU9" s="7">
        <v>1.0</v>
      </c>
      <c r="AV9" s="7">
        <v>1.0</v>
      </c>
      <c r="AW9" s="39">
        <f t="shared" si="13"/>
        <v>5</v>
      </c>
      <c r="AX9" s="7">
        <v>1.0</v>
      </c>
      <c r="AY9" s="7">
        <v>1.0</v>
      </c>
      <c r="AZ9" s="7"/>
      <c r="BA9" s="39">
        <f t="shared" si="14"/>
        <v>3</v>
      </c>
      <c r="BB9" s="7">
        <v>1.0</v>
      </c>
      <c r="BC9" s="7">
        <v>1.0</v>
      </c>
      <c r="BD9" s="7">
        <v>1.0</v>
      </c>
      <c r="BE9" s="39">
        <f t="shared" si="15"/>
        <v>5</v>
      </c>
      <c r="BF9" s="7">
        <v>1.0</v>
      </c>
      <c r="BG9" s="7">
        <v>1.0</v>
      </c>
      <c r="BH9" s="7">
        <v>1.0</v>
      </c>
      <c r="BI9" s="39">
        <f t="shared" si="16"/>
        <v>5</v>
      </c>
      <c r="BJ9" s="7">
        <v>1.0</v>
      </c>
      <c r="BK9" s="7">
        <v>1.0</v>
      </c>
      <c r="BL9" s="7">
        <v>1.0</v>
      </c>
      <c r="BM9" s="39">
        <f t="shared" si="17"/>
        <v>5</v>
      </c>
      <c r="BN9" s="7"/>
      <c r="BO9" s="7"/>
      <c r="BP9" s="7"/>
      <c r="BQ9" s="39">
        <f t="shared" si="18"/>
        <v>0</v>
      </c>
      <c r="BR9" s="7">
        <v>1.0</v>
      </c>
      <c r="BS9" s="7">
        <v>1.0</v>
      </c>
      <c r="BT9" s="7">
        <v>1.0</v>
      </c>
      <c r="BU9" s="39">
        <f t="shared" si="19"/>
        <v>5</v>
      </c>
      <c r="BV9" s="7">
        <v>1.0</v>
      </c>
      <c r="BW9" s="7">
        <v>1.0</v>
      </c>
      <c r="BX9" s="7">
        <v>1.0</v>
      </c>
      <c r="BY9" s="39">
        <f t="shared" si="20"/>
        <v>5</v>
      </c>
      <c r="BZ9" s="7">
        <v>1.0</v>
      </c>
      <c r="CA9" s="7">
        <v>1.0</v>
      </c>
      <c r="CB9" s="7">
        <v>1.0</v>
      </c>
      <c r="CC9" s="39">
        <f t="shared" si="21"/>
        <v>5</v>
      </c>
      <c r="CD9" s="7">
        <v>1.0</v>
      </c>
      <c r="CE9" s="7">
        <v>1.0</v>
      </c>
      <c r="CF9" s="7">
        <v>1.0</v>
      </c>
      <c r="CG9" s="39">
        <f t="shared" si="22"/>
        <v>5</v>
      </c>
      <c r="CH9" s="7">
        <v>1.0</v>
      </c>
      <c r="CI9" s="7">
        <v>1.0</v>
      </c>
      <c r="CJ9" s="7"/>
      <c r="CK9" s="39">
        <f t="shared" si="23"/>
        <v>3</v>
      </c>
      <c r="CL9" s="7">
        <v>1.0</v>
      </c>
      <c r="CM9" s="7">
        <v>1.0</v>
      </c>
      <c r="CN9" s="7">
        <v>1.0</v>
      </c>
      <c r="CO9" s="39">
        <f t="shared" si="24"/>
        <v>5</v>
      </c>
      <c r="CP9" s="7">
        <v>1.0</v>
      </c>
      <c r="CQ9" s="7">
        <v>1.0</v>
      </c>
      <c r="CR9" s="7">
        <v>1.0</v>
      </c>
      <c r="CS9" s="39">
        <f t="shared" si="25"/>
        <v>5</v>
      </c>
      <c r="CT9" s="7"/>
      <c r="CU9" s="7"/>
      <c r="CV9" s="7"/>
      <c r="CW9" s="39">
        <f t="shared" si="26"/>
        <v>0</v>
      </c>
      <c r="CX9" s="7">
        <v>1.0</v>
      </c>
      <c r="CY9" s="7">
        <v>1.0</v>
      </c>
      <c r="CZ9" s="7"/>
      <c r="DA9" s="39">
        <f t="shared" si="27"/>
        <v>3</v>
      </c>
      <c r="DB9" s="7">
        <v>1.0</v>
      </c>
      <c r="DC9" s="7">
        <v>1.0</v>
      </c>
      <c r="DD9" s="7">
        <v>1.0</v>
      </c>
      <c r="DE9" s="39">
        <f t="shared" si="28"/>
        <v>5</v>
      </c>
      <c r="DF9" s="7">
        <v>1.0</v>
      </c>
      <c r="DG9" s="7">
        <v>1.0</v>
      </c>
      <c r="DH9" s="7"/>
      <c r="DI9" s="39">
        <f t="shared" si="29"/>
        <v>3</v>
      </c>
      <c r="DJ9" s="7">
        <v>1.0</v>
      </c>
      <c r="DK9" s="7">
        <v>1.0</v>
      </c>
      <c r="DL9" s="7"/>
      <c r="DM9" s="39">
        <f t="shared" si="30"/>
        <v>3</v>
      </c>
      <c r="DN9" s="7"/>
      <c r="DO9" s="7"/>
      <c r="DP9" s="7"/>
      <c r="DQ9" s="39">
        <f t="shared" si="31"/>
        <v>0</v>
      </c>
      <c r="DR9" s="7">
        <v>1.0</v>
      </c>
      <c r="DS9" s="7">
        <v>1.0</v>
      </c>
      <c r="DT9" s="7">
        <v>1.0</v>
      </c>
      <c r="DU9" s="39">
        <f t="shared" si="32"/>
        <v>5</v>
      </c>
      <c r="DV9" s="7">
        <v>1.0</v>
      </c>
      <c r="DW9" s="7">
        <v>1.0</v>
      </c>
      <c r="DX9" s="7">
        <v>1.0</v>
      </c>
      <c r="DY9" s="39">
        <f t="shared" si="33"/>
        <v>5</v>
      </c>
      <c r="DZ9" s="7">
        <v>1.0</v>
      </c>
      <c r="EA9" s="7">
        <v>1.0</v>
      </c>
      <c r="EB9" s="7">
        <v>1.0</v>
      </c>
      <c r="EC9" s="39">
        <f t="shared" si="34"/>
        <v>5</v>
      </c>
      <c r="ED9" s="7">
        <v>1.0</v>
      </c>
      <c r="EE9" s="7">
        <v>1.0</v>
      </c>
      <c r="EF9" s="7"/>
      <c r="EG9" s="39">
        <f t="shared" si="35"/>
        <v>3</v>
      </c>
      <c r="EH9" s="7">
        <v>1.0</v>
      </c>
      <c r="EI9" s="7">
        <v>1.0</v>
      </c>
      <c r="EJ9" s="7"/>
      <c r="EK9" s="39">
        <f t="shared" si="36"/>
        <v>3</v>
      </c>
      <c r="EL9" s="7">
        <v>1.0</v>
      </c>
      <c r="EM9" s="7">
        <v>1.0</v>
      </c>
      <c r="EN9" s="7"/>
      <c r="EO9" s="39">
        <f t="shared" si="37"/>
        <v>3</v>
      </c>
    </row>
    <row r="10">
      <c r="A10" s="20" t="s">
        <v>117</v>
      </c>
      <c r="B10" s="21"/>
      <c r="C10" s="1">
        <f t="shared" si="1"/>
        <v>8</v>
      </c>
      <c r="D10" s="15">
        <f>VLOOKUP(A10,TDP!A:C,3,FALSE)</f>
        <v>0.16</v>
      </c>
      <c r="E10" s="37">
        <f t="shared" si="2"/>
        <v>167.04</v>
      </c>
      <c r="F10" s="161"/>
      <c r="G10" s="1"/>
      <c r="H10" s="1"/>
      <c r="I10" s="39">
        <f t="shared" si="3"/>
        <v>0</v>
      </c>
      <c r="J10" s="161"/>
      <c r="K10" s="1"/>
      <c r="L10" s="1"/>
      <c r="M10" s="39">
        <f t="shared" si="4"/>
        <v>0</v>
      </c>
      <c r="N10" s="1"/>
      <c r="O10" s="1"/>
      <c r="P10" s="1"/>
      <c r="Q10" s="39">
        <f t="shared" si="5"/>
        <v>0</v>
      </c>
      <c r="R10" s="1"/>
      <c r="S10" s="1"/>
      <c r="T10" s="1"/>
      <c r="U10" s="39">
        <f t="shared" si="6"/>
        <v>0</v>
      </c>
      <c r="V10" s="1"/>
      <c r="W10" s="1"/>
      <c r="X10" s="1"/>
      <c r="Y10" s="39">
        <f t="shared" si="7"/>
        <v>0</v>
      </c>
      <c r="Z10" s="1"/>
      <c r="AA10" s="1"/>
      <c r="AB10" s="1"/>
      <c r="AC10" s="39">
        <f t="shared" si="8"/>
        <v>0</v>
      </c>
      <c r="AD10" s="7"/>
      <c r="AE10" s="7"/>
      <c r="AF10" s="7">
        <v>1.0</v>
      </c>
      <c r="AG10" s="39">
        <f t="shared" si="9"/>
        <v>7</v>
      </c>
      <c r="AH10" s="7"/>
      <c r="AI10" s="7"/>
      <c r="AJ10" s="7">
        <v>1.0</v>
      </c>
      <c r="AK10" s="39">
        <f t="shared" si="10"/>
        <v>7</v>
      </c>
      <c r="AL10" s="4"/>
      <c r="AM10" s="7"/>
      <c r="AN10" s="7">
        <v>1.0</v>
      </c>
      <c r="AO10" s="39">
        <f t="shared" si="11"/>
        <v>7</v>
      </c>
      <c r="AP10" s="7">
        <v>1.0</v>
      </c>
      <c r="AQ10" s="7">
        <v>1.0</v>
      </c>
      <c r="AR10" s="7">
        <v>1.0</v>
      </c>
      <c r="AS10" s="39">
        <f t="shared" si="12"/>
        <v>5</v>
      </c>
      <c r="AT10" s="7">
        <v>1.0</v>
      </c>
      <c r="AU10" s="7">
        <v>1.0</v>
      </c>
      <c r="AV10" s="7">
        <v>1.0</v>
      </c>
      <c r="AW10" s="39">
        <f t="shared" si="13"/>
        <v>5</v>
      </c>
      <c r="AX10" s="7">
        <v>1.0</v>
      </c>
      <c r="AY10" s="7">
        <v>1.0</v>
      </c>
      <c r="AZ10" s="7">
        <v>1.0</v>
      </c>
      <c r="BA10" s="39">
        <f t="shared" si="14"/>
        <v>5</v>
      </c>
      <c r="BB10" s="7">
        <v>1.0</v>
      </c>
      <c r="BC10" s="7">
        <v>1.0</v>
      </c>
      <c r="BD10" s="7">
        <v>1.0</v>
      </c>
      <c r="BE10" s="39">
        <f t="shared" si="15"/>
        <v>5</v>
      </c>
      <c r="BF10" s="7">
        <v>1.0</v>
      </c>
      <c r="BG10" s="7">
        <v>1.0</v>
      </c>
      <c r="BH10" s="7">
        <v>1.0</v>
      </c>
      <c r="BI10" s="39">
        <f t="shared" si="16"/>
        <v>5</v>
      </c>
      <c r="BJ10" s="7">
        <v>1.0</v>
      </c>
      <c r="BK10" s="7">
        <v>1.0</v>
      </c>
      <c r="BL10" s="7">
        <v>1.0</v>
      </c>
      <c r="BM10" s="39">
        <f t="shared" si="17"/>
        <v>5</v>
      </c>
      <c r="BN10" s="7">
        <v>1.0</v>
      </c>
      <c r="BO10" s="7">
        <v>1.0</v>
      </c>
      <c r="BP10" s="7">
        <v>1.0</v>
      </c>
      <c r="BQ10" s="39">
        <f t="shared" si="18"/>
        <v>5</v>
      </c>
      <c r="BR10" s="7">
        <v>1.0</v>
      </c>
      <c r="BS10" s="7">
        <v>1.0</v>
      </c>
      <c r="BT10" s="7">
        <v>1.0</v>
      </c>
      <c r="BU10" s="39">
        <f t="shared" si="19"/>
        <v>5</v>
      </c>
      <c r="BV10" s="7">
        <v>1.0</v>
      </c>
      <c r="BW10" s="7">
        <v>1.0</v>
      </c>
      <c r="BX10" s="7">
        <v>1.0</v>
      </c>
      <c r="BY10" s="39">
        <f t="shared" si="20"/>
        <v>5</v>
      </c>
      <c r="BZ10" s="7">
        <v>1.0</v>
      </c>
      <c r="CA10" s="7">
        <v>1.0</v>
      </c>
      <c r="CB10" s="7">
        <v>1.0</v>
      </c>
      <c r="CC10" s="39">
        <f t="shared" si="21"/>
        <v>5</v>
      </c>
      <c r="CD10" s="7">
        <v>1.0</v>
      </c>
      <c r="CE10" s="7">
        <v>1.0</v>
      </c>
      <c r="CF10" s="7">
        <v>1.0</v>
      </c>
      <c r="CG10" s="39">
        <f t="shared" si="22"/>
        <v>5</v>
      </c>
      <c r="CH10" s="7">
        <v>1.0</v>
      </c>
      <c r="CI10" s="7">
        <v>1.0</v>
      </c>
      <c r="CJ10" s="7">
        <v>1.0</v>
      </c>
      <c r="CK10" s="39">
        <f t="shared" si="23"/>
        <v>5</v>
      </c>
      <c r="CL10" s="7">
        <v>1.0</v>
      </c>
      <c r="CM10" s="7">
        <v>1.0</v>
      </c>
      <c r="CN10" s="7">
        <v>1.0</v>
      </c>
      <c r="CO10" s="39">
        <f t="shared" si="24"/>
        <v>5</v>
      </c>
      <c r="CP10" s="7">
        <v>1.0</v>
      </c>
      <c r="CQ10" s="7">
        <v>1.0</v>
      </c>
      <c r="CR10" s="7">
        <v>1.0</v>
      </c>
      <c r="CS10" s="39">
        <f t="shared" si="25"/>
        <v>5</v>
      </c>
      <c r="CT10" s="7">
        <v>1.0</v>
      </c>
      <c r="CU10" s="7">
        <v>1.0</v>
      </c>
      <c r="CV10" s="7">
        <v>1.0</v>
      </c>
      <c r="CW10" s="39">
        <f t="shared" si="26"/>
        <v>5</v>
      </c>
      <c r="CX10" s="7">
        <v>1.0</v>
      </c>
      <c r="CY10" s="7">
        <v>1.0</v>
      </c>
      <c r="CZ10" s="7">
        <v>1.0</v>
      </c>
      <c r="DA10" s="39">
        <f t="shared" si="27"/>
        <v>5</v>
      </c>
      <c r="DB10" s="7">
        <v>1.0</v>
      </c>
      <c r="DC10" s="7">
        <v>1.0</v>
      </c>
      <c r="DD10" s="7"/>
      <c r="DE10" s="39">
        <f t="shared" si="28"/>
        <v>3</v>
      </c>
      <c r="DF10" s="7">
        <v>1.0</v>
      </c>
      <c r="DG10" s="7">
        <v>1.0</v>
      </c>
      <c r="DH10" s="7">
        <v>1.0</v>
      </c>
      <c r="DI10" s="39">
        <f t="shared" si="29"/>
        <v>5</v>
      </c>
      <c r="DJ10" s="7">
        <v>1.0</v>
      </c>
      <c r="DK10" s="7">
        <v>1.0</v>
      </c>
      <c r="DL10" s="7">
        <v>1.0</v>
      </c>
      <c r="DM10" s="39">
        <f t="shared" si="30"/>
        <v>5</v>
      </c>
      <c r="DN10" s="7">
        <v>1.0</v>
      </c>
      <c r="DO10" s="7">
        <v>1.0</v>
      </c>
      <c r="DP10" s="7">
        <v>1.0</v>
      </c>
      <c r="DQ10" s="39">
        <f t="shared" si="31"/>
        <v>5</v>
      </c>
      <c r="DR10" s="7">
        <v>1.0</v>
      </c>
      <c r="DS10" s="7">
        <v>1.0</v>
      </c>
      <c r="DT10" s="7">
        <v>1.0</v>
      </c>
      <c r="DU10" s="39">
        <f t="shared" si="32"/>
        <v>5</v>
      </c>
      <c r="DV10" s="7"/>
      <c r="DW10" s="7"/>
      <c r="DX10" s="7"/>
      <c r="DY10" s="39">
        <f t="shared" si="33"/>
        <v>0</v>
      </c>
      <c r="DZ10" s="7">
        <v>1.0</v>
      </c>
      <c r="EA10" s="7">
        <v>1.0</v>
      </c>
      <c r="EB10" s="7">
        <v>1.0</v>
      </c>
      <c r="EC10" s="39">
        <f t="shared" si="34"/>
        <v>5</v>
      </c>
      <c r="ED10" s="7">
        <v>1.0</v>
      </c>
      <c r="EE10" s="7">
        <v>1.0</v>
      </c>
      <c r="EF10" s="7"/>
      <c r="EG10" s="39">
        <f t="shared" si="35"/>
        <v>3</v>
      </c>
      <c r="EH10" s="7">
        <v>1.0</v>
      </c>
      <c r="EI10" s="7">
        <v>1.0</v>
      </c>
      <c r="EJ10" s="7">
        <v>1.0</v>
      </c>
      <c r="EK10" s="39">
        <f t="shared" si="36"/>
        <v>5</v>
      </c>
      <c r="EL10" s="7"/>
      <c r="EM10" s="7"/>
      <c r="EN10" s="7">
        <v>1.0</v>
      </c>
      <c r="EO10" s="39">
        <f t="shared" si="37"/>
        <v>7</v>
      </c>
    </row>
    <row r="11">
      <c r="A11" s="20" t="s">
        <v>101</v>
      </c>
      <c r="B11" s="21"/>
      <c r="C11" s="1">
        <f t="shared" si="1"/>
        <v>9</v>
      </c>
      <c r="D11" s="15">
        <f>VLOOKUP(A11,TDP!A:C,3,FALSE)</f>
        <v>0.19</v>
      </c>
      <c r="E11" s="37">
        <f t="shared" si="2"/>
        <v>155.89</v>
      </c>
      <c r="F11" s="4">
        <v>1.0</v>
      </c>
      <c r="G11" s="7">
        <v>1.0</v>
      </c>
      <c r="H11" s="7">
        <v>1.0</v>
      </c>
      <c r="I11" s="39">
        <f t="shared" si="3"/>
        <v>5</v>
      </c>
      <c r="J11" s="4">
        <v>1.0</v>
      </c>
      <c r="K11" s="7">
        <v>1.0</v>
      </c>
      <c r="L11" s="7">
        <v>1.0</v>
      </c>
      <c r="M11" s="39">
        <f t="shared" si="4"/>
        <v>5</v>
      </c>
      <c r="N11" s="7">
        <v>1.0</v>
      </c>
      <c r="O11" s="7">
        <v>1.0</v>
      </c>
      <c r="P11" s="7">
        <v>1.0</v>
      </c>
      <c r="Q11" s="39">
        <f t="shared" si="5"/>
        <v>5</v>
      </c>
      <c r="R11" s="7"/>
      <c r="S11" s="7"/>
      <c r="T11" s="7"/>
      <c r="U11" s="39">
        <f t="shared" si="6"/>
        <v>0</v>
      </c>
      <c r="V11" s="7">
        <v>1.0</v>
      </c>
      <c r="W11" s="7">
        <v>1.0</v>
      </c>
      <c r="X11" s="7">
        <v>1.0</v>
      </c>
      <c r="Y11" s="39">
        <f t="shared" si="7"/>
        <v>5</v>
      </c>
      <c r="Z11" s="7">
        <v>1.0</v>
      </c>
      <c r="AA11" s="7">
        <v>1.0</v>
      </c>
      <c r="AB11" s="7">
        <v>1.0</v>
      </c>
      <c r="AC11" s="39">
        <f t="shared" si="8"/>
        <v>5</v>
      </c>
      <c r="AD11" s="7"/>
      <c r="AE11" s="7"/>
      <c r="AF11" s="7">
        <v>1.0</v>
      </c>
      <c r="AG11" s="39">
        <f t="shared" si="9"/>
        <v>7</v>
      </c>
      <c r="AH11" s="7"/>
      <c r="AI11" s="7"/>
      <c r="AJ11" s="7">
        <v>1.0</v>
      </c>
      <c r="AK11" s="39">
        <f t="shared" si="10"/>
        <v>7</v>
      </c>
      <c r="AL11" s="4"/>
      <c r="AM11" s="7"/>
      <c r="AN11" s="7">
        <v>1.0</v>
      </c>
      <c r="AO11" s="39">
        <f t="shared" si="11"/>
        <v>7</v>
      </c>
      <c r="AP11" s="7"/>
      <c r="AQ11" s="7"/>
      <c r="AR11" s="7">
        <v>1.0</v>
      </c>
      <c r="AS11" s="39">
        <f t="shared" si="12"/>
        <v>7</v>
      </c>
      <c r="AT11" s="7"/>
      <c r="AU11" s="7"/>
      <c r="AV11" s="7">
        <v>1.0</v>
      </c>
      <c r="AW11" s="39">
        <f t="shared" si="13"/>
        <v>7</v>
      </c>
      <c r="AX11" s="7"/>
      <c r="AY11" s="7"/>
      <c r="AZ11" s="7">
        <v>1.0</v>
      </c>
      <c r="BA11" s="39">
        <f t="shared" si="14"/>
        <v>7</v>
      </c>
      <c r="BB11" s="7">
        <v>1.0</v>
      </c>
      <c r="BC11" s="7">
        <v>1.0</v>
      </c>
      <c r="BD11" s="7">
        <v>1.0</v>
      </c>
      <c r="BE11" s="39">
        <f t="shared" si="15"/>
        <v>5</v>
      </c>
      <c r="BF11" s="7"/>
      <c r="BG11" s="7"/>
      <c r="BH11" s="7"/>
      <c r="BI11" s="39">
        <f t="shared" si="16"/>
        <v>0</v>
      </c>
      <c r="BJ11" s="7"/>
      <c r="BK11" s="7"/>
      <c r="BL11" s="7"/>
      <c r="BM11" s="39">
        <f t="shared" si="17"/>
        <v>0</v>
      </c>
      <c r="BN11" s="7"/>
      <c r="BO11" s="7"/>
      <c r="BP11" s="7"/>
      <c r="BQ11" s="39">
        <f t="shared" si="18"/>
        <v>0</v>
      </c>
      <c r="BR11" s="7"/>
      <c r="BS11" s="7"/>
      <c r="BT11" s="7"/>
      <c r="BU11" s="39">
        <f t="shared" si="19"/>
        <v>0</v>
      </c>
      <c r="BV11" s="7"/>
      <c r="BW11" s="7"/>
      <c r="BX11" s="7"/>
      <c r="BY11" s="39">
        <f t="shared" si="20"/>
        <v>0</v>
      </c>
      <c r="BZ11" s="7"/>
      <c r="CA11" s="7"/>
      <c r="CB11" s="7"/>
      <c r="CC11" s="39">
        <f t="shared" si="21"/>
        <v>0</v>
      </c>
      <c r="CD11" s="7"/>
      <c r="CE11" s="7"/>
      <c r="CF11" s="7"/>
      <c r="CG11" s="39">
        <f t="shared" si="22"/>
        <v>0</v>
      </c>
      <c r="CH11" s="7">
        <v>1.0</v>
      </c>
      <c r="CI11" s="7">
        <v>1.0</v>
      </c>
      <c r="CJ11" s="7">
        <v>1.0</v>
      </c>
      <c r="CK11" s="39">
        <f t="shared" si="23"/>
        <v>5</v>
      </c>
      <c r="CL11" s="7">
        <v>1.0</v>
      </c>
      <c r="CM11" s="7">
        <v>1.0</v>
      </c>
      <c r="CN11" s="7">
        <v>1.0</v>
      </c>
      <c r="CO11" s="39">
        <f t="shared" si="24"/>
        <v>5</v>
      </c>
      <c r="CP11" s="7">
        <v>1.0</v>
      </c>
      <c r="CQ11" s="7">
        <v>1.0</v>
      </c>
      <c r="CR11" s="7">
        <v>1.0</v>
      </c>
      <c r="CS11" s="39">
        <f t="shared" si="25"/>
        <v>5</v>
      </c>
      <c r="CT11" s="7"/>
      <c r="CU11" s="7"/>
      <c r="CV11" s="7"/>
      <c r="CW11" s="39">
        <f t="shared" si="26"/>
        <v>0</v>
      </c>
      <c r="CX11" s="7">
        <v>1.0</v>
      </c>
      <c r="CY11" s="7">
        <v>1.0</v>
      </c>
      <c r="CZ11" s="7">
        <v>1.0</v>
      </c>
      <c r="DA11" s="39">
        <f t="shared" si="27"/>
        <v>5</v>
      </c>
      <c r="DB11" s="7">
        <v>1.0</v>
      </c>
      <c r="DC11" s="7">
        <v>1.0</v>
      </c>
      <c r="DD11" s="7">
        <v>1.0</v>
      </c>
      <c r="DE11" s="39">
        <f t="shared" si="28"/>
        <v>5</v>
      </c>
      <c r="DF11" s="7"/>
      <c r="DG11" s="7"/>
      <c r="DH11" s="7"/>
      <c r="DI11" s="39">
        <f t="shared" si="29"/>
        <v>0</v>
      </c>
      <c r="DJ11" s="7">
        <v>1.0</v>
      </c>
      <c r="DK11" s="7">
        <v>1.0</v>
      </c>
      <c r="DL11" s="7">
        <v>1.0</v>
      </c>
      <c r="DM11" s="39">
        <f t="shared" si="30"/>
        <v>5</v>
      </c>
      <c r="DN11" s="7">
        <v>1.0</v>
      </c>
      <c r="DO11" s="7">
        <v>1.0</v>
      </c>
      <c r="DP11" s="7">
        <v>1.0</v>
      </c>
      <c r="DQ11" s="39">
        <f t="shared" si="31"/>
        <v>5</v>
      </c>
      <c r="DR11" s="7">
        <v>1.0</v>
      </c>
      <c r="DS11" s="7">
        <v>1.0</v>
      </c>
      <c r="DT11" s="7">
        <v>1.0</v>
      </c>
      <c r="DU11" s="39">
        <f t="shared" si="32"/>
        <v>5</v>
      </c>
      <c r="DV11" s="7">
        <v>1.0</v>
      </c>
      <c r="DW11" s="7">
        <v>1.0</v>
      </c>
      <c r="DX11" s="7">
        <v>1.0</v>
      </c>
      <c r="DY11" s="39">
        <f t="shared" si="33"/>
        <v>5</v>
      </c>
      <c r="DZ11" s="7">
        <v>1.0</v>
      </c>
      <c r="EA11" s="7">
        <v>1.0</v>
      </c>
      <c r="EB11" s="7">
        <v>1.0</v>
      </c>
      <c r="EC11" s="39">
        <f t="shared" si="34"/>
        <v>5</v>
      </c>
      <c r="ED11" s="7">
        <v>1.0</v>
      </c>
      <c r="EE11" s="7">
        <v>1.0</v>
      </c>
      <c r="EF11" s="7"/>
      <c r="EG11" s="39">
        <f t="shared" si="35"/>
        <v>3</v>
      </c>
      <c r="EH11" s="7">
        <v>1.0</v>
      </c>
      <c r="EI11" s="7">
        <v>1.0</v>
      </c>
      <c r="EJ11" s="7"/>
      <c r="EK11" s="39">
        <f t="shared" si="36"/>
        <v>3</v>
      </c>
      <c r="EL11" s="7">
        <v>1.0</v>
      </c>
      <c r="EM11" s="7">
        <v>1.0</v>
      </c>
      <c r="EN11" s="7"/>
      <c r="EO11" s="39">
        <f t="shared" si="37"/>
        <v>3</v>
      </c>
    </row>
    <row r="12">
      <c r="A12" s="20" t="s">
        <v>26</v>
      </c>
      <c r="B12" s="21" t="s">
        <v>85</v>
      </c>
      <c r="C12" s="1">
        <f t="shared" si="1"/>
        <v>10</v>
      </c>
      <c r="D12" s="15">
        <f>VLOOKUP(A12,TDP!A:C,3,FALSE)</f>
        <v>0.27</v>
      </c>
      <c r="E12" s="37">
        <f t="shared" si="2"/>
        <v>149.86</v>
      </c>
      <c r="F12" s="161"/>
      <c r="G12" s="1"/>
      <c r="H12" s="7">
        <v>1.0</v>
      </c>
      <c r="I12" s="39">
        <f t="shared" si="3"/>
        <v>7</v>
      </c>
      <c r="J12" s="4">
        <v>1.0</v>
      </c>
      <c r="K12" s="7">
        <v>1.0</v>
      </c>
      <c r="L12" s="7">
        <v>1.0</v>
      </c>
      <c r="M12" s="39">
        <f t="shared" si="4"/>
        <v>5</v>
      </c>
      <c r="N12" s="7">
        <v>1.0</v>
      </c>
      <c r="O12" s="7">
        <v>1.0</v>
      </c>
      <c r="P12" s="7">
        <v>1.0</v>
      </c>
      <c r="Q12" s="39">
        <f t="shared" si="5"/>
        <v>5</v>
      </c>
      <c r="R12" s="7"/>
      <c r="S12" s="7"/>
      <c r="T12" s="7"/>
      <c r="U12" s="39">
        <f t="shared" si="6"/>
        <v>0</v>
      </c>
      <c r="V12" s="7">
        <v>1.0</v>
      </c>
      <c r="W12" s="7">
        <v>1.0</v>
      </c>
      <c r="X12" s="7">
        <v>1.0</v>
      </c>
      <c r="Y12" s="39">
        <f t="shared" si="7"/>
        <v>5</v>
      </c>
      <c r="Z12" s="7">
        <v>1.0</v>
      </c>
      <c r="AA12" s="7">
        <v>1.0</v>
      </c>
      <c r="AB12" s="7">
        <v>1.0</v>
      </c>
      <c r="AC12" s="39">
        <f t="shared" si="8"/>
        <v>5</v>
      </c>
      <c r="AD12" s="7">
        <v>1.0</v>
      </c>
      <c r="AE12" s="7">
        <v>1.0</v>
      </c>
      <c r="AF12" s="7">
        <v>1.0</v>
      </c>
      <c r="AG12" s="39">
        <f t="shared" si="9"/>
        <v>5</v>
      </c>
      <c r="AH12" s="7">
        <v>1.0</v>
      </c>
      <c r="AI12" s="7">
        <v>1.0</v>
      </c>
      <c r="AJ12" s="7">
        <v>1.0</v>
      </c>
      <c r="AK12" s="39">
        <f t="shared" si="10"/>
        <v>5</v>
      </c>
      <c r="AL12" s="4">
        <v>1.0</v>
      </c>
      <c r="AM12" s="7">
        <v>1.0</v>
      </c>
      <c r="AN12" s="7">
        <v>1.0</v>
      </c>
      <c r="AO12" s="39">
        <f t="shared" si="11"/>
        <v>5</v>
      </c>
      <c r="AP12" s="7"/>
      <c r="AQ12" s="7"/>
      <c r="AR12" s="7"/>
      <c r="AS12" s="39">
        <f t="shared" si="12"/>
        <v>0</v>
      </c>
      <c r="AT12" s="7"/>
      <c r="AU12" s="7"/>
      <c r="AV12" s="7"/>
      <c r="AW12" s="39">
        <f t="shared" si="13"/>
        <v>0</v>
      </c>
      <c r="AX12" s="7"/>
      <c r="AY12" s="7"/>
      <c r="AZ12" s="7"/>
      <c r="BA12" s="39">
        <f t="shared" si="14"/>
        <v>0</v>
      </c>
      <c r="BB12" s="7"/>
      <c r="BC12" s="7"/>
      <c r="BD12" s="7"/>
      <c r="BE12" s="39">
        <f t="shared" si="15"/>
        <v>0</v>
      </c>
      <c r="BF12" s="7">
        <v>1.0</v>
      </c>
      <c r="BG12" s="7">
        <v>1.0</v>
      </c>
      <c r="BH12" s="7">
        <v>1.0</v>
      </c>
      <c r="BI12" s="39">
        <f t="shared" si="16"/>
        <v>5</v>
      </c>
      <c r="BJ12" s="7">
        <v>1.0</v>
      </c>
      <c r="BK12" s="7">
        <v>1.0</v>
      </c>
      <c r="BL12" s="7">
        <v>1.0</v>
      </c>
      <c r="BM12" s="39">
        <f t="shared" si="17"/>
        <v>5</v>
      </c>
      <c r="BN12" s="7">
        <v>1.0</v>
      </c>
      <c r="BO12" s="7">
        <v>1.0</v>
      </c>
      <c r="BP12" s="7"/>
      <c r="BQ12" s="39">
        <f t="shared" si="18"/>
        <v>3</v>
      </c>
      <c r="BR12" s="7"/>
      <c r="BS12" s="7"/>
      <c r="BT12" s="7"/>
      <c r="BU12" s="39">
        <f t="shared" si="19"/>
        <v>0</v>
      </c>
      <c r="BV12" s="7"/>
      <c r="BW12" s="7"/>
      <c r="BX12" s="7"/>
      <c r="BY12" s="39">
        <f t="shared" si="20"/>
        <v>0</v>
      </c>
      <c r="BZ12" s="7"/>
      <c r="CA12" s="7"/>
      <c r="CB12" s="7"/>
      <c r="CC12" s="39">
        <f t="shared" si="21"/>
        <v>0</v>
      </c>
      <c r="CD12" s="7">
        <v>1.0</v>
      </c>
      <c r="CE12" s="7">
        <v>1.0</v>
      </c>
      <c r="CF12" s="7">
        <v>1.0</v>
      </c>
      <c r="CG12" s="39">
        <f t="shared" si="22"/>
        <v>5</v>
      </c>
      <c r="CH12" s="7">
        <v>0.0</v>
      </c>
      <c r="CI12" s="7">
        <v>0.0</v>
      </c>
      <c r="CJ12" s="7">
        <v>1.0</v>
      </c>
      <c r="CK12" s="39">
        <f t="shared" si="23"/>
        <v>7</v>
      </c>
      <c r="CL12" s="7">
        <v>1.0</v>
      </c>
      <c r="CM12" s="7">
        <v>1.0</v>
      </c>
      <c r="CN12" s="7">
        <v>1.0</v>
      </c>
      <c r="CO12" s="39">
        <f t="shared" si="24"/>
        <v>5</v>
      </c>
      <c r="CP12" s="7"/>
      <c r="CQ12" s="7"/>
      <c r="CR12" s="7"/>
      <c r="CS12" s="39">
        <f t="shared" si="25"/>
        <v>0</v>
      </c>
      <c r="CT12" s="7"/>
      <c r="CU12" s="7"/>
      <c r="CV12" s="7"/>
      <c r="CW12" s="39">
        <f t="shared" si="26"/>
        <v>0</v>
      </c>
      <c r="CX12" s="7"/>
      <c r="CY12" s="7"/>
      <c r="CZ12" s="7"/>
      <c r="DA12" s="39">
        <f t="shared" si="27"/>
        <v>0</v>
      </c>
      <c r="DB12" s="7"/>
      <c r="DC12" s="7"/>
      <c r="DD12" s="7"/>
      <c r="DE12" s="39">
        <f t="shared" si="28"/>
        <v>0</v>
      </c>
      <c r="DF12" s="7"/>
      <c r="DG12" s="7"/>
      <c r="DH12" s="7"/>
      <c r="DI12" s="39">
        <f t="shared" si="29"/>
        <v>0</v>
      </c>
      <c r="DJ12" s="7"/>
      <c r="DK12" s="7"/>
      <c r="DL12" s="7">
        <v>1.0</v>
      </c>
      <c r="DM12" s="39">
        <f t="shared" si="30"/>
        <v>7</v>
      </c>
      <c r="DN12" s="7"/>
      <c r="DO12" s="7"/>
      <c r="DP12" s="7">
        <v>1.0</v>
      </c>
      <c r="DQ12" s="39">
        <f t="shared" si="31"/>
        <v>7</v>
      </c>
      <c r="DR12" s="7"/>
      <c r="DS12" s="7"/>
      <c r="DT12" s="7">
        <v>1.0</v>
      </c>
      <c r="DU12" s="39">
        <f t="shared" si="32"/>
        <v>7</v>
      </c>
      <c r="DV12" s="7"/>
      <c r="DW12" s="7"/>
      <c r="DX12" s="7">
        <v>1.0</v>
      </c>
      <c r="DY12" s="39">
        <f t="shared" si="33"/>
        <v>7</v>
      </c>
      <c r="DZ12" s="7">
        <v>1.0</v>
      </c>
      <c r="EA12" s="7">
        <v>1.0</v>
      </c>
      <c r="EB12" s="7">
        <v>1.0</v>
      </c>
      <c r="EC12" s="39">
        <f t="shared" si="34"/>
        <v>5</v>
      </c>
      <c r="ED12" s="7">
        <v>1.0</v>
      </c>
      <c r="EE12" s="7">
        <v>1.0</v>
      </c>
      <c r="EF12" s="7"/>
      <c r="EG12" s="39">
        <f t="shared" si="35"/>
        <v>3</v>
      </c>
      <c r="EH12" s="7">
        <v>1.0</v>
      </c>
      <c r="EI12" s="7">
        <v>1.0</v>
      </c>
      <c r="EJ12" s="7">
        <v>1.0</v>
      </c>
      <c r="EK12" s="39">
        <f t="shared" si="36"/>
        <v>5</v>
      </c>
      <c r="EL12" s="7">
        <v>1.0</v>
      </c>
      <c r="EM12" s="7">
        <v>1.0</v>
      </c>
      <c r="EN12" s="7">
        <v>1.0</v>
      </c>
      <c r="EO12" s="39">
        <f t="shared" si="37"/>
        <v>5</v>
      </c>
    </row>
    <row r="13">
      <c r="A13" s="20" t="s">
        <v>31</v>
      </c>
      <c r="B13" s="21" t="s">
        <v>40</v>
      </c>
      <c r="C13" s="1">
        <f t="shared" si="1"/>
        <v>11</v>
      </c>
      <c r="D13" s="15">
        <f>VLOOKUP(A13,TDP!A:C,3,FALSE)</f>
        <v>0.39</v>
      </c>
      <c r="E13" s="37">
        <f t="shared" si="2"/>
        <v>133.44</v>
      </c>
      <c r="F13" s="4">
        <v>1.0</v>
      </c>
      <c r="G13" s="7">
        <v>1.0</v>
      </c>
      <c r="H13" s="7">
        <v>1.0</v>
      </c>
      <c r="I13" s="39">
        <f t="shared" si="3"/>
        <v>5</v>
      </c>
      <c r="J13" s="4">
        <v>1.0</v>
      </c>
      <c r="K13" s="7">
        <v>1.0</v>
      </c>
      <c r="L13" s="7">
        <v>1.0</v>
      </c>
      <c r="M13" s="39">
        <f t="shared" si="4"/>
        <v>5</v>
      </c>
      <c r="N13" s="1"/>
      <c r="O13" s="1"/>
      <c r="P13" s="1"/>
      <c r="Q13" s="39">
        <f t="shared" si="5"/>
        <v>0</v>
      </c>
      <c r="R13" s="7"/>
      <c r="S13" s="7"/>
      <c r="T13" s="1"/>
      <c r="U13" s="39">
        <f t="shared" si="6"/>
        <v>0</v>
      </c>
      <c r="V13" s="1"/>
      <c r="W13" s="1"/>
      <c r="X13" s="1"/>
      <c r="Y13" s="39">
        <f t="shared" si="7"/>
        <v>0</v>
      </c>
      <c r="Z13" s="7"/>
      <c r="AA13" s="7"/>
      <c r="AB13" s="1"/>
      <c r="AC13" s="39">
        <f t="shared" si="8"/>
        <v>0</v>
      </c>
      <c r="AD13" s="7">
        <v>1.0</v>
      </c>
      <c r="AE13" s="7">
        <v>1.0</v>
      </c>
      <c r="AF13" s="7">
        <v>1.0</v>
      </c>
      <c r="AG13" s="39">
        <f t="shared" si="9"/>
        <v>5</v>
      </c>
      <c r="AH13" s="7">
        <v>1.0</v>
      </c>
      <c r="AI13" s="7">
        <v>1.0</v>
      </c>
      <c r="AJ13" s="7">
        <v>1.0</v>
      </c>
      <c r="AK13" s="39">
        <f t="shared" si="10"/>
        <v>5</v>
      </c>
      <c r="AL13" s="4">
        <v>1.0</v>
      </c>
      <c r="AM13" s="7">
        <v>1.0</v>
      </c>
      <c r="AN13" s="7">
        <v>1.0</v>
      </c>
      <c r="AO13" s="39">
        <f t="shared" si="11"/>
        <v>5</v>
      </c>
      <c r="AP13" s="7">
        <v>1.0</v>
      </c>
      <c r="AQ13" s="7">
        <v>1.0</v>
      </c>
      <c r="AR13" s="7">
        <v>1.0</v>
      </c>
      <c r="AS13" s="39">
        <f t="shared" si="12"/>
        <v>5</v>
      </c>
      <c r="AT13" s="7">
        <v>1.0</v>
      </c>
      <c r="AU13" s="7">
        <v>1.0</v>
      </c>
      <c r="AV13" s="7">
        <v>1.0</v>
      </c>
      <c r="AW13" s="39">
        <f t="shared" si="13"/>
        <v>5</v>
      </c>
      <c r="AX13" s="7"/>
      <c r="AY13" s="7"/>
      <c r="AZ13" s="7"/>
      <c r="BA13" s="39">
        <f t="shared" si="14"/>
        <v>0</v>
      </c>
      <c r="BB13" s="7">
        <v>1.0</v>
      </c>
      <c r="BC13" s="7">
        <v>1.0</v>
      </c>
      <c r="BD13" s="7">
        <v>1.0</v>
      </c>
      <c r="BE13" s="39">
        <f t="shared" si="15"/>
        <v>5</v>
      </c>
      <c r="BF13" s="7">
        <v>1.0</v>
      </c>
      <c r="BG13" s="7">
        <v>1.0</v>
      </c>
      <c r="BH13" s="7">
        <v>1.0</v>
      </c>
      <c r="BI13" s="39">
        <f t="shared" si="16"/>
        <v>5</v>
      </c>
      <c r="BJ13" s="7">
        <v>1.0</v>
      </c>
      <c r="BK13" s="7">
        <v>1.0</v>
      </c>
      <c r="BL13" s="7">
        <v>1.0</v>
      </c>
      <c r="BM13" s="39">
        <f t="shared" si="17"/>
        <v>5</v>
      </c>
      <c r="BN13" s="7">
        <v>1.0</v>
      </c>
      <c r="BO13" s="7">
        <v>1.0</v>
      </c>
      <c r="BP13" s="7">
        <v>1.0</v>
      </c>
      <c r="BQ13" s="39">
        <f t="shared" si="18"/>
        <v>5</v>
      </c>
      <c r="BR13" s="7">
        <v>1.0</v>
      </c>
      <c r="BS13" s="7">
        <v>1.0</v>
      </c>
      <c r="BT13" s="7"/>
      <c r="BU13" s="39">
        <f t="shared" si="19"/>
        <v>3</v>
      </c>
      <c r="BV13" s="7">
        <v>1.0</v>
      </c>
      <c r="BW13" s="7">
        <v>1.0</v>
      </c>
      <c r="BX13" s="7">
        <v>1.0</v>
      </c>
      <c r="BY13" s="39">
        <f t="shared" si="20"/>
        <v>5</v>
      </c>
      <c r="BZ13" s="7">
        <v>1.0</v>
      </c>
      <c r="CA13" s="7">
        <v>1.0</v>
      </c>
      <c r="CB13" s="7">
        <v>1.0</v>
      </c>
      <c r="CC13" s="39">
        <f t="shared" si="21"/>
        <v>5</v>
      </c>
      <c r="CD13" s="7">
        <v>1.0</v>
      </c>
      <c r="CE13" s="7">
        <v>1.0</v>
      </c>
      <c r="CF13" s="7">
        <v>1.0</v>
      </c>
      <c r="CG13" s="39">
        <f t="shared" si="22"/>
        <v>5</v>
      </c>
      <c r="CH13" s="7">
        <v>1.0</v>
      </c>
      <c r="CI13" s="7">
        <v>1.0</v>
      </c>
      <c r="CJ13" s="7"/>
      <c r="CK13" s="39">
        <f t="shared" si="23"/>
        <v>3</v>
      </c>
      <c r="CL13" s="7"/>
      <c r="CM13" s="7"/>
      <c r="CN13" s="7"/>
      <c r="CO13" s="39">
        <f t="shared" si="24"/>
        <v>0</v>
      </c>
      <c r="CP13" s="7">
        <v>1.0</v>
      </c>
      <c r="CQ13" s="7">
        <v>1.0</v>
      </c>
      <c r="CR13" s="7">
        <v>1.0</v>
      </c>
      <c r="CS13" s="39">
        <f t="shared" si="25"/>
        <v>5</v>
      </c>
      <c r="CT13" s="7">
        <v>1.0</v>
      </c>
      <c r="CU13" s="7">
        <v>1.0</v>
      </c>
      <c r="CV13" s="7">
        <v>1.0</v>
      </c>
      <c r="CW13" s="39">
        <f t="shared" si="26"/>
        <v>5</v>
      </c>
      <c r="CX13" s="7">
        <v>1.0</v>
      </c>
      <c r="CY13" s="7">
        <v>1.0</v>
      </c>
      <c r="CZ13" s="7">
        <v>1.0</v>
      </c>
      <c r="DA13" s="39">
        <f t="shared" si="27"/>
        <v>5</v>
      </c>
      <c r="DB13" s="7">
        <v>1.0</v>
      </c>
      <c r="DC13" s="7">
        <v>1.0</v>
      </c>
      <c r="DD13" s="7">
        <v>1.0</v>
      </c>
      <c r="DE13" s="39">
        <f t="shared" si="28"/>
        <v>5</v>
      </c>
      <c r="DF13" s="7"/>
      <c r="DG13" s="7"/>
      <c r="DH13" s="7"/>
      <c r="DI13" s="39">
        <f t="shared" si="29"/>
        <v>0</v>
      </c>
      <c r="DJ13" s="7"/>
      <c r="DK13" s="7"/>
      <c r="DL13" s="7"/>
      <c r="DM13" s="39">
        <f t="shared" si="30"/>
        <v>0</v>
      </c>
      <c r="DN13" s="7"/>
      <c r="DO13" s="7"/>
      <c r="DP13" s="7"/>
      <c r="DQ13" s="39">
        <f t="shared" si="31"/>
        <v>0</v>
      </c>
      <c r="DR13" s="7"/>
      <c r="DS13" s="7"/>
      <c r="DT13" s="7"/>
      <c r="DU13" s="39">
        <f t="shared" si="32"/>
        <v>0</v>
      </c>
      <c r="DV13" s="7"/>
      <c r="DW13" s="7"/>
      <c r="DX13" s="7"/>
      <c r="DY13" s="39">
        <f t="shared" si="33"/>
        <v>0</v>
      </c>
      <c r="DZ13" s="7"/>
      <c r="EA13" s="7"/>
      <c r="EB13" s="7"/>
      <c r="EC13" s="39">
        <f t="shared" si="34"/>
        <v>0</v>
      </c>
      <c r="ED13" s="7"/>
      <c r="EE13" s="7"/>
      <c r="EF13" s="7"/>
      <c r="EG13" s="39">
        <f t="shared" si="35"/>
        <v>0</v>
      </c>
      <c r="EH13" s="7"/>
      <c r="EI13" s="7"/>
      <c r="EJ13" s="7"/>
      <c r="EK13" s="39">
        <f t="shared" si="36"/>
        <v>0</v>
      </c>
      <c r="EL13" s="7"/>
      <c r="EM13" s="7"/>
      <c r="EN13" s="7"/>
      <c r="EO13" s="39">
        <f t="shared" si="37"/>
        <v>0</v>
      </c>
    </row>
    <row r="14">
      <c r="A14" s="20" t="s">
        <v>111</v>
      </c>
      <c r="B14" s="21"/>
      <c r="C14" s="1">
        <f t="shared" si="1"/>
        <v>12</v>
      </c>
      <c r="D14" s="15">
        <f>VLOOKUP(A14,TDP!A:C,3,FALSE)</f>
        <v>0.18</v>
      </c>
      <c r="E14" s="37">
        <f t="shared" si="2"/>
        <v>133.34</v>
      </c>
      <c r="F14" s="161"/>
      <c r="G14" s="1"/>
      <c r="H14" s="1"/>
      <c r="I14" s="39">
        <f t="shared" si="3"/>
        <v>0</v>
      </c>
      <c r="J14" s="4"/>
      <c r="K14" s="7"/>
      <c r="L14" s="7"/>
      <c r="M14" s="39">
        <f t="shared" si="4"/>
        <v>0</v>
      </c>
      <c r="N14" s="1"/>
      <c r="O14" s="1"/>
      <c r="P14" s="7"/>
      <c r="Q14" s="39">
        <f t="shared" si="5"/>
        <v>0</v>
      </c>
      <c r="R14" s="1"/>
      <c r="S14" s="1"/>
      <c r="T14" s="1"/>
      <c r="U14" s="39">
        <f t="shared" si="6"/>
        <v>0</v>
      </c>
      <c r="V14" s="7">
        <v>1.0</v>
      </c>
      <c r="W14" s="7">
        <v>1.0</v>
      </c>
      <c r="X14" s="7">
        <v>1.0</v>
      </c>
      <c r="Y14" s="39">
        <f t="shared" si="7"/>
        <v>5</v>
      </c>
      <c r="Z14" s="7">
        <v>1.0</v>
      </c>
      <c r="AA14" s="7">
        <v>1.0</v>
      </c>
      <c r="AB14" s="7">
        <v>1.0</v>
      </c>
      <c r="AC14" s="39">
        <f t="shared" si="8"/>
        <v>5</v>
      </c>
      <c r="AD14" s="7">
        <v>1.0</v>
      </c>
      <c r="AE14" s="7">
        <v>1.0</v>
      </c>
      <c r="AF14" s="7">
        <v>1.0</v>
      </c>
      <c r="AG14" s="39">
        <f t="shared" si="9"/>
        <v>5</v>
      </c>
      <c r="AH14" s="7">
        <v>1.0</v>
      </c>
      <c r="AI14" s="7">
        <v>1.0</v>
      </c>
      <c r="AJ14" s="7">
        <v>1.0</v>
      </c>
      <c r="AK14" s="39">
        <f t="shared" si="10"/>
        <v>5</v>
      </c>
      <c r="AL14" s="4">
        <v>1.0</v>
      </c>
      <c r="AM14" s="7">
        <v>1.0</v>
      </c>
      <c r="AN14" s="7">
        <v>1.0</v>
      </c>
      <c r="AO14" s="39">
        <f t="shared" si="11"/>
        <v>5</v>
      </c>
      <c r="AP14" s="7">
        <v>1.0</v>
      </c>
      <c r="AQ14" s="7">
        <v>1.0</v>
      </c>
      <c r="AR14" s="7">
        <v>1.0</v>
      </c>
      <c r="AS14" s="39">
        <f t="shared" si="12"/>
        <v>5</v>
      </c>
      <c r="AT14" s="7">
        <v>1.0</v>
      </c>
      <c r="AU14" s="7">
        <v>1.0</v>
      </c>
      <c r="AV14" s="7">
        <v>1.0</v>
      </c>
      <c r="AW14" s="39">
        <f t="shared" si="13"/>
        <v>5</v>
      </c>
      <c r="AX14" s="7">
        <v>1.0</v>
      </c>
      <c r="AY14" s="7">
        <v>1.0</v>
      </c>
      <c r="AZ14" s="7">
        <v>1.0</v>
      </c>
      <c r="BA14" s="39">
        <f t="shared" si="14"/>
        <v>5</v>
      </c>
      <c r="BB14" s="7">
        <v>1.0</v>
      </c>
      <c r="BC14" s="7">
        <v>1.0</v>
      </c>
      <c r="BD14" s="7">
        <v>1.0</v>
      </c>
      <c r="BE14" s="39">
        <f t="shared" si="15"/>
        <v>5</v>
      </c>
      <c r="BF14" s="7">
        <v>1.0</v>
      </c>
      <c r="BG14" s="7">
        <v>1.0</v>
      </c>
      <c r="BH14" s="7">
        <v>1.0</v>
      </c>
      <c r="BI14" s="39">
        <f t="shared" si="16"/>
        <v>5</v>
      </c>
      <c r="BJ14" s="7">
        <v>1.0</v>
      </c>
      <c r="BK14" s="7">
        <v>1.0</v>
      </c>
      <c r="BL14" s="7">
        <v>1.0</v>
      </c>
      <c r="BM14" s="39">
        <f t="shared" si="17"/>
        <v>5</v>
      </c>
      <c r="BN14" s="7">
        <v>1.0</v>
      </c>
      <c r="BO14" s="7">
        <v>1.0</v>
      </c>
      <c r="BP14" s="7">
        <v>1.0</v>
      </c>
      <c r="BQ14" s="39">
        <f t="shared" si="18"/>
        <v>5</v>
      </c>
      <c r="BR14" s="7">
        <v>1.0</v>
      </c>
      <c r="BS14" s="7">
        <v>1.0</v>
      </c>
      <c r="BT14" s="7">
        <v>1.0</v>
      </c>
      <c r="BU14" s="39">
        <f t="shared" si="19"/>
        <v>5</v>
      </c>
      <c r="BV14" s="7"/>
      <c r="BW14" s="7"/>
      <c r="BX14" s="7">
        <v>1.0</v>
      </c>
      <c r="BY14" s="39">
        <f t="shared" si="20"/>
        <v>7</v>
      </c>
      <c r="BZ14" s="7"/>
      <c r="CA14" s="7"/>
      <c r="CB14" s="7"/>
      <c r="CC14" s="39">
        <f t="shared" si="21"/>
        <v>0</v>
      </c>
      <c r="CD14" s="7"/>
      <c r="CE14" s="7"/>
      <c r="CF14" s="7"/>
      <c r="CG14" s="39">
        <f t="shared" si="22"/>
        <v>0</v>
      </c>
      <c r="CH14" s="7">
        <v>1.0</v>
      </c>
      <c r="CI14" s="7">
        <v>1.0</v>
      </c>
      <c r="CJ14" s="7">
        <v>1.0</v>
      </c>
      <c r="CK14" s="39">
        <f t="shared" si="23"/>
        <v>5</v>
      </c>
      <c r="CL14" s="7">
        <v>1.0</v>
      </c>
      <c r="CM14" s="7">
        <v>1.0</v>
      </c>
      <c r="CN14" s="7"/>
      <c r="CO14" s="39">
        <f t="shared" si="24"/>
        <v>3</v>
      </c>
      <c r="CP14" s="7"/>
      <c r="CQ14" s="7"/>
      <c r="CR14" s="7"/>
      <c r="CS14" s="39">
        <f t="shared" si="25"/>
        <v>0</v>
      </c>
      <c r="CT14" s="7"/>
      <c r="CU14" s="7"/>
      <c r="CV14" s="7"/>
      <c r="CW14" s="39">
        <f t="shared" si="26"/>
        <v>0</v>
      </c>
      <c r="CX14" s="7">
        <v>1.0</v>
      </c>
      <c r="CY14" s="7">
        <v>1.0</v>
      </c>
      <c r="CZ14" s="7">
        <v>1.0</v>
      </c>
      <c r="DA14" s="39">
        <f t="shared" si="27"/>
        <v>5</v>
      </c>
      <c r="DB14" s="7"/>
      <c r="DC14" s="7"/>
      <c r="DD14" s="7"/>
      <c r="DE14" s="39">
        <f t="shared" si="28"/>
        <v>0</v>
      </c>
      <c r="DF14" s="7"/>
      <c r="DG14" s="7"/>
      <c r="DH14" s="7"/>
      <c r="DI14" s="39">
        <f t="shared" si="29"/>
        <v>0</v>
      </c>
      <c r="DJ14" s="7"/>
      <c r="DK14" s="7"/>
      <c r="DL14" s="7"/>
      <c r="DM14" s="39">
        <f t="shared" si="30"/>
        <v>0</v>
      </c>
      <c r="DN14" s="7">
        <v>1.0</v>
      </c>
      <c r="DO14" s="7">
        <v>1.0</v>
      </c>
      <c r="DP14" s="7">
        <v>1.0</v>
      </c>
      <c r="DQ14" s="39">
        <f t="shared" si="31"/>
        <v>5</v>
      </c>
      <c r="DR14" s="7"/>
      <c r="DS14" s="7"/>
      <c r="DT14" s="7"/>
      <c r="DU14" s="39">
        <f t="shared" si="32"/>
        <v>0</v>
      </c>
      <c r="DV14" s="7">
        <v>1.0</v>
      </c>
      <c r="DW14" s="7">
        <v>1.0</v>
      </c>
      <c r="DX14" s="7">
        <v>1.0</v>
      </c>
      <c r="DY14" s="39">
        <f t="shared" si="33"/>
        <v>5</v>
      </c>
      <c r="DZ14" s="7">
        <v>1.0</v>
      </c>
      <c r="EA14" s="7">
        <v>1.0</v>
      </c>
      <c r="EB14" s="7">
        <v>1.0</v>
      </c>
      <c r="EC14" s="39">
        <f t="shared" si="34"/>
        <v>5</v>
      </c>
      <c r="ED14" s="7">
        <v>1.0</v>
      </c>
      <c r="EE14" s="7">
        <v>1.0</v>
      </c>
      <c r="EF14" s="7"/>
      <c r="EG14" s="39">
        <f t="shared" si="35"/>
        <v>3</v>
      </c>
      <c r="EH14" s="7">
        <v>1.0</v>
      </c>
      <c r="EI14" s="7">
        <v>1.0</v>
      </c>
      <c r="EJ14" s="7">
        <v>1.0</v>
      </c>
      <c r="EK14" s="39">
        <f t="shared" si="36"/>
        <v>5</v>
      </c>
      <c r="EL14" s="7">
        <v>1.0</v>
      </c>
      <c r="EM14" s="7">
        <v>1.0</v>
      </c>
      <c r="EN14" s="7">
        <v>1.0</v>
      </c>
      <c r="EO14" s="39">
        <f t="shared" si="37"/>
        <v>5</v>
      </c>
    </row>
    <row r="15">
      <c r="A15" s="20" t="s">
        <v>63</v>
      </c>
      <c r="B15" s="21" t="s">
        <v>155</v>
      </c>
      <c r="C15" s="1">
        <f t="shared" si="1"/>
        <v>13</v>
      </c>
      <c r="D15" s="15">
        <f>VLOOKUP(A15,TDP!A:C,3,FALSE)</f>
        <v>0.29</v>
      </c>
      <c r="E15" s="37">
        <f t="shared" si="2"/>
        <v>130.29</v>
      </c>
      <c r="F15" s="161"/>
      <c r="G15" s="1"/>
      <c r="H15" s="1"/>
      <c r="I15" s="39">
        <f t="shared" si="3"/>
        <v>0</v>
      </c>
      <c r="J15" s="161"/>
      <c r="K15" s="1"/>
      <c r="L15" s="1"/>
      <c r="M15" s="39">
        <f t="shared" si="4"/>
        <v>0</v>
      </c>
      <c r="N15" s="1"/>
      <c r="O15" s="1"/>
      <c r="P15" s="1"/>
      <c r="Q15" s="39">
        <f t="shared" si="5"/>
        <v>0</v>
      </c>
      <c r="R15" s="1"/>
      <c r="S15" s="1"/>
      <c r="T15" s="1"/>
      <c r="U15" s="39">
        <f t="shared" si="6"/>
        <v>0</v>
      </c>
      <c r="V15" s="1"/>
      <c r="W15" s="1"/>
      <c r="X15" s="1"/>
      <c r="Y15" s="39">
        <f t="shared" si="7"/>
        <v>0</v>
      </c>
      <c r="Z15" s="1"/>
      <c r="AA15" s="1"/>
      <c r="AB15" s="1"/>
      <c r="AC15" s="39">
        <f t="shared" si="8"/>
        <v>0</v>
      </c>
      <c r="AD15" s="7"/>
      <c r="AE15" s="7"/>
      <c r="AF15" s="7"/>
      <c r="AG15" s="39">
        <f t="shared" si="9"/>
        <v>0</v>
      </c>
      <c r="AH15" s="7"/>
      <c r="AI15" s="7"/>
      <c r="AJ15" s="7"/>
      <c r="AK15" s="39">
        <f t="shared" si="10"/>
        <v>0</v>
      </c>
      <c r="AL15" s="4"/>
      <c r="AM15" s="7"/>
      <c r="AN15" s="7"/>
      <c r="AO15" s="39">
        <f t="shared" si="11"/>
        <v>0</v>
      </c>
      <c r="AP15" s="7"/>
      <c r="AQ15" s="7"/>
      <c r="AR15" s="7"/>
      <c r="AS15" s="39">
        <f t="shared" si="12"/>
        <v>0</v>
      </c>
      <c r="AT15" s="7"/>
      <c r="AU15" s="7"/>
      <c r="AV15" s="7"/>
      <c r="AW15" s="39">
        <f t="shared" si="13"/>
        <v>0</v>
      </c>
      <c r="AX15" s="7">
        <v>1.0</v>
      </c>
      <c r="AY15" s="7">
        <v>1.0</v>
      </c>
      <c r="AZ15" s="7">
        <v>1.0</v>
      </c>
      <c r="BA15" s="39">
        <f t="shared" si="14"/>
        <v>5</v>
      </c>
      <c r="BB15" s="7">
        <v>1.0</v>
      </c>
      <c r="BC15" s="7">
        <v>1.0</v>
      </c>
      <c r="BD15" s="7">
        <v>1.0</v>
      </c>
      <c r="BE15" s="39">
        <f t="shared" si="15"/>
        <v>5</v>
      </c>
      <c r="BF15" s="7">
        <v>1.0</v>
      </c>
      <c r="BG15" s="7">
        <v>1.0</v>
      </c>
      <c r="BH15" s="7">
        <v>1.0</v>
      </c>
      <c r="BI15" s="39">
        <f t="shared" si="16"/>
        <v>5</v>
      </c>
      <c r="BJ15" s="7"/>
      <c r="BK15" s="7"/>
      <c r="BL15" s="7"/>
      <c r="BM15" s="39">
        <f t="shared" si="17"/>
        <v>0</v>
      </c>
      <c r="BN15" s="7">
        <v>1.0</v>
      </c>
      <c r="BO15" s="7">
        <v>1.0</v>
      </c>
      <c r="BP15" s="7">
        <v>1.0</v>
      </c>
      <c r="BQ15" s="39">
        <f t="shared" si="18"/>
        <v>5</v>
      </c>
      <c r="BR15" s="7">
        <v>1.0</v>
      </c>
      <c r="BS15" s="7">
        <v>1.0</v>
      </c>
      <c r="BT15" s="7">
        <v>1.0</v>
      </c>
      <c r="BU15" s="39">
        <f t="shared" si="19"/>
        <v>5</v>
      </c>
      <c r="BV15" s="7">
        <v>1.0</v>
      </c>
      <c r="BW15" s="7">
        <v>1.0</v>
      </c>
      <c r="BX15" s="7">
        <v>1.0</v>
      </c>
      <c r="BY15" s="39">
        <f t="shared" si="20"/>
        <v>5</v>
      </c>
      <c r="BZ15" s="7">
        <v>1.0</v>
      </c>
      <c r="CA15" s="7">
        <v>1.0</v>
      </c>
      <c r="CB15" s="7">
        <v>1.0</v>
      </c>
      <c r="CC15" s="39">
        <f t="shared" si="21"/>
        <v>5</v>
      </c>
      <c r="CD15" s="7">
        <v>1.0</v>
      </c>
      <c r="CE15" s="7">
        <v>1.0</v>
      </c>
      <c r="CF15" s="7">
        <v>1.0</v>
      </c>
      <c r="CG15" s="39">
        <f t="shared" si="22"/>
        <v>5</v>
      </c>
      <c r="CH15" s="7">
        <v>1.0</v>
      </c>
      <c r="CI15" s="7">
        <v>1.0</v>
      </c>
      <c r="CJ15" s="7">
        <v>1.0</v>
      </c>
      <c r="CK15" s="39">
        <f t="shared" si="23"/>
        <v>5</v>
      </c>
      <c r="CL15" s="7">
        <v>1.0</v>
      </c>
      <c r="CM15" s="7">
        <v>1.0</v>
      </c>
      <c r="CN15" s="7"/>
      <c r="CO15" s="39">
        <f t="shared" si="24"/>
        <v>3</v>
      </c>
      <c r="CP15" s="7">
        <v>1.0</v>
      </c>
      <c r="CQ15" s="7">
        <v>1.0</v>
      </c>
      <c r="CR15" s="7">
        <v>1.0</v>
      </c>
      <c r="CS15" s="39">
        <f t="shared" si="25"/>
        <v>5</v>
      </c>
      <c r="CT15" s="7"/>
      <c r="CU15" s="7"/>
      <c r="CV15" s="7"/>
      <c r="CW15" s="39">
        <f t="shared" si="26"/>
        <v>0</v>
      </c>
      <c r="CX15" s="7">
        <v>1.0</v>
      </c>
      <c r="CY15" s="7">
        <v>1.0</v>
      </c>
      <c r="CZ15" s="7">
        <v>1.0</v>
      </c>
      <c r="DA15" s="39">
        <f t="shared" si="27"/>
        <v>5</v>
      </c>
      <c r="DB15" s="7"/>
      <c r="DC15" s="7"/>
      <c r="DD15" s="7"/>
      <c r="DE15" s="39">
        <f t="shared" si="28"/>
        <v>0</v>
      </c>
      <c r="DF15" s="7">
        <v>1.0</v>
      </c>
      <c r="DG15" s="7">
        <v>1.0</v>
      </c>
      <c r="DH15" s="7">
        <v>1.0</v>
      </c>
      <c r="DI15" s="39">
        <f t="shared" si="29"/>
        <v>5</v>
      </c>
      <c r="DJ15" s="7">
        <v>1.0</v>
      </c>
      <c r="DK15" s="7">
        <v>1.0</v>
      </c>
      <c r="DL15" s="7">
        <v>1.0</v>
      </c>
      <c r="DM15" s="39">
        <f t="shared" si="30"/>
        <v>5</v>
      </c>
      <c r="DN15" s="7">
        <v>1.0</v>
      </c>
      <c r="DO15" s="7">
        <v>1.0</v>
      </c>
      <c r="DP15" s="7">
        <v>1.0</v>
      </c>
      <c r="DQ15" s="39">
        <f t="shared" si="31"/>
        <v>5</v>
      </c>
      <c r="DR15" s="7">
        <v>1.0</v>
      </c>
      <c r="DS15" s="7">
        <v>1.0</v>
      </c>
      <c r="DT15" s="7">
        <v>1.0</v>
      </c>
      <c r="DU15" s="39">
        <f t="shared" si="32"/>
        <v>5</v>
      </c>
      <c r="DV15" s="7">
        <v>1.0</v>
      </c>
      <c r="DW15" s="7">
        <v>1.0</v>
      </c>
      <c r="DX15" s="7">
        <v>1.0</v>
      </c>
      <c r="DY15" s="39">
        <f t="shared" si="33"/>
        <v>5</v>
      </c>
      <c r="DZ15" s="7">
        <v>1.0</v>
      </c>
      <c r="EA15" s="7">
        <v>1.0</v>
      </c>
      <c r="EB15" s="7">
        <v>1.0</v>
      </c>
      <c r="EC15" s="39">
        <f t="shared" si="34"/>
        <v>5</v>
      </c>
      <c r="ED15" s="7">
        <v>1.0</v>
      </c>
      <c r="EE15" s="7">
        <v>1.0</v>
      </c>
      <c r="EF15" s="7"/>
      <c r="EG15" s="39">
        <f t="shared" si="35"/>
        <v>3</v>
      </c>
      <c r="EH15" s="7">
        <v>1.0</v>
      </c>
      <c r="EI15" s="7">
        <v>1.0</v>
      </c>
      <c r="EJ15" s="7">
        <v>1.0</v>
      </c>
      <c r="EK15" s="39">
        <f t="shared" si="36"/>
        <v>5</v>
      </c>
      <c r="EL15" s="7">
        <v>1.0</v>
      </c>
      <c r="EM15" s="7">
        <v>1.0</v>
      </c>
      <c r="EN15" s="7">
        <v>1.0</v>
      </c>
      <c r="EO15" s="39">
        <f t="shared" si="37"/>
        <v>5</v>
      </c>
    </row>
    <row r="16">
      <c r="A16" s="20" t="s">
        <v>27</v>
      </c>
      <c r="B16" s="21" t="s">
        <v>28</v>
      </c>
      <c r="C16" s="1">
        <f t="shared" si="1"/>
        <v>14</v>
      </c>
      <c r="D16" s="15">
        <f>VLOOKUP(A16,TDP!A:C,3,FALSE)</f>
        <v>0.46</v>
      </c>
      <c r="E16" s="37">
        <f t="shared" si="2"/>
        <v>128.48</v>
      </c>
      <c r="F16" s="4">
        <v>1.0</v>
      </c>
      <c r="G16" s="7">
        <v>1.0</v>
      </c>
      <c r="H16" s="7">
        <v>1.0</v>
      </c>
      <c r="I16" s="39">
        <f t="shared" si="3"/>
        <v>5</v>
      </c>
      <c r="J16" s="4">
        <v>1.0</v>
      </c>
      <c r="K16" s="7">
        <v>1.0</v>
      </c>
      <c r="L16" s="7">
        <v>1.0</v>
      </c>
      <c r="M16" s="39">
        <f t="shared" si="4"/>
        <v>5</v>
      </c>
      <c r="N16" s="1"/>
      <c r="O16" s="1"/>
      <c r="P16" s="1"/>
      <c r="Q16" s="39">
        <f t="shared" si="5"/>
        <v>0</v>
      </c>
      <c r="R16" s="7"/>
      <c r="S16" s="7"/>
      <c r="T16" s="7"/>
      <c r="U16" s="39">
        <f t="shared" si="6"/>
        <v>0</v>
      </c>
      <c r="V16" s="7">
        <v>1.0</v>
      </c>
      <c r="W16" s="7">
        <v>1.0</v>
      </c>
      <c r="X16" s="7">
        <v>1.0</v>
      </c>
      <c r="Y16" s="39">
        <f t="shared" si="7"/>
        <v>5</v>
      </c>
      <c r="Z16" s="7">
        <v>1.0</v>
      </c>
      <c r="AA16" s="7">
        <v>1.0</v>
      </c>
      <c r="AB16" s="7">
        <v>1.0</v>
      </c>
      <c r="AC16" s="39">
        <f t="shared" si="8"/>
        <v>5</v>
      </c>
      <c r="AD16" s="7"/>
      <c r="AE16" s="7"/>
      <c r="AF16" s="7">
        <v>1.0</v>
      </c>
      <c r="AG16" s="39">
        <f t="shared" si="9"/>
        <v>7</v>
      </c>
      <c r="AH16" s="7">
        <v>1.0</v>
      </c>
      <c r="AI16" s="7">
        <v>1.0</v>
      </c>
      <c r="AJ16" s="7">
        <v>1.0</v>
      </c>
      <c r="AK16" s="39">
        <f t="shared" si="10"/>
        <v>5</v>
      </c>
      <c r="AL16" s="4">
        <v>1.0</v>
      </c>
      <c r="AM16" s="7">
        <v>1.0</v>
      </c>
      <c r="AN16" s="7">
        <v>1.0</v>
      </c>
      <c r="AO16" s="39">
        <f t="shared" si="11"/>
        <v>5</v>
      </c>
      <c r="AP16" s="7"/>
      <c r="AQ16" s="7"/>
      <c r="AR16" s="7">
        <v>1.0</v>
      </c>
      <c r="AS16" s="39">
        <f t="shared" si="12"/>
        <v>7</v>
      </c>
      <c r="AT16" s="7">
        <v>1.0</v>
      </c>
      <c r="AU16" s="7">
        <v>1.0</v>
      </c>
      <c r="AV16" s="7">
        <v>1.0</v>
      </c>
      <c r="AW16" s="39">
        <f t="shared" si="13"/>
        <v>5</v>
      </c>
      <c r="AX16" s="7"/>
      <c r="AY16" s="7"/>
      <c r="AZ16" s="7">
        <v>1.0</v>
      </c>
      <c r="BA16" s="39">
        <f t="shared" si="14"/>
        <v>7</v>
      </c>
      <c r="BB16" s="7">
        <v>1.0</v>
      </c>
      <c r="BC16" s="7">
        <v>1.0</v>
      </c>
      <c r="BD16" s="7">
        <v>1.0</v>
      </c>
      <c r="BE16" s="39">
        <f t="shared" si="15"/>
        <v>5</v>
      </c>
      <c r="BF16" s="7"/>
      <c r="BG16" s="7"/>
      <c r="BH16" s="7"/>
      <c r="BI16" s="39">
        <f t="shared" si="16"/>
        <v>0</v>
      </c>
      <c r="BJ16" s="7"/>
      <c r="BK16" s="7"/>
      <c r="BL16" s="7"/>
      <c r="BM16" s="39">
        <f t="shared" si="17"/>
        <v>0</v>
      </c>
      <c r="BN16" s="7"/>
      <c r="BO16" s="7"/>
      <c r="BP16" s="7"/>
      <c r="BQ16" s="39">
        <f t="shared" si="18"/>
        <v>0</v>
      </c>
      <c r="BR16" s="7"/>
      <c r="BS16" s="7"/>
      <c r="BT16" s="7"/>
      <c r="BU16" s="39">
        <f t="shared" si="19"/>
        <v>0</v>
      </c>
      <c r="BV16" s="7"/>
      <c r="BW16" s="7"/>
      <c r="BX16" s="7"/>
      <c r="BY16" s="39">
        <f t="shared" si="20"/>
        <v>0</v>
      </c>
      <c r="BZ16" s="7"/>
      <c r="CA16" s="7"/>
      <c r="CB16" s="7"/>
      <c r="CC16" s="39">
        <f t="shared" si="21"/>
        <v>0</v>
      </c>
      <c r="CD16" s="7">
        <v>1.0</v>
      </c>
      <c r="CE16" s="7">
        <v>1.0</v>
      </c>
      <c r="CF16" s="7">
        <v>1.0</v>
      </c>
      <c r="CG16" s="39">
        <f t="shared" si="22"/>
        <v>5</v>
      </c>
      <c r="CH16" s="7"/>
      <c r="CI16" s="7"/>
      <c r="CJ16" s="7"/>
      <c r="CK16" s="39">
        <f t="shared" si="23"/>
        <v>0</v>
      </c>
      <c r="CL16" s="7"/>
      <c r="CM16" s="7"/>
      <c r="CN16" s="7"/>
      <c r="CO16" s="39">
        <f t="shared" si="24"/>
        <v>0</v>
      </c>
      <c r="CP16" s="7"/>
      <c r="CQ16" s="7"/>
      <c r="CR16" s="7"/>
      <c r="CS16" s="39">
        <f t="shared" si="25"/>
        <v>0</v>
      </c>
      <c r="CT16" s="7"/>
      <c r="CU16" s="7"/>
      <c r="CV16" s="7"/>
      <c r="CW16" s="39">
        <f t="shared" si="26"/>
        <v>0</v>
      </c>
      <c r="CX16" s="7">
        <v>1.0</v>
      </c>
      <c r="CY16" s="7">
        <v>1.0</v>
      </c>
      <c r="CZ16" s="7">
        <v>1.0</v>
      </c>
      <c r="DA16" s="39">
        <f t="shared" si="27"/>
        <v>5</v>
      </c>
      <c r="DB16" s="7">
        <v>1.0</v>
      </c>
      <c r="DC16" s="7">
        <v>1.0</v>
      </c>
      <c r="DD16" s="7">
        <v>1.0</v>
      </c>
      <c r="DE16" s="39">
        <f t="shared" si="28"/>
        <v>5</v>
      </c>
      <c r="DF16" s="7"/>
      <c r="DG16" s="7"/>
      <c r="DH16" s="7"/>
      <c r="DI16" s="39">
        <f t="shared" si="29"/>
        <v>0</v>
      </c>
      <c r="DJ16" s="7">
        <v>1.0</v>
      </c>
      <c r="DK16" s="7">
        <v>1.0</v>
      </c>
      <c r="DL16" s="7">
        <v>1.0</v>
      </c>
      <c r="DM16" s="39">
        <f t="shared" si="30"/>
        <v>5</v>
      </c>
      <c r="DN16" s="7"/>
      <c r="DO16" s="7"/>
      <c r="DP16" s="7"/>
      <c r="DQ16" s="39">
        <f t="shared" si="31"/>
        <v>0</v>
      </c>
      <c r="DR16" s="7"/>
      <c r="DS16" s="7"/>
      <c r="DT16" s="7"/>
      <c r="DU16" s="39">
        <f t="shared" si="32"/>
        <v>0</v>
      </c>
      <c r="DV16" s="7"/>
      <c r="DW16" s="7"/>
      <c r="DX16" s="7"/>
      <c r="DY16" s="39">
        <f t="shared" si="33"/>
        <v>0</v>
      </c>
      <c r="DZ16" s="7"/>
      <c r="EA16" s="7"/>
      <c r="EB16" s="7"/>
      <c r="EC16" s="39">
        <f t="shared" si="34"/>
        <v>0</v>
      </c>
      <c r="ED16" s="7"/>
      <c r="EE16" s="7"/>
      <c r="EF16" s="7"/>
      <c r="EG16" s="39">
        <f t="shared" si="35"/>
        <v>0</v>
      </c>
      <c r="EH16" s="7"/>
      <c r="EI16" s="7"/>
      <c r="EJ16" s="7"/>
      <c r="EK16" s="39">
        <f t="shared" si="36"/>
        <v>0</v>
      </c>
      <c r="EL16" s="7"/>
      <c r="EM16" s="7"/>
      <c r="EN16" s="7">
        <v>1.0</v>
      </c>
      <c r="EO16" s="39">
        <f t="shared" si="37"/>
        <v>7</v>
      </c>
    </row>
    <row r="17">
      <c r="A17" s="20" t="s">
        <v>55</v>
      </c>
      <c r="B17" s="21" t="s">
        <v>69</v>
      </c>
      <c r="C17" s="1">
        <f t="shared" si="1"/>
        <v>15</v>
      </c>
      <c r="D17" s="15">
        <f>VLOOKUP(A17,TDP!A:C,3,FALSE)</f>
        <v>0.3</v>
      </c>
      <c r="E17" s="37">
        <f t="shared" si="2"/>
        <v>89.7</v>
      </c>
      <c r="F17" s="4">
        <v>1.0</v>
      </c>
      <c r="G17" s="7">
        <v>1.0</v>
      </c>
      <c r="H17" s="7">
        <v>1.0</v>
      </c>
      <c r="I17" s="39">
        <f t="shared" si="3"/>
        <v>5</v>
      </c>
      <c r="J17" s="4"/>
      <c r="K17" s="7"/>
      <c r="L17" s="7"/>
      <c r="M17" s="39">
        <f t="shared" si="4"/>
        <v>0</v>
      </c>
      <c r="N17" s="1"/>
      <c r="O17" s="1"/>
      <c r="P17" s="1"/>
      <c r="Q17" s="39">
        <f t="shared" si="5"/>
        <v>0</v>
      </c>
      <c r="R17" s="1"/>
      <c r="S17" s="1"/>
      <c r="T17" s="1"/>
      <c r="U17" s="39">
        <f t="shared" si="6"/>
        <v>0</v>
      </c>
      <c r="V17" s="1"/>
      <c r="W17" s="1"/>
      <c r="X17" s="1"/>
      <c r="Y17" s="39">
        <f t="shared" si="7"/>
        <v>0</v>
      </c>
      <c r="Z17" s="1"/>
      <c r="AA17" s="1"/>
      <c r="AB17" s="1"/>
      <c r="AC17" s="39">
        <f t="shared" si="8"/>
        <v>0</v>
      </c>
      <c r="AD17" s="7"/>
      <c r="AE17" s="7"/>
      <c r="AF17" s="7"/>
      <c r="AG17" s="39">
        <f t="shared" si="9"/>
        <v>0</v>
      </c>
      <c r="AH17" s="7"/>
      <c r="AI17" s="7"/>
      <c r="AJ17" s="7"/>
      <c r="AK17" s="39">
        <f t="shared" si="10"/>
        <v>0</v>
      </c>
      <c r="AL17" s="4"/>
      <c r="AM17" s="7"/>
      <c r="AN17" s="7"/>
      <c r="AO17" s="39">
        <f t="shared" si="11"/>
        <v>0</v>
      </c>
      <c r="AP17" s="7"/>
      <c r="AQ17" s="7"/>
      <c r="AR17" s="7"/>
      <c r="AS17" s="39">
        <f t="shared" si="12"/>
        <v>0</v>
      </c>
      <c r="AT17" s="7"/>
      <c r="AU17" s="7"/>
      <c r="AV17" s="7"/>
      <c r="AW17" s="39">
        <f t="shared" si="13"/>
        <v>0</v>
      </c>
      <c r="AX17" s="7"/>
      <c r="AY17" s="7"/>
      <c r="AZ17" s="7"/>
      <c r="BA17" s="39">
        <f t="shared" si="14"/>
        <v>0</v>
      </c>
      <c r="BB17" s="7"/>
      <c r="BC17" s="7"/>
      <c r="BD17" s="7"/>
      <c r="BE17" s="39">
        <f t="shared" si="15"/>
        <v>0</v>
      </c>
      <c r="BF17" s="7"/>
      <c r="BG17" s="7"/>
      <c r="BH17" s="7"/>
      <c r="BI17" s="39">
        <f t="shared" si="16"/>
        <v>0</v>
      </c>
      <c r="BJ17" s="7"/>
      <c r="BK17" s="7"/>
      <c r="BL17" s="7"/>
      <c r="BM17" s="39">
        <f t="shared" si="17"/>
        <v>0</v>
      </c>
      <c r="BN17" s="7"/>
      <c r="BO17" s="7"/>
      <c r="BP17" s="7"/>
      <c r="BQ17" s="39">
        <f t="shared" si="18"/>
        <v>0</v>
      </c>
      <c r="BR17" s="7"/>
      <c r="BS17" s="7"/>
      <c r="BT17" s="7"/>
      <c r="BU17" s="39">
        <f t="shared" si="19"/>
        <v>0</v>
      </c>
      <c r="BV17" s="7">
        <v>1.0</v>
      </c>
      <c r="BW17" s="7">
        <v>1.0</v>
      </c>
      <c r="BX17" s="7">
        <v>1.0</v>
      </c>
      <c r="BY17" s="39">
        <f t="shared" si="20"/>
        <v>5</v>
      </c>
      <c r="BZ17" s="7">
        <v>1.0</v>
      </c>
      <c r="CA17" s="7">
        <v>1.0</v>
      </c>
      <c r="CB17" s="7">
        <v>1.0</v>
      </c>
      <c r="CC17" s="39">
        <f t="shared" si="21"/>
        <v>5</v>
      </c>
      <c r="CD17" s="7"/>
      <c r="CE17" s="7"/>
      <c r="CF17" s="7"/>
      <c r="CG17" s="39">
        <f t="shared" si="22"/>
        <v>0</v>
      </c>
      <c r="CH17" s="7">
        <v>1.0</v>
      </c>
      <c r="CI17" s="7">
        <v>1.0</v>
      </c>
      <c r="CJ17" s="7">
        <v>1.0</v>
      </c>
      <c r="CK17" s="39">
        <f t="shared" si="23"/>
        <v>5</v>
      </c>
      <c r="CL17" s="7">
        <v>1.0</v>
      </c>
      <c r="CM17" s="7">
        <v>1.0</v>
      </c>
      <c r="CN17" s="7"/>
      <c r="CO17" s="39">
        <f t="shared" si="24"/>
        <v>3</v>
      </c>
      <c r="CP17" s="7">
        <v>1.0</v>
      </c>
      <c r="CQ17" s="7">
        <v>1.0</v>
      </c>
      <c r="CR17" s="7">
        <v>1.0</v>
      </c>
      <c r="CS17" s="39">
        <f t="shared" si="25"/>
        <v>5</v>
      </c>
      <c r="CT17" s="7">
        <v>1.0</v>
      </c>
      <c r="CU17" s="7">
        <v>1.0</v>
      </c>
      <c r="CV17" s="7">
        <v>1.0</v>
      </c>
      <c r="CW17" s="39">
        <f t="shared" si="26"/>
        <v>5</v>
      </c>
      <c r="CX17" s="7">
        <v>1.0</v>
      </c>
      <c r="CY17" s="7">
        <v>1.0</v>
      </c>
      <c r="CZ17" s="7"/>
      <c r="DA17" s="39">
        <f t="shared" si="27"/>
        <v>3</v>
      </c>
      <c r="DB17" s="7">
        <v>1.0</v>
      </c>
      <c r="DC17" s="7">
        <v>1.0</v>
      </c>
      <c r="DD17" s="7"/>
      <c r="DE17" s="39">
        <f t="shared" si="28"/>
        <v>3</v>
      </c>
      <c r="DF17" s="7">
        <v>1.0</v>
      </c>
      <c r="DG17" s="7">
        <v>1.0</v>
      </c>
      <c r="DH17" s="7"/>
      <c r="DI17" s="39">
        <f t="shared" si="29"/>
        <v>3</v>
      </c>
      <c r="DJ17" s="7"/>
      <c r="DK17" s="7"/>
      <c r="DL17" s="7"/>
      <c r="DM17" s="39">
        <f t="shared" si="30"/>
        <v>0</v>
      </c>
      <c r="DN17" s="7">
        <v>1.0</v>
      </c>
      <c r="DO17" s="7">
        <v>1.0</v>
      </c>
      <c r="DP17" s="7">
        <v>1.0</v>
      </c>
      <c r="DQ17" s="39">
        <f t="shared" si="31"/>
        <v>5</v>
      </c>
      <c r="DR17" s="7">
        <v>1.0</v>
      </c>
      <c r="DS17" s="7">
        <v>1.0</v>
      </c>
      <c r="DT17" s="7">
        <v>1.0</v>
      </c>
      <c r="DU17" s="39">
        <f t="shared" si="32"/>
        <v>5</v>
      </c>
      <c r="DV17" s="7">
        <v>1.0</v>
      </c>
      <c r="DW17" s="7">
        <v>1.0</v>
      </c>
      <c r="DX17" s="7"/>
      <c r="DY17" s="39">
        <f t="shared" si="33"/>
        <v>3</v>
      </c>
      <c r="DZ17" s="7">
        <v>1.0</v>
      </c>
      <c r="EA17" s="7">
        <v>1.0</v>
      </c>
      <c r="EB17" s="7">
        <v>1.0</v>
      </c>
      <c r="EC17" s="39">
        <f t="shared" si="34"/>
        <v>5</v>
      </c>
      <c r="ED17" s="7">
        <v>1.0</v>
      </c>
      <c r="EE17" s="7">
        <v>1.0</v>
      </c>
      <c r="EF17" s="7"/>
      <c r="EG17" s="39">
        <f t="shared" si="35"/>
        <v>3</v>
      </c>
      <c r="EH17" s="7">
        <v>1.0</v>
      </c>
      <c r="EI17" s="7">
        <v>1.0</v>
      </c>
      <c r="EJ17" s="7"/>
      <c r="EK17" s="39">
        <f t="shared" si="36"/>
        <v>3</v>
      </c>
      <c r="EL17" s="7">
        <v>1.0</v>
      </c>
      <c r="EM17" s="7">
        <v>1.0</v>
      </c>
      <c r="EN17" s="7"/>
      <c r="EO17" s="39">
        <f t="shared" si="37"/>
        <v>3</v>
      </c>
    </row>
    <row r="18">
      <c r="A18" s="20" t="s">
        <v>36</v>
      </c>
      <c r="B18" s="21" t="s">
        <v>37</v>
      </c>
      <c r="C18" s="1">
        <f t="shared" si="1"/>
        <v>16</v>
      </c>
      <c r="D18" s="15">
        <f>VLOOKUP(A18,TDP!A:C,3,FALSE)</f>
        <v>0.37</v>
      </c>
      <c r="E18" s="37">
        <f t="shared" si="2"/>
        <v>84.94</v>
      </c>
      <c r="F18" s="4">
        <v>1.0</v>
      </c>
      <c r="G18" s="7">
        <v>1.0</v>
      </c>
      <c r="H18" s="7">
        <v>1.0</v>
      </c>
      <c r="I18" s="39">
        <f t="shared" si="3"/>
        <v>5</v>
      </c>
      <c r="J18" s="4"/>
      <c r="K18" s="7"/>
      <c r="L18" s="7">
        <v>1.0</v>
      </c>
      <c r="M18" s="39">
        <f t="shared" si="4"/>
        <v>7</v>
      </c>
      <c r="N18" s="1"/>
      <c r="O18" s="1"/>
      <c r="P18" s="1"/>
      <c r="Q18" s="39">
        <f t="shared" si="5"/>
        <v>0</v>
      </c>
      <c r="R18" s="7"/>
      <c r="S18" s="7"/>
      <c r="T18" s="7"/>
      <c r="U18" s="39">
        <f t="shared" si="6"/>
        <v>0</v>
      </c>
      <c r="V18" s="1"/>
      <c r="W18" s="1"/>
      <c r="X18" s="1"/>
      <c r="Y18" s="39">
        <f t="shared" si="7"/>
        <v>0</v>
      </c>
      <c r="Z18" s="7"/>
      <c r="AA18" s="7"/>
      <c r="AB18" s="7"/>
      <c r="AC18" s="39">
        <f t="shared" si="8"/>
        <v>0</v>
      </c>
      <c r="AD18" s="7"/>
      <c r="AE18" s="7"/>
      <c r="AF18" s="7"/>
      <c r="AG18" s="39">
        <f t="shared" si="9"/>
        <v>0</v>
      </c>
      <c r="AH18" s="7"/>
      <c r="AI18" s="7"/>
      <c r="AJ18" s="7">
        <v>1.0</v>
      </c>
      <c r="AK18" s="39">
        <f t="shared" si="10"/>
        <v>7</v>
      </c>
      <c r="AL18" s="4">
        <v>1.0</v>
      </c>
      <c r="AM18" s="7">
        <v>1.0</v>
      </c>
      <c r="AN18" s="7">
        <v>1.0</v>
      </c>
      <c r="AO18" s="39">
        <f t="shared" si="11"/>
        <v>5</v>
      </c>
      <c r="AP18" s="7">
        <v>1.0</v>
      </c>
      <c r="AQ18" s="7">
        <v>1.0</v>
      </c>
      <c r="AR18" s="7">
        <v>1.0</v>
      </c>
      <c r="AS18" s="39">
        <f t="shared" si="12"/>
        <v>5</v>
      </c>
      <c r="AT18" s="7">
        <v>1.0</v>
      </c>
      <c r="AU18" s="7">
        <v>1.0</v>
      </c>
      <c r="AV18" s="7">
        <v>1.0</v>
      </c>
      <c r="AW18" s="39">
        <f t="shared" si="13"/>
        <v>5</v>
      </c>
      <c r="AX18" s="7">
        <v>1.0</v>
      </c>
      <c r="AY18" s="7">
        <v>1.0</v>
      </c>
      <c r="AZ18" s="7"/>
      <c r="BA18" s="39">
        <f t="shared" si="14"/>
        <v>3</v>
      </c>
      <c r="BB18" s="7"/>
      <c r="BC18" s="7"/>
      <c r="BD18" s="7"/>
      <c r="BE18" s="39">
        <f t="shared" si="15"/>
        <v>0</v>
      </c>
      <c r="BF18" s="7"/>
      <c r="BG18" s="7"/>
      <c r="BH18" s="7"/>
      <c r="BI18" s="39">
        <f t="shared" si="16"/>
        <v>0</v>
      </c>
      <c r="BJ18" s="7"/>
      <c r="BK18" s="7"/>
      <c r="BL18" s="7"/>
      <c r="BM18" s="39">
        <f t="shared" si="17"/>
        <v>0</v>
      </c>
      <c r="BN18" s="7">
        <v>1.0</v>
      </c>
      <c r="BO18" s="7">
        <v>1.0</v>
      </c>
      <c r="BP18" s="7"/>
      <c r="BQ18" s="39">
        <f t="shared" si="18"/>
        <v>3</v>
      </c>
      <c r="BR18" s="7"/>
      <c r="BS18" s="7"/>
      <c r="BT18" s="7"/>
      <c r="BU18" s="39">
        <f t="shared" si="19"/>
        <v>0</v>
      </c>
      <c r="BV18" s="7"/>
      <c r="BW18" s="7"/>
      <c r="BX18" s="7"/>
      <c r="BY18" s="39">
        <f t="shared" si="20"/>
        <v>0</v>
      </c>
      <c r="BZ18" s="7"/>
      <c r="CA18" s="7"/>
      <c r="CB18" s="7"/>
      <c r="CC18" s="39">
        <f t="shared" si="21"/>
        <v>0</v>
      </c>
      <c r="CD18" s="7"/>
      <c r="CE18" s="7"/>
      <c r="CF18" s="7"/>
      <c r="CG18" s="39">
        <f t="shared" si="22"/>
        <v>0</v>
      </c>
      <c r="CH18" s="7"/>
      <c r="CI18" s="7"/>
      <c r="CJ18" s="7"/>
      <c r="CK18" s="39">
        <f t="shared" si="23"/>
        <v>0</v>
      </c>
      <c r="CL18" s="7"/>
      <c r="CM18" s="7"/>
      <c r="CN18" s="7"/>
      <c r="CO18" s="39">
        <f t="shared" si="24"/>
        <v>0</v>
      </c>
      <c r="CP18" s="7"/>
      <c r="CQ18" s="7"/>
      <c r="CR18" s="7"/>
      <c r="CS18" s="39">
        <f t="shared" si="25"/>
        <v>0</v>
      </c>
      <c r="CT18" s="7"/>
      <c r="CU18" s="7"/>
      <c r="CV18" s="7"/>
      <c r="CW18" s="39">
        <f t="shared" si="26"/>
        <v>0</v>
      </c>
      <c r="CX18" s="7"/>
      <c r="CY18" s="7"/>
      <c r="CZ18" s="7"/>
      <c r="DA18" s="39">
        <f t="shared" si="27"/>
        <v>0</v>
      </c>
      <c r="DB18" s="7"/>
      <c r="DC18" s="7"/>
      <c r="DD18" s="7"/>
      <c r="DE18" s="39">
        <f t="shared" si="28"/>
        <v>0</v>
      </c>
      <c r="DF18" s="7"/>
      <c r="DG18" s="7"/>
      <c r="DH18" s="7"/>
      <c r="DI18" s="39">
        <f t="shared" si="29"/>
        <v>0</v>
      </c>
      <c r="DJ18" s="7">
        <v>1.0</v>
      </c>
      <c r="DK18" s="7">
        <v>1.0</v>
      </c>
      <c r="DL18" s="7"/>
      <c r="DM18" s="39">
        <f t="shared" si="30"/>
        <v>3</v>
      </c>
      <c r="DN18" s="7">
        <v>1.0</v>
      </c>
      <c r="DO18" s="7">
        <v>1.0</v>
      </c>
      <c r="DP18" s="7"/>
      <c r="DQ18" s="39">
        <f t="shared" si="31"/>
        <v>3</v>
      </c>
      <c r="DR18" s="7">
        <v>1.0</v>
      </c>
      <c r="DS18" s="7">
        <v>1.0</v>
      </c>
      <c r="DT18" s="7"/>
      <c r="DU18" s="39">
        <f t="shared" si="32"/>
        <v>3</v>
      </c>
      <c r="DV18" s="7">
        <v>1.0</v>
      </c>
      <c r="DW18" s="7">
        <v>1.0</v>
      </c>
      <c r="DX18" s="7">
        <v>1.0</v>
      </c>
      <c r="DY18" s="39">
        <f t="shared" si="33"/>
        <v>5</v>
      </c>
      <c r="DZ18" s="7">
        <v>1.0</v>
      </c>
      <c r="EA18" s="7">
        <v>1.0</v>
      </c>
      <c r="EB18" s="7"/>
      <c r="EC18" s="39">
        <f t="shared" si="34"/>
        <v>3</v>
      </c>
      <c r="ED18" s="7"/>
      <c r="EE18" s="7"/>
      <c r="EF18" s="7"/>
      <c r="EG18" s="39">
        <f t="shared" si="35"/>
        <v>0</v>
      </c>
      <c r="EH18" s="7"/>
      <c r="EI18" s="7"/>
      <c r="EJ18" s="7"/>
      <c r="EK18" s="39">
        <f t="shared" si="36"/>
        <v>0</v>
      </c>
      <c r="EL18" s="7">
        <v>1.0</v>
      </c>
      <c r="EM18" s="7">
        <v>1.0</v>
      </c>
      <c r="EN18" s="7">
        <v>1.0</v>
      </c>
      <c r="EO18" s="39">
        <f t="shared" si="37"/>
        <v>5</v>
      </c>
    </row>
    <row r="19">
      <c r="A19" s="20" t="s">
        <v>49</v>
      </c>
      <c r="B19" s="21" t="s">
        <v>50</v>
      </c>
      <c r="C19" s="1">
        <f t="shared" si="1"/>
        <v>17</v>
      </c>
      <c r="D19" s="15">
        <f>VLOOKUP(A19,TDP!A:C,3,FALSE)</f>
        <v>0.38</v>
      </c>
      <c r="E19" s="37">
        <f t="shared" si="2"/>
        <v>73.14</v>
      </c>
      <c r="F19" s="161"/>
      <c r="G19" s="1"/>
      <c r="H19" s="1"/>
      <c r="I19" s="39">
        <f t="shared" si="3"/>
        <v>0</v>
      </c>
      <c r="J19" s="161"/>
      <c r="K19" s="1"/>
      <c r="L19" s="1"/>
      <c r="M19" s="39">
        <f t="shared" si="4"/>
        <v>0</v>
      </c>
      <c r="N19" s="1"/>
      <c r="O19" s="1"/>
      <c r="P19" s="1"/>
      <c r="Q19" s="39">
        <f t="shared" si="5"/>
        <v>0</v>
      </c>
      <c r="R19" s="1"/>
      <c r="S19" s="1"/>
      <c r="T19" s="1"/>
      <c r="U19" s="39">
        <f t="shared" si="6"/>
        <v>0</v>
      </c>
      <c r="V19" s="1"/>
      <c r="W19" s="1"/>
      <c r="X19" s="1"/>
      <c r="Y19" s="39">
        <f t="shared" si="7"/>
        <v>0</v>
      </c>
      <c r="Z19" s="1"/>
      <c r="AA19" s="1"/>
      <c r="AB19" s="1"/>
      <c r="AC19" s="39">
        <f t="shared" si="8"/>
        <v>0</v>
      </c>
      <c r="AD19" s="7"/>
      <c r="AE19" s="7"/>
      <c r="AF19" s="7"/>
      <c r="AG19" s="39">
        <f t="shared" si="9"/>
        <v>0</v>
      </c>
      <c r="AH19" s="7"/>
      <c r="AI19" s="7"/>
      <c r="AJ19" s="7"/>
      <c r="AK19" s="39">
        <f t="shared" si="10"/>
        <v>0</v>
      </c>
      <c r="AL19" s="4"/>
      <c r="AM19" s="7"/>
      <c r="AN19" s="7"/>
      <c r="AO19" s="39">
        <f t="shared" si="11"/>
        <v>0</v>
      </c>
      <c r="AP19" s="7"/>
      <c r="AQ19" s="7"/>
      <c r="AR19" s="7"/>
      <c r="AS19" s="39">
        <f t="shared" si="12"/>
        <v>0</v>
      </c>
      <c r="AT19" s="7"/>
      <c r="AU19" s="7"/>
      <c r="AV19" s="7"/>
      <c r="AW19" s="39">
        <f t="shared" si="13"/>
        <v>0</v>
      </c>
      <c r="AX19" s="7"/>
      <c r="AY19" s="7"/>
      <c r="AZ19" s="7"/>
      <c r="BA19" s="39">
        <f t="shared" si="14"/>
        <v>0</v>
      </c>
      <c r="BB19" s="7"/>
      <c r="BC19" s="7"/>
      <c r="BD19" s="7"/>
      <c r="BE19" s="39">
        <f t="shared" si="15"/>
        <v>0</v>
      </c>
      <c r="BF19" s="7"/>
      <c r="BG19" s="7"/>
      <c r="BH19" s="7"/>
      <c r="BI19" s="39">
        <f t="shared" si="16"/>
        <v>0</v>
      </c>
      <c r="BJ19" s="7"/>
      <c r="BK19" s="7"/>
      <c r="BL19" s="7"/>
      <c r="BM19" s="39">
        <f t="shared" si="17"/>
        <v>0</v>
      </c>
      <c r="BN19" s="7"/>
      <c r="BO19" s="7"/>
      <c r="BP19" s="7"/>
      <c r="BQ19" s="39">
        <f t="shared" si="18"/>
        <v>0</v>
      </c>
      <c r="BR19" s="7"/>
      <c r="BS19" s="7"/>
      <c r="BT19" s="7">
        <v>1.0</v>
      </c>
      <c r="BU19" s="39">
        <f t="shared" si="19"/>
        <v>7</v>
      </c>
      <c r="BV19" s="7">
        <v>1.0</v>
      </c>
      <c r="BW19" s="7">
        <v>1.0</v>
      </c>
      <c r="BX19" s="7">
        <v>1.0</v>
      </c>
      <c r="BY19" s="39">
        <f t="shared" si="20"/>
        <v>5</v>
      </c>
      <c r="BZ19" s="7"/>
      <c r="CA19" s="7"/>
      <c r="CB19" s="7"/>
      <c r="CC19" s="39">
        <f t="shared" si="21"/>
        <v>0</v>
      </c>
      <c r="CD19" s="7"/>
      <c r="CE19" s="7"/>
      <c r="CF19" s="7"/>
      <c r="CG19" s="39">
        <f t="shared" si="22"/>
        <v>0</v>
      </c>
      <c r="CH19" s="7"/>
      <c r="CI19" s="7"/>
      <c r="CJ19" s="7"/>
      <c r="CK19" s="39">
        <f t="shared" si="23"/>
        <v>0</v>
      </c>
      <c r="CL19" s="7">
        <v>1.0</v>
      </c>
      <c r="CM19" s="7">
        <v>1.0</v>
      </c>
      <c r="CN19" s="7"/>
      <c r="CO19" s="39">
        <f t="shared" si="24"/>
        <v>3</v>
      </c>
      <c r="CP19" s="7"/>
      <c r="CQ19" s="7"/>
      <c r="CR19" s="7"/>
      <c r="CS19" s="39">
        <f t="shared" si="25"/>
        <v>0</v>
      </c>
      <c r="CT19" s="7"/>
      <c r="CU19" s="7"/>
      <c r="CV19" s="7"/>
      <c r="CW19" s="39">
        <f t="shared" si="26"/>
        <v>0</v>
      </c>
      <c r="CX19" s="7">
        <v>1.0</v>
      </c>
      <c r="CY19" s="7">
        <v>1.0</v>
      </c>
      <c r="CZ19" s="7">
        <v>1.0</v>
      </c>
      <c r="DA19" s="39">
        <f t="shared" si="27"/>
        <v>5</v>
      </c>
      <c r="DB19" s="7">
        <v>1.0</v>
      </c>
      <c r="DC19" s="7">
        <v>1.0</v>
      </c>
      <c r="DD19" s="7"/>
      <c r="DE19" s="39">
        <f t="shared" si="28"/>
        <v>3</v>
      </c>
      <c r="DF19" s="7">
        <v>1.0</v>
      </c>
      <c r="DG19" s="7">
        <v>1.0</v>
      </c>
      <c r="DH19" s="7"/>
      <c r="DI19" s="39">
        <f t="shared" si="29"/>
        <v>3</v>
      </c>
      <c r="DJ19" s="7"/>
      <c r="DK19" s="7"/>
      <c r="DL19" s="7"/>
      <c r="DM19" s="39">
        <f t="shared" si="30"/>
        <v>0</v>
      </c>
      <c r="DN19" s="7"/>
      <c r="DO19" s="7"/>
      <c r="DP19" s="7"/>
      <c r="DQ19" s="39">
        <f t="shared" si="31"/>
        <v>0</v>
      </c>
      <c r="DR19" s="7"/>
      <c r="DS19" s="7"/>
      <c r="DT19" s="7">
        <v>1.0</v>
      </c>
      <c r="DU19" s="39">
        <f t="shared" si="32"/>
        <v>7</v>
      </c>
      <c r="DV19" s="7">
        <v>1.0</v>
      </c>
      <c r="DW19" s="7">
        <v>1.0</v>
      </c>
      <c r="DX19" s="7">
        <v>1.0</v>
      </c>
      <c r="DY19" s="39">
        <f t="shared" si="33"/>
        <v>5</v>
      </c>
      <c r="DZ19" s="7">
        <v>1.0</v>
      </c>
      <c r="EA19" s="7">
        <v>1.0</v>
      </c>
      <c r="EB19" s="7">
        <v>1.0</v>
      </c>
      <c r="EC19" s="39">
        <f t="shared" si="34"/>
        <v>5</v>
      </c>
      <c r="ED19" s="7">
        <v>1.0</v>
      </c>
      <c r="EE19" s="7">
        <v>1.0</v>
      </c>
      <c r="EF19" s="7"/>
      <c r="EG19" s="39">
        <f t="shared" si="35"/>
        <v>3</v>
      </c>
      <c r="EH19" s="7"/>
      <c r="EI19" s="7"/>
      <c r="EJ19" s="7">
        <v>1.0</v>
      </c>
      <c r="EK19" s="39">
        <f t="shared" si="36"/>
        <v>7</v>
      </c>
      <c r="EL19" s="7"/>
      <c r="EM19" s="7"/>
      <c r="EN19" s="7"/>
      <c r="EO19" s="39">
        <f t="shared" si="37"/>
        <v>0</v>
      </c>
    </row>
    <row r="20">
      <c r="A20" s="20" t="s">
        <v>77</v>
      </c>
      <c r="B20" s="21"/>
      <c r="C20" s="1">
        <f t="shared" si="1"/>
        <v>18</v>
      </c>
      <c r="D20" s="15">
        <f>VLOOKUP(A20,TDP!A:C,3,FALSE)</f>
        <v>0.25</v>
      </c>
      <c r="E20" s="37">
        <f t="shared" si="2"/>
        <v>65</v>
      </c>
      <c r="F20" s="161"/>
      <c r="G20" s="1"/>
      <c r="H20" s="1"/>
      <c r="I20" s="39">
        <f t="shared" si="3"/>
        <v>0</v>
      </c>
      <c r="J20" s="161"/>
      <c r="K20" s="1"/>
      <c r="L20" s="1"/>
      <c r="M20" s="39">
        <f t="shared" si="4"/>
        <v>0</v>
      </c>
      <c r="N20" s="1"/>
      <c r="O20" s="1"/>
      <c r="P20" s="1"/>
      <c r="Q20" s="39">
        <f t="shared" si="5"/>
        <v>0</v>
      </c>
      <c r="R20" s="1"/>
      <c r="S20" s="1"/>
      <c r="T20" s="1"/>
      <c r="U20" s="39">
        <f t="shared" si="6"/>
        <v>0</v>
      </c>
      <c r="V20" s="1"/>
      <c r="W20" s="1"/>
      <c r="X20" s="1"/>
      <c r="Y20" s="39">
        <f t="shared" si="7"/>
        <v>0</v>
      </c>
      <c r="Z20" s="1"/>
      <c r="AA20" s="1"/>
      <c r="AB20" s="1"/>
      <c r="AC20" s="39">
        <f t="shared" si="8"/>
        <v>0</v>
      </c>
      <c r="AD20" s="7"/>
      <c r="AE20" s="7"/>
      <c r="AF20" s="7"/>
      <c r="AG20" s="39">
        <f t="shared" si="9"/>
        <v>0</v>
      </c>
      <c r="AH20" s="7"/>
      <c r="AI20" s="7"/>
      <c r="AJ20" s="7"/>
      <c r="AK20" s="39">
        <f t="shared" si="10"/>
        <v>0</v>
      </c>
      <c r="AL20" s="4"/>
      <c r="AM20" s="7"/>
      <c r="AN20" s="7"/>
      <c r="AO20" s="39">
        <f t="shared" si="11"/>
        <v>0</v>
      </c>
      <c r="AP20" s="7"/>
      <c r="AQ20" s="7"/>
      <c r="AR20" s="7"/>
      <c r="AS20" s="39">
        <f t="shared" si="12"/>
        <v>0</v>
      </c>
      <c r="AT20" s="7"/>
      <c r="AU20" s="7"/>
      <c r="AV20" s="7"/>
      <c r="AW20" s="39">
        <f t="shared" si="13"/>
        <v>0</v>
      </c>
      <c r="AX20" s="7"/>
      <c r="AY20" s="7"/>
      <c r="AZ20" s="7"/>
      <c r="BA20" s="39">
        <f t="shared" si="14"/>
        <v>0</v>
      </c>
      <c r="BB20" s="7"/>
      <c r="BC20" s="7"/>
      <c r="BD20" s="7"/>
      <c r="BE20" s="39">
        <f t="shared" si="15"/>
        <v>0</v>
      </c>
      <c r="BF20" s="7"/>
      <c r="BG20" s="7"/>
      <c r="BH20" s="7"/>
      <c r="BI20" s="39">
        <f t="shared" si="16"/>
        <v>0</v>
      </c>
      <c r="BJ20" s="7"/>
      <c r="BK20" s="7"/>
      <c r="BL20" s="7"/>
      <c r="BM20" s="39">
        <f t="shared" si="17"/>
        <v>0</v>
      </c>
      <c r="BN20" s="7"/>
      <c r="BO20" s="7"/>
      <c r="BP20" s="7"/>
      <c r="BQ20" s="39">
        <f t="shared" si="18"/>
        <v>0</v>
      </c>
      <c r="BR20" s="7"/>
      <c r="BS20" s="7"/>
      <c r="BT20" s="7"/>
      <c r="BU20" s="39">
        <f t="shared" si="19"/>
        <v>0</v>
      </c>
      <c r="BV20" s="7"/>
      <c r="BW20" s="7"/>
      <c r="BX20" s="7">
        <v>1.0</v>
      </c>
      <c r="BY20" s="39">
        <f t="shared" si="20"/>
        <v>7</v>
      </c>
      <c r="BZ20" s="7"/>
      <c r="CA20" s="7"/>
      <c r="CB20" s="7"/>
      <c r="CC20" s="39">
        <f t="shared" si="21"/>
        <v>0</v>
      </c>
      <c r="CD20" s="7"/>
      <c r="CE20" s="7"/>
      <c r="CF20" s="7"/>
      <c r="CG20" s="39">
        <f t="shared" si="22"/>
        <v>0</v>
      </c>
      <c r="CH20" s="7"/>
      <c r="CI20" s="7"/>
      <c r="CJ20" s="7"/>
      <c r="CK20" s="39">
        <f t="shared" si="23"/>
        <v>0</v>
      </c>
      <c r="CL20" s="7"/>
      <c r="CM20" s="7"/>
      <c r="CN20" s="7"/>
      <c r="CO20" s="39">
        <f t="shared" si="24"/>
        <v>0</v>
      </c>
      <c r="CP20" s="7"/>
      <c r="CQ20" s="7"/>
      <c r="CR20" s="7"/>
      <c r="CS20" s="39">
        <f t="shared" si="25"/>
        <v>0</v>
      </c>
      <c r="CT20" s="7"/>
      <c r="CU20" s="7"/>
      <c r="CV20" s="7"/>
      <c r="CW20" s="39">
        <f t="shared" si="26"/>
        <v>0</v>
      </c>
      <c r="CX20" s="7">
        <v>1.0</v>
      </c>
      <c r="CY20" s="7">
        <v>1.0</v>
      </c>
      <c r="CZ20" s="7"/>
      <c r="DA20" s="39">
        <f t="shared" si="27"/>
        <v>3</v>
      </c>
      <c r="DB20" s="7"/>
      <c r="DC20" s="7"/>
      <c r="DD20" s="7"/>
      <c r="DE20" s="39">
        <f t="shared" si="28"/>
        <v>0</v>
      </c>
      <c r="DF20" s="7"/>
      <c r="DG20" s="7"/>
      <c r="DH20" s="7"/>
      <c r="DI20" s="39">
        <f t="shared" si="29"/>
        <v>0</v>
      </c>
      <c r="DJ20" s="7"/>
      <c r="DK20" s="7"/>
      <c r="DL20" s="7">
        <v>1.0</v>
      </c>
      <c r="DM20" s="39">
        <f t="shared" si="30"/>
        <v>7</v>
      </c>
      <c r="DN20" s="7"/>
      <c r="DO20" s="7"/>
      <c r="DP20" s="7">
        <v>1.0</v>
      </c>
      <c r="DQ20" s="39">
        <f t="shared" si="31"/>
        <v>7</v>
      </c>
      <c r="DR20" s="7"/>
      <c r="DS20" s="7"/>
      <c r="DT20" s="7"/>
      <c r="DU20" s="39">
        <f t="shared" si="32"/>
        <v>0</v>
      </c>
      <c r="DV20" s="7"/>
      <c r="DW20" s="7"/>
      <c r="DX20" s="7">
        <v>1.0</v>
      </c>
      <c r="DY20" s="39">
        <f t="shared" si="33"/>
        <v>7</v>
      </c>
      <c r="DZ20" s="7"/>
      <c r="EA20" s="7"/>
      <c r="EB20" s="7">
        <v>1.0</v>
      </c>
      <c r="EC20" s="39">
        <f t="shared" si="34"/>
        <v>7</v>
      </c>
      <c r="ED20" s="7"/>
      <c r="EE20" s="7"/>
      <c r="EF20" s="7">
        <v>1.0</v>
      </c>
      <c r="EG20" s="39">
        <f t="shared" si="35"/>
        <v>7</v>
      </c>
      <c r="EH20" s="7"/>
      <c r="EI20" s="7"/>
      <c r="EJ20" s="7">
        <v>1.0</v>
      </c>
      <c r="EK20" s="39">
        <f t="shared" si="36"/>
        <v>7</v>
      </c>
      <c r="EL20" s="7"/>
      <c r="EM20" s="7"/>
      <c r="EN20" s="7"/>
      <c r="EO20" s="39">
        <f t="shared" si="37"/>
        <v>0</v>
      </c>
    </row>
    <row r="21">
      <c r="A21" s="20" t="s">
        <v>91</v>
      </c>
      <c r="B21" s="21" t="s">
        <v>92</v>
      </c>
      <c r="C21" s="1">
        <f t="shared" si="1"/>
        <v>19</v>
      </c>
      <c r="D21" s="15">
        <f>VLOOKUP(A21,TDP!A:C,3,FALSE)</f>
        <v>0.25</v>
      </c>
      <c r="E21" s="37">
        <f t="shared" si="2"/>
        <v>37.5</v>
      </c>
      <c r="F21" s="161"/>
      <c r="G21" s="1"/>
      <c r="H21" s="1"/>
      <c r="I21" s="39">
        <f t="shared" si="3"/>
        <v>0</v>
      </c>
      <c r="J21" s="161"/>
      <c r="K21" s="1"/>
      <c r="L21" s="1"/>
      <c r="M21" s="39">
        <f t="shared" si="4"/>
        <v>0</v>
      </c>
      <c r="N21" s="1"/>
      <c r="O21" s="1"/>
      <c r="P21" s="1"/>
      <c r="Q21" s="39">
        <f t="shared" si="5"/>
        <v>0</v>
      </c>
      <c r="R21" s="1"/>
      <c r="S21" s="1"/>
      <c r="T21" s="1"/>
      <c r="U21" s="39">
        <f t="shared" si="6"/>
        <v>0</v>
      </c>
      <c r="V21" s="1"/>
      <c r="W21" s="1"/>
      <c r="X21" s="1"/>
      <c r="Y21" s="39">
        <f t="shared" si="7"/>
        <v>0</v>
      </c>
      <c r="Z21" s="1"/>
      <c r="AA21" s="1"/>
      <c r="AB21" s="1"/>
      <c r="AC21" s="39">
        <f t="shared" si="8"/>
        <v>0</v>
      </c>
      <c r="AD21" s="7">
        <v>1.0</v>
      </c>
      <c r="AE21" s="7">
        <v>1.0</v>
      </c>
      <c r="AF21" s="7"/>
      <c r="AG21" s="39">
        <f t="shared" si="9"/>
        <v>3</v>
      </c>
      <c r="AH21" s="7"/>
      <c r="AI21" s="7"/>
      <c r="AJ21" s="7"/>
      <c r="AK21" s="39">
        <f t="shared" si="10"/>
        <v>0</v>
      </c>
      <c r="AL21" s="4"/>
      <c r="AM21" s="7"/>
      <c r="AN21" s="7"/>
      <c r="AO21" s="39">
        <f t="shared" si="11"/>
        <v>0</v>
      </c>
      <c r="AP21" s="7">
        <v>1.0</v>
      </c>
      <c r="AQ21" s="7">
        <v>1.0</v>
      </c>
      <c r="AR21" s="7"/>
      <c r="AS21" s="39">
        <f t="shared" si="12"/>
        <v>3</v>
      </c>
      <c r="AT21" s="7">
        <v>1.0</v>
      </c>
      <c r="AU21" s="7">
        <v>1.0</v>
      </c>
      <c r="AV21" s="7"/>
      <c r="AW21" s="39">
        <f t="shared" si="13"/>
        <v>3</v>
      </c>
      <c r="AX21" s="7">
        <v>1.0</v>
      </c>
      <c r="AY21" s="7">
        <v>1.0</v>
      </c>
      <c r="AZ21" s="7"/>
      <c r="BA21" s="39">
        <f t="shared" si="14"/>
        <v>3</v>
      </c>
      <c r="BB21" s="7">
        <v>1.0</v>
      </c>
      <c r="BC21" s="7">
        <v>1.0</v>
      </c>
      <c r="BD21" s="7"/>
      <c r="BE21" s="39">
        <f t="shared" si="15"/>
        <v>3</v>
      </c>
      <c r="BF21" s="7"/>
      <c r="BG21" s="7"/>
      <c r="BH21" s="7"/>
      <c r="BI21" s="39">
        <f t="shared" si="16"/>
        <v>0</v>
      </c>
      <c r="BJ21" s="7"/>
      <c r="BK21" s="7"/>
      <c r="BL21" s="7"/>
      <c r="BM21" s="39">
        <f t="shared" si="17"/>
        <v>0</v>
      </c>
      <c r="BN21" s="7"/>
      <c r="BO21" s="7"/>
      <c r="BP21" s="7"/>
      <c r="BQ21" s="39">
        <f t="shared" si="18"/>
        <v>0</v>
      </c>
      <c r="BR21" s="7">
        <v>1.0</v>
      </c>
      <c r="BS21" s="7">
        <v>1.0</v>
      </c>
      <c r="BT21" s="7"/>
      <c r="BU21" s="39">
        <f t="shared" si="19"/>
        <v>3</v>
      </c>
      <c r="BV21" s="7"/>
      <c r="BW21" s="7"/>
      <c r="BX21" s="7"/>
      <c r="BY21" s="39">
        <f t="shared" si="20"/>
        <v>0</v>
      </c>
      <c r="BZ21" s="7"/>
      <c r="CA21" s="7"/>
      <c r="CB21" s="7"/>
      <c r="CC21" s="39">
        <f t="shared" si="21"/>
        <v>0</v>
      </c>
      <c r="CD21" s="7"/>
      <c r="CE21" s="7"/>
      <c r="CF21" s="7"/>
      <c r="CG21" s="39">
        <f t="shared" si="22"/>
        <v>0</v>
      </c>
      <c r="CH21" s="7">
        <v>1.0</v>
      </c>
      <c r="CI21" s="7">
        <v>1.0</v>
      </c>
      <c r="CJ21" s="7"/>
      <c r="CK21" s="39">
        <f t="shared" si="23"/>
        <v>3</v>
      </c>
      <c r="CL21" s="7"/>
      <c r="CM21" s="7"/>
      <c r="CN21" s="7"/>
      <c r="CO21" s="39">
        <f t="shared" si="24"/>
        <v>0</v>
      </c>
      <c r="CP21" s="7"/>
      <c r="CQ21" s="7"/>
      <c r="CR21" s="7"/>
      <c r="CS21" s="39">
        <f t="shared" si="25"/>
        <v>0</v>
      </c>
      <c r="CT21" s="7"/>
      <c r="CU21" s="7"/>
      <c r="CV21" s="7"/>
      <c r="CW21" s="39">
        <f t="shared" si="26"/>
        <v>0</v>
      </c>
      <c r="CX21" s="7"/>
      <c r="CY21" s="7"/>
      <c r="CZ21" s="7"/>
      <c r="DA21" s="39">
        <f t="shared" si="27"/>
        <v>0</v>
      </c>
      <c r="DB21" s="7">
        <v>1.0</v>
      </c>
      <c r="DC21" s="7">
        <v>1.0</v>
      </c>
      <c r="DD21" s="7"/>
      <c r="DE21" s="39">
        <f t="shared" si="28"/>
        <v>3</v>
      </c>
      <c r="DF21" s="7">
        <v>1.0</v>
      </c>
      <c r="DG21" s="7">
        <v>1.0</v>
      </c>
      <c r="DH21" s="7"/>
      <c r="DI21" s="39">
        <f t="shared" si="29"/>
        <v>3</v>
      </c>
      <c r="DJ21" s="7"/>
      <c r="DK21" s="7"/>
      <c r="DL21" s="7"/>
      <c r="DM21" s="39">
        <f t="shared" si="30"/>
        <v>0</v>
      </c>
      <c r="DN21" s="7">
        <v>1.0</v>
      </c>
      <c r="DO21" s="7">
        <v>1.0</v>
      </c>
      <c r="DP21" s="7"/>
      <c r="DQ21" s="39">
        <f t="shared" si="31"/>
        <v>3</v>
      </c>
      <c r="DR21" s="7"/>
      <c r="DS21" s="7"/>
      <c r="DT21" s="7"/>
      <c r="DU21" s="39">
        <f t="shared" si="32"/>
        <v>0</v>
      </c>
      <c r="DV21" s="7"/>
      <c r="DW21" s="7"/>
      <c r="DX21" s="7"/>
      <c r="DY21" s="39">
        <f t="shared" si="33"/>
        <v>0</v>
      </c>
      <c r="DZ21" s="7"/>
      <c r="EA21" s="7"/>
      <c r="EB21" s="7"/>
      <c r="EC21" s="39">
        <f t="shared" si="34"/>
        <v>0</v>
      </c>
      <c r="ED21" s="7"/>
      <c r="EE21" s="7"/>
      <c r="EF21" s="7"/>
      <c r="EG21" s="39">
        <f t="shared" si="35"/>
        <v>0</v>
      </c>
      <c r="EH21" s="7"/>
      <c r="EI21" s="7"/>
      <c r="EJ21" s="7"/>
      <c r="EK21" s="39">
        <f t="shared" si="36"/>
        <v>0</v>
      </c>
      <c r="EL21" s="7"/>
      <c r="EM21" s="7"/>
      <c r="EN21" s="7"/>
      <c r="EO21" s="39">
        <f t="shared" si="37"/>
        <v>0</v>
      </c>
    </row>
    <row r="22">
      <c r="A22" s="20" t="s">
        <v>82</v>
      </c>
      <c r="B22" s="21" t="s">
        <v>83</v>
      </c>
      <c r="C22" s="1">
        <f t="shared" si="1"/>
        <v>20</v>
      </c>
      <c r="D22" s="15">
        <f>VLOOKUP(A22,TDP!A:C,3,FALSE)</f>
        <v>0.25</v>
      </c>
      <c r="E22" s="37">
        <f t="shared" si="2"/>
        <v>32.5</v>
      </c>
      <c r="F22" s="161"/>
      <c r="G22" s="1"/>
      <c r="H22" s="1"/>
      <c r="I22" s="39">
        <f t="shared" si="3"/>
        <v>0</v>
      </c>
      <c r="J22" s="161"/>
      <c r="K22" s="1"/>
      <c r="L22" s="7">
        <v>1.0</v>
      </c>
      <c r="M22" s="39">
        <f t="shared" si="4"/>
        <v>7</v>
      </c>
      <c r="N22" s="7">
        <v>1.0</v>
      </c>
      <c r="O22" s="7">
        <v>1.0</v>
      </c>
      <c r="P22" s="7">
        <v>1.0</v>
      </c>
      <c r="Q22" s="39">
        <f t="shared" si="5"/>
        <v>5</v>
      </c>
      <c r="R22" s="1"/>
      <c r="S22" s="1"/>
      <c r="T22" s="1"/>
      <c r="U22" s="39">
        <f t="shared" si="6"/>
        <v>0</v>
      </c>
      <c r="V22" s="1"/>
      <c r="W22" s="1"/>
      <c r="X22" s="1"/>
      <c r="Y22" s="39">
        <f t="shared" si="7"/>
        <v>0</v>
      </c>
      <c r="Z22" s="1"/>
      <c r="AA22" s="1"/>
      <c r="AB22" s="1"/>
      <c r="AC22" s="39">
        <f t="shared" si="8"/>
        <v>0</v>
      </c>
      <c r="AD22" s="7"/>
      <c r="AE22" s="7"/>
      <c r="AF22" s="7"/>
      <c r="AG22" s="39">
        <f t="shared" si="9"/>
        <v>0</v>
      </c>
      <c r="AH22" s="7"/>
      <c r="AI22" s="7"/>
      <c r="AJ22" s="7"/>
      <c r="AK22" s="39">
        <f t="shared" si="10"/>
        <v>0</v>
      </c>
      <c r="AL22" s="4"/>
      <c r="AM22" s="7"/>
      <c r="AN22" s="7"/>
      <c r="AO22" s="39">
        <f t="shared" si="11"/>
        <v>0</v>
      </c>
      <c r="AP22" s="7"/>
      <c r="AQ22" s="7"/>
      <c r="AR22" s="7"/>
      <c r="AS22" s="39">
        <f t="shared" si="12"/>
        <v>0</v>
      </c>
      <c r="AT22" s="7"/>
      <c r="AU22" s="7"/>
      <c r="AV22" s="7"/>
      <c r="AW22" s="39">
        <f t="shared" si="13"/>
        <v>0</v>
      </c>
      <c r="AX22" s="7"/>
      <c r="AY22" s="7"/>
      <c r="AZ22" s="7"/>
      <c r="BA22" s="39">
        <f t="shared" si="14"/>
        <v>0</v>
      </c>
      <c r="BB22" s="7"/>
      <c r="BC22" s="7"/>
      <c r="BD22" s="7"/>
      <c r="BE22" s="39">
        <f t="shared" si="15"/>
        <v>0</v>
      </c>
      <c r="BF22" s="7"/>
      <c r="BG22" s="7"/>
      <c r="BH22" s="7"/>
      <c r="BI22" s="39">
        <f t="shared" si="16"/>
        <v>0</v>
      </c>
      <c r="BJ22" s="7"/>
      <c r="BK22" s="7"/>
      <c r="BL22" s="7"/>
      <c r="BM22" s="39">
        <f t="shared" si="17"/>
        <v>0</v>
      </c>
      <c r="BN22" s="7"/>
      <c r="BO22" s="7"/>
      <c r="BP22" s="7"/>
      <c r="BQ22" s="39">
        <f t="shared" si="18"/>
        <v>0</v>
      </c>
      <c r="BR22" s="7"/>
      <c r="BS22" s="7"/>
      <c r="BT22" s="7"/>
      <c r="BU22" s="39">
        <f t="shared" si="19"/>
        <v>0</v>
      </c>
      <c r="BV22" s="7"/>
      <c r="BW22" s="7"/>
      <c r="BX22" s="7"/>
      <c r="BY22" s="39">
        <f t="shared" si="20"/>
        <v>0</v>
      </c>
      <c r="BZ22" s="7">
        <v>1.0</v>
      </c>
      <c r="CA22" s="7">
        <v>1.0</v>
      </c>
      <c r="CB22" s="7">
        <v>1.0</v>
      </c>
      <c r="CC22" s="39">
        <f t="shared" si="21"/>
        <v>5</v>
      </c>
      <c r="CD22" s="7"/>
      <c r="CE22" s="7"/>
      <c r="CF22" s="7"/>
      <c r="CG22" s="39">
        <f t="shared" si="22"/>
        <v>0</v>
      </c>
      <c r="CH22" s="7">
        <v>1.0</v>
      </c>
      <c r="CI22" s="7">
        <v>1.0</v>
      </c>
      <c r="CJ22" s="7"/>
      <c r="CK22" s="39">
        <f t="shared" si="23"/>
        <v>3</v>
      </c>
      <c r="CL22" s="7"/>
      <c r="CM22" s="7"/>
      <c r="CN22" s="7"/>
      <c r="CO22" s="39">
        <f t="shared" si="24"/>
        <v>0</v>
      </c>
      <c r="CP22" s="7"/>
      <c r="CQ22" s="7"/>
      <c r="CR22" s="7"/>
      <c r="CS22" s="39">
        <f t="shared" si="25"/>
        <v>0</v>
      </c>
      <c r="CT22" s="7"/>
      <c r="CU22" s="7"/>
      <c r="CV22" s="7"/>
      <c r="CW22" s="39">
        <f t="shared" si="26"/>
        <v>0</v>
      </c>
      <c r="CX22" s="7"/>
      <c r="CY22" s="7"/>
      <c r="CZ22" s="7"/>
      <c r="DA22" s="39">
        <f t="shared" si="27"/>
        <v>0</v>
      </c>
      <c r="DB22" s="7"/>
      <c r="DC22" s="7"/>
      <c r="DD22" s="7"/>
      <c r="DE22" s="39">
        <f t="shared" si="28"/>
        <v>0</v>
      </c>
      <c r="DF22" s="7">
        <v>1.0</v>
      </c>
      <c r="DG22" s="7">
        <v>1.0</v>
      </c>
      <c r="DH22" s="7"/>
      <c r="DI22" s="39">
        <f t="shared" si="29"/>
        <v>3</v>
      </c>
      <c r="DJ22" s="7"/>
      <c r="DK22" s="7"/>
      <c r="DL22" s="7"/>
      <c r="DM22" s="39">
        <f t="shared" si="30"/>
        <v>0</v>
      </c>
      <c r="DN22" s="7"/>
      <c r="DO22" s="7"/>
      <c r="DP22" s="7"/>
      <c r="DQ22" s="39">
        <f t="shared" si="31"/>
        <v>0</v>
      </c>
      <c r="DR22" s="7"/>
      <c r="DS22" s="7"/>
      <c r="DT22" s="7"/>
      <c r="DU22" s="39">
        <f t="shared" si="32"/>
        <v>0</v>
      </c>
      <c r="DV22" s="7"/>
      <c r="DW22" s="7"/>
      <c r="DX22" s="7"/>
      <c r="DY22" s="39">
        <f t="shared" si="33"/>
        <v>0</v>
      </c>
      <c r="DZ22" s="7"/>
      <c r="EA22" s="7"/>
      <c r="EB22" s="7"/>
      <c r="EC22" s="39">
        <f t="shared" si="34"/>
        <v>0</v>
      </c>
      <c r="ED22" s="7">
        <v>1.0</v>
      </c>
      <c r="EE22" s="7">
        <v>1.0</v>
      </c>
      <c r="EF22" s="7"/>
      <c r="EG22" s="39">
        <f t="shared" si="35"/>
        <v>3</v>
      </c>
      <c r="EH22" s="7"/>
      <c r="EI22" s="7"/>
      <c r="EJ22" s="7"/>
      <c r="EK22" s="39">
        <f t="shared" si="36"/>
        <v>0</v>
      </c>
      <c r="EL22" s="7"/>
      <c r="EM22" s="7"/>
      <c r="EN22" s="7"/>
      <c r="EO22" s="39">
        <f t="shared" si="37"/>
        <v>0</v>
      </c>
    </row>
    <row r="23">
      <c r="A23" s="20" t="s">
        <v>59</v>
      </c>
      <c r="B23" s="21" t="s">
        <v>60</v>
      </c>
      <c r="C23" s="1">
        <f t="shared" si="1"/>
        <v>21</v>
      </c>
      <c r="D23" s="15">
        <f>VLOOKUP(A23,TDP!A:C,3,FALSE)</f>
        <v>0.27</v>
      </c>
      <c r="E23" s="37">
        <f t="shared" si="2"/>
        <v>29.21</v>
      </c>
      <c r="F23" s="161"/>
      <c r="G23" s="1"/>
      <c r="H23" s="7"/>
      <c r="I23" s="39">
        <f t="shared" si="3"/>
        <v>0</v>
      </c>
      <c r="J23" s="161"/>
      <c r="K23" s="1"/>
      <c r="L23" s="1"/>
      <c r="M23" s="39">
        <f t="shared" si="4"/>
        <v>0</v>
      </c>
      <c r="N23" s="1"/>
      <c r="O23" s="1"/>
      <c r="P23" s="1"/>
      <c r="Q23" s="39">
        <f t="shared" si="5"/>
        <v>0</v>
      </c>
      <c r="R23" s="1"/>
      <c r="S23" s="1"/>
      <c r="T23" s="1"/>
      <c r="U23" s="39">
        <f t="shared" si="6"/>
        <v>0</v>
      </c>
      <c r="V23" s="1"/>
      <c r="W23" s="1"/>
      <c r="X23" s="1"/>
      <c r="Y23" s="39">
        <f t="shared" si="7"/>
        <v>0</v>
      </c>
      <c r="Z23" s="1"/>
      <c r="AA23" s="1"/>
      <c r="AB23" s="1"/>
      <c r="AC23" s="39">
        <f t="shared" si="8"/>
        <v>0</v>
      </c>
      <c r="AD23" s="7"/>
      <c r="AE23" s="7"/>
      <c r="AF23" s="7"/>
      <c r="AG23" s="39">
        <f t="shared" si="9"/>
        <v>0</v>
      </c>
      <c r="AH23" s="7"/>
      <c r="AI23" s="7"/>
      <c r="AJ23" s="7"/>
      <c r="AK23" s="39">
        <f t="shared" si="10"/>
        <v>0</v>
      </c>
      <c r="AL23" s="4"/>
      <c r="AM23" s="7"/>
      <c r="AN23" s="7"/>
      <c r="AO23" s="39">
        <f t="shared" si="11"/>
        <v>0</v>
      </c>
      <c r="AP23" s="7"/>
      <c r="AQ23" s="7"/>
      <c r="AR23" s="7"/>
      <c r="AS23" s="39">
        <f t="shared" si="12"/>
        <v>0</v>
      </c>
      <c r="AT23" s="7"/>
      <c r="AU23" s="7"/>
      <c r="AV23" s="7"/>
      <c r="AW23" s="39">
        <f t="shared" si="13"/>
        <v>0</v>
      </c>
      <c r="AX23" s="7"/>
      <c r="AY23" s="7"/>
      <c r="AZ23" s="7"/>
      <c r="BA23" s="39">
        <f t="shared" si="14"/>
        <v>0</v>
      </c>
      <c r="BB23" s="7"/>
      <c r="BC23" s="7"/>
      <c r="BD23" s="7"/>
      <c r="BE23" s="39">
        <f t="shared" si="15"/>
        <v>0</v>
      </c>
      <c r="BF23" s="7"/>
      <c r="BG23" s="7"/>
      <c r="BH23" s="7">
        <v>1.0</v>
      </c>
      <c r="BI23" s="39">
        <f t="shared" si="16"/>
        <v>7</v>
      </c>
      <c r="BJ23" s="7"/>
      <c r="BK23" s="7"/>
      <c r="BL23" s="7"/>
      <c r="BM23" s="39">
        <f t="shared" si="17"/>
        <v>0</v>
      </c>
      <c r="BN23" s="7"/>
      <c r="BO23" s="7"/>
      <c r="BP23" s="7"/>
      <c r="BQ23" s="39">
        <f t="shared" si="18"/>
        <v>0</v>
      </c>
      <c r="BR23" s="7"/>
      <c r="BS23" s="7"/>
      <c r="BT23" s="7"/>
      <c r="BU23" s="39">
        <f t="shared" si="19"/>
        <v>0</v>
      </c>
      <c r="BV23" s="7"/>
      <c r="BW23" s="7"/>
      <c r="BX23" s="7"/>
      <c r="BY23" s="39">
        <f t="shared" si="20"/>
        <v>0</v>
      </c>
      <c r="BZ23" s="7">
        <v>1.0</v>
      </c>
      <c r="CA23" s="7">
        <v>1.0</v>
      </c>
      <c r="CB23" s="7">
        <v>1.0</v>
      </c>
      <c r="CC23" s="39">
        <f t="shared" si="21"/>
        <v>5</v>
      </c>
      <c r="CD23" s="7"/>
      <c r="CE23" s="7"/>
      <c r="CF23" s="7"/>
      <c r="CG23" s="39">
        <f t="shared" si="22"/>
        <v>0</v>
      </c>
      <c r="CH23" s="7"/>
      <c r="CI23" s="7"/>
      <c r="CJ23" s="7"/>
      <c r="CK23" s="39">
        <f t="shared" si="23"/>
        <v>0</v>
      </c>
      <c r="CL23" s="7"/>
      <c r="CM23" s="7"/>
      <c r="CN23" s="7"/>
      <c r="CO23" s="39">
        <f t="shared" si="24"/>
        <v>0</v>
      </c>
      <c r="CP23" s="7"/>
      <c r="CQ23" s="7"/>
      <c r="CR23" s="7"/>
      <c r="CS23" s="39">
        <f t="shared" si="25"/>
        <v>0</v>
      </c>
      <c r="CT23" s="7"/>
      <c r="CU23" s="7"/>
      <c r="CV23" s="7"/>
      <c r="CW23" s="39">
        <f t="shared" si="26"/>
        <v>0</v>
      </c>
      <c r="CX23" s="7"/>
      <c r="CY23" s="7"/>
      <c r="CZ23" s="7"/>
      <c r="DA23" s="39">
        <f t="shared" si="27"/>
        <v>0</v>
      </c>
      <c r="DB23" s="7">
        <v>1.0</v>
      </c>
      <c r="DC23" s="7">
        <v>1.0</v>
      </c>
      <c r="DD23" s="7">
        <v>1.0</v>
      </c>
      <c r="DE23" s="39">
        <f t="shared" si="28"/>
        <v>5</v>
      </c>
      <c r="DF23" s="7"/>
      <c r="DG23" s="7"/>
      <c r="DH23" s="7"/>
      <c r="DI23" s="39">
        <f t="shared" si="29"/>
        <v>0</v>
      </c>
      <c r="DJ23" s="7"/>
      <c r="DK23" s="7"/>
      <c r="DL23" s="7"/>
      <c r="DM23" s="39">
        <f t="shared" si="30"/>
        <v>0</v>
      </c>
      <c r="DN23" s="7"/>
      <c r="DO23" s="7"/>
      <c r="DP23" s="7"/>
      <c r="DQ23" s="39">
        <f t="shared" si="31"/>
        <v>0</v>
      </c>
      <c r="DR23" s="7"/>
      <c r="DS23" s="7"/>
      <c r="DT23" s="7"/>
      <c r="DU23" s="39">
        <f t="shared" si="32"/>
        <v>0</v>
      </c>
      <c r="DV23" s="7"/>
      <c r="DW23" s="7"/>
      <c r="DX23" s="7"/>
      <c r="DY23" s="39">
        <f t="shared" si="33"/>
        <v>0</v>
      </c>
      <c r="DZ23" s="7">
        <v>1.0</v>
      </c>
      <c r="EA23" s="7">
        <v>1.0</v>
      </c>
      <c r="EB23" s="7"/>
      <c r="EC23" s="39">
        <f t="shared" si="34"/>
        <v>3</v>
      </c>
      <c r="ED23" s="7">
        <v>1.0</v>
      </c>
      <c r="EE23" s="7">
        <v>1.0</v>
      </c>
      <c r="EF23" s="7"/>
      <c r="EG23" s="39">
        <f t="shared" si="35"/>
        <v>3</v>
      </c>
      <c r="EH23" s="7"/>
      <c r="EI23" s="7"/>
      <c r="EJ23" s="7"/>
      <c r="EK23" s="39">
        <f t="shared" si="36"/>
        <v>0</v>
      </c>
      <c r="EL23" s="7"/>
      <c r="EM23" s="7"/>
      <c r="EN23" s="7"/>
      <c r="EO23" s="39">
        <f t="shared" si="37"/>
        <v>0</v>
      </c>
    </row>
    <row r="24">
      <c r="A24" s="20" t="s">
        <v>172</v>
      </c>
      <c r="B24" s="21"/>
      <c r="C24" s="1">
        <f t="shared" si="1"/>
        <v>22</v>
      </c>
      <c r="D24" s="15">
        <f>VLOOKUP(A24,TDP!A:C,3,FALSE)</f>
        <v>0.06</v>
      </c>
      <c r="E24" s="37">
        <f t="shared" si="2"/>
        <v>24.38</v>
      </c>
      <c r="F24" s="161"/>
      <c r="G24" s="1"/>
      <c r="H24" s="1"/>
      <c r="I24" s="39">
        <f t="shared" si="3"/>
        <v>0</v>
      </c>
      <c r="J24" s="161"/>
      <c r="K24" s="1"/>
      <c r="L24" s="1"/>
      <c r="M24" s="39">
        <f t="shared" si="4"/>
        <v>0</v>
      </c>
      <c r="N24" s="1"/>
      <c r="O24" s="1"/>
      <c r="P24" s="1"/>
      <c r="Q24" s="39">
        <f t="shared" si="5"/>
        <v>0</v>
      </c>
      <c r="R24" s="1"/>
      <c r="S24" s="1"/>
      <c r="T24" s="1"/>
      <c r="U24" s="39">
        <f t="shared" si="6"/>
        <v>0</v>
      </c>
      <c r="V24" s="7">
        <v>1.0</v>
      </c>
      <c r="W24" s="7">
        <v>1.0</v>
      </c>
      <c r="X24" s="7">
        <v>1.0</v>
      </c>
      <c r="Y24" s="39">
        <f t="shared" si="7"/>
        <v>5</v>
      </c>
      <c r="Z24" s="7">
        <v>1.0</v>
      </c>
      <c r="AA24" s="7">
        <v>1.0</v>
      </c>
      <c r="AB24" s="7">
        <v>1.0</v>
      </c>
      <c r="AC24" s="39">
        <f t="shared" si="8"/>
        <v>5</v>
      </c>
      <c r="AD24" s="7">
        <v>1.0</v>
      </c>
      <c r="AE24" s="7">
        <v>1.0</v>
      </c>
      <c r="AF24" s="7">
        <v>1.0</v>
      </c>
      <c r="AG24" s="39">
        <f t="shared" si="9"/>
        <v>5</v>
      </c>
      <c r="AH24" s="7">
        <v>1.0</v>
      </c>
      <c r="AI24" s="7">
        <v>1.0</v>
      </c>
      <c r="AJ24" s="7">
        <v>1.0</v>
      </c>
      <c r="AK24" s="39">
        <f t="shared" si="10"/>
        <v>5</v>
      </c>
      <c r="AL24" s="4"/>
      <c r="AM24" s="7"/>
      <c r="AN24" s="7"/>
      <c r="AO24" s="39">
        <f t="shared" si="11"/>
        <v>0</v>
      </c>
      <c r="AP24" s="7"/>
      <c r="AQ24" s="7"/>
      <c r="AR24" s="7"/>
      <c r="AS24" s="39">
        <f t="shared" si="12"/>
        <v>0</v>
      </c>
      <c r="AT24" s="7"/>
      <c r="AU24" s="7"/>
      <c r="AV24" s="7"/>
      <c r="AW24" s="39">
        <f t="shared" si="13"/>
        <v>0</v>
      </c>
      <c r="AX24" s="7"/>
      <c r="AY24" s="7"/>
      <c r="AZ24" s="7"/>
      <c r="BA24" s="39">
        <f t="shared" si="14"/>
        <v>0</v>
      </c>
      <c r="BB24" s="7"/>
      <c r="BC24" s="7"/>
      <c r="BD24" s="7"/>
      <c r="BE24" s="39">
        <f t="shared" si="15"/>
        <v>0</v>
      </c>
      <c r="BF24" s="7"/>
      <c r="BG24" s="7"/>
      <c r="BH24" s="7"/>
      <c r="BI24" s="39">
        <f t="shared" si="16"/>
        <v>0</v>
      </c>
      <c r="BJ24" s="7"/>
      <c r="BK24" s="7"/>
      <c r="BL24" s="7"/>
      <c r="BM24" s="39">
        <f t="shared" si="17"/>
        <v>0</v>
      </c>
      <c r="BN24" s="7"/>
      <c r="BO24" s="7"/>
      <c r="BP24" s="7"/>
      <c r="BQ24" s="39">
        <f t="shared" si="18"/>
        <v>0</v>
      </c>
      <c r="BR24" s="7"/>
      <c r="BS24" s="7"/>
      <c r="BT24" s="7"/>
      <c r="BU24" s="39">
        <f t="shared" si="19"/>
        <v>0</v>
      </c>
      <c r="BV24" s="7"/>
      <c r="BW24" s="7"/>
      <c r="BX24" s="7"/>
      <c r="BY24" s="39">
        <f t="shared" si="20"/>
        <v>0</v>
      </c>
      <c r="BZ24" s="7"/>
      <c r="CA24" s="7"/>
      <c r="CB24" s="7"/>
      <c r="CC24" s="39">
        <f t="shared" si="21"/>
        <v>0</v>
      </c>
      <c r="CD24" s="7"/>
      <c r="CE24" s="7"/>
      <c r="CF24" s="7"/>
      <c r="CG24" s="39">
        <f t="shared" si="22"/>
        <v>0</v>
      </c>
      <c r="CH24" s="7"/>
      <c r="CI24" s="7"/>
      <c r="CJ24" s="7"/>
      <c r="CK24" s="39">
        <f t="shared" si="23"/>
        <v>0</v>
      </c>
      <c r="CL24" s="7"/>
      <c r="CM24" s="7"/>
      <c r="CN24" s="7"/>
      <c r="CO24" s="39">
        <f t="shared" si="24"/>
        <v>0</v>
      </c>
      <c r="CP24" s="7"/>
      <c r="CQ24" s="7"/>
      <c r="CR24" s="7"/>
      <c r="CS24" s="39">
        <f t="shared" si="25"/>
        <v>0</v>
      </c>
      <c r="CT24" s="7"/>
      <c r="CU24" s="7"/>
      <c r="CV24" s="7"/>
      <c r="CW24" s="39">
        <f t="shared" si="26"/>
        <v>0</v>
      </c>
      <c r="CX24" s="7"/>
      <c r="CY24" s="7"/>
      <c r="CZ24" s="7"/>
      <c r="DA24" s="39">
        <f t="shared" si="27"/>
        <v>0</v>
      </c>
      <c r="DB24" s="7"/>
      <c r="DC24" s="7"/>
      <c r="DD24" s="7"/>
      <c r="DE24" s="39">
        <f t="shared" si="28"/>
        <v>0</v>
      </c>
      <c r="DF24" s="7">
        <v>1.0</v>
      </c>
      <c r="DG24" s="7">
        <v>1.0</v>
      </c>
      <c r="DH24" s="7"/>
      <c r="DI24" s="39">
        <f t="shared" si="29"/>
        <v>3</v>
      </c>
      <c r="DJ24" s="7"/>
      <c r="DK24" s="7"/>
      <c r="DL24" s="7"/>
      <c r="DM24" s="39">
        <f t="shared" si="30"/>
        <v>0</v>
      </c>
      <c r="DN24" s="7"/>
      <c r="DO24" s="7"/>
      <c r="DP24" s="7"/>
      <c r="DQ24" s="39">
        <f t="shared" si="31"/>
        <v>0</v>
      </c>
      <c r="DR24" s="7"/>
      <c r="DS24" s="7"/>
      <c r="DT24" s="7"/>
      <c r="DU24" s="39">
        <f t="shared" si="32"/>
        <v>0</v>
      </c>
      <c r="DV24" s="7"/>
      <c r="DW24" s="7"/>
      <c r="DX24" s="7"/>
      <c r="DY24" s="39">
        <f t="shared" si="33"/>
        <v>0</v>
      </c>
      <c r="DZ24" s="7"/>
      <c r="EA24" s="7"/>
      <c r="EB24" s="7"/>
      <c r="EC24" s="39">
        <f t="shared" si="34"/>
        <v>0</v>
      </c>
      <c r="ED24" s="7"/>
      <c r="EE24" s="7"/>
      <c r="EF24" s="7"/>
      <c r="EG24" s="39">
        <f t="shared" si="35"/>
        <v>0</v>
      </c>
      <c r="EH24" s="7"/>
      <c r="EI24" s="7"/>
      <c r="EJ24" s="7"/>
      <c r="EK24" s="39">
        <f t="shared" si="36"/>
        <v>0</v>
      </c>
      <c r="EL24" s="7"/>
      <c r="EM24" s="7"/>
      <c r="EN24" s="7"/>
      <c r="EO24" s="39">
        <f t="shared" si="37"/>
        <v>0</v>
      </c>
    </row>
    <row r="25">
      <c r="A25" s="20" t="s">
        <v>106</v>
      </c>
      <c r="B25" s="21" t="s">
        <v>107</v>
      </c>
      <c r="C25" s="1">
        <f t="shared" si="1"/>
        <v>23</v>
      </c>
      <c r="D25" s="15">
        <f>VLOOKUP(A25,TDP!A:C,3,FALSE)</f>
        <v>0.19</v>
      </c>
      <c r="E25" s="37">
        <f t="shared" si="2"/>
        <v>24.99</v>
      </c>
      <c r="F25" s="4">
        <v>1.0</v>
      </c>
      <c r="G25" s="7">
        <v>1.0</v>
      </c>
      <c r="H25" s="7">
        <v>1.0</v>
      </c>
      <c r="I25" s="39">
        <f t="shared" si="3"/>
        <v>5</v>
      </c>
      <c r="J25" s="161"/>
      <c r="K25" s="1"/>
      <c r="L25" s="1"/>
      <c r="M25" s="39">
        <f t="shared" si="4"/>
        <v>0</v>
      </c>
      <c r="N25" s="1"/>
      <c r="O25" s="1"/>
      <c r="P25" s="1"/>
      <c r="Q25" s="39">
        <f t="shared" si="5"/>
        <v>0</v>
      </c>
      <c r="R25" s="1"/>
      <c r="S25" s="1"/>
      <c r="T25" s="1"/>
      <c r="U25" s="39">
        <f t="shared" si="6"/>
        <v>0</v>
      </c>
      <c r="V25" s="1"/>
      <c r="W25" s="1"/>
      <c r="X25" s="1"/>
      <c r="Y25" s="39">
        <f t="shared" si="7"/>
        <v>0</v>
      </c>
      <c r="Z25" s="1"/>
      <c r="AA25" s="1"/>
      <c r="AB25" s="1"/>
      <c r="AC25" s="39">
        <f t="shared" si="8"/>
        <v>0</v>
      </c>
      <c r="AD25" s="7"/>
      <c r="AE25" s="7"/>
      <c r="AF25" s="7"/>
      <c r="AG25" s="39">
        <f t="shared" si="9"/>
        <v>0</v>
      </c>
      <c r="AH25" s="7"/>
      <c r="AI25" s="7"/>
      <c r="AJ25" s="7"/>
      <c r="AK25" s="39">
        <f t="shared" si="10"/>
        <v>0</v>
      </c>
      <c r="AL25" s="4"/>
      <c r="AM25" s="7"/>
      <c r="AN25" s="7"/>
      <c r="AO25" s="39">
        <f t="shared" si="11"/>
        <v>0</v>
      </c>
      <c r="AP25" s="7"/>
      <c r="AQ25" s="7"/>
      <c r="AR25" s="7"/>
      <c r="AS25" s="39">
        <f t="shared" si="12"/>
        <v>0</v>
      </c>
      <c r="AT25" s="7"/>
      <c r="AU25" s="7"/>
      <c r="AV25" s="7"/>
      <c r="AW25" s="39">
        <f t="shared" si="13"/>
        <v>0</v>
      </c>
      <c r="AX25" s="7"/>
      <c r="AY25" s="7"/>
      <c r="AZ25" s="7"/>
      <c r="BA25" s="39">
        <f t="shared" si="14"/>
        <v>0</v>
      </c>
      <c r="BB25" s="7"/>
      <c r="BC25" s="7"/>
      <c r="BD25" s="7"/>
      <c r="BE25" s="39">
        <f t="shared" si="15"/>
        <v>0</v>
      </c>
      <c r="BF25" s="7"/>
      <c r="BG25" s="7"/>
      <c r="BH25" s="7"/>
      <c r="BI25" s="39">
        <f t="shared" si="16"/>
        <v>0</v>
      </c>
      <c r="BJ25" s="7"/>
      <c r="BK25" s="7"/>
      <c r="BL25" s="7"/>
      <c r="BM25" s="39">
        <f t="shared" si="17"/>
        <v>0</v>
      </c>
      <c r="BN25" s="7"/>
      <c r="BO25" s="7"/>
      <c r="BP25" s="7"/>
      <c r="BQ25" s="39">
        <f t="shared" si="18"/>
        <v>0</v>
      </c>
      <c r="BR25" s="7"/>
      <c r="BS25" s="7"/>
      <c r="BT25" s="7"/>
      <c r="BU25" s="39">
        <f t="shared" si="19"/>
        <v>0</v>
      </c>
      <c r="BV25" s="7"/>
      <c r="BW25" s="7"/>
      <c r="BX25" s="7"/>
      <c r="BY25" s="39">
        <f t="shared" si="20"/>
        <v>0</v>
      </c>
      <c r="BZ25" s="7"/>
      <c r="CA25" s="7"/>
      <c r="CB25" s="7"/>
      <c r="CC25" s="39">
        <f t="shared" si="21"/>
        <v>0</v>
      </c>
      <c r="CD25" s="7"/>
      <c r="CE25" s="7"/>
      <c r="CF25" s="7"/>
      <c r="CG25" s="39">
        <f t="shared" si="22"/>
        <v>0</v>
      </c>
      <c r="CH25" s="7"/>
      <c r="CI25" s="7"/>
      <c r="CJ25" s="7"/>
      <c r="CK25" s="39">
        <f t="shared" si="23"/>
        <v>0</v>
      </c>
      <c r="CL25" s="7">
        <v>1.0</v>
      </c>
      <c r="CM25" s="7">
        <v>1.0</v>
      </c>
      <c r="CN25" s="7">
        <v>1.0</v>
      </c>
      <c r="CO25" s="39">
        <f t="shared" si="24"/>
        <v>5</v>
      </c>
      <c r="CP25" s="7">
        <v>1.0</v>
      </c>
      <c r="CQ25" s="7">
        <v>1.0</v>
      </c>
      <c r="CR25" s="7"/>
      <c r="CS25" s="39">
        <f t="shared" si="25"/>
        <v>3</v>
      </c>
      <c r="CT25" s="7">
        <v>1.0</v>
      </c>
      <c r="CU25" s="7">
        <v>1.0</v>
      </c>
      <c r="CV25" s="7">
        <v>1.0</v>
      </c>
      <c r="CW25" s="39">
        <f t="shared" si="26"/>
        <v>5</v>
      </c>
      <c r="CX25" s="7"/>
      <c r="CY25" s="7"/>
      <c r="CZ25" s="7"/>
      <c r="DA25" s="39">
        <f t="shared" si="27"/>
        <v>0</v>
      </c>
      <c r="DB25" s="7">
        <v>1.0</v>
      </c>
      <c r="DC25" s="7">
        <v>1.0</v>
      </c>
      <c r="DD25" s="7"/>
      <c r="DE25" s="39">
        <f t="shared" si="28"/>
        <v>3</v>
      </c>
      <c r="DF25" s="7"/>
      <c r="DG25" s="7"/>
      <c r="DH25" s="7"/>
      <c r="DI25" s="39">
        <f t="shared" si="29"/>
        <v>0</v>
      </c>
      <c r="DJ25" s="7"/>
      <c r="DK25" s="7"/>
      <c r="DL25" s="7"/>
      <c r="DM25" s="39">
        <f t="shared" si="30"/>
        <v>0</v>
      </c>
      <c r="DN25" s="7"/>
      <c r="DO25" s="7"/>
      <c r="DP25" s="7"/>
      <c r="DQ25" s="39">
        <f t="shared" si="31"/>
        <v>0</v>
      </c>
      <c r="DR25" s="7"/>
      <c r="DS25" s="7"/>
      <c r="DT25" s="7"/>
      <c r="DU25" s="39">
        <f t="shared" si="32"/>
        <v>0</v>
      </c>
      <c r="DV25" s="7"/>
      <c r="DW25" s="7"/>
      <c r="DX25" s="7"/>
      <c r="DY25" s="39">
        <f t="shared" si="33"/>
        <v>0</v>
      </c>
      <c r="DZ25" s="7"/>
      <c r="EA25" s="7"/>
      <c r="EB25" s="7"/>
      <c r="EC25" s="39">
        <f t="shared" si="34"/>
        <v>0</v>
      </c>
      <c r="ED25" s="7"/>
      <c r="EE25" s="7"/>
      <c r="EF25" s="7"/>
      <c r="EG25" s="39">
        <f t="shared" si="35"/>
        <v>0</v>
      </c>
      <c r="EH25" s="7"/>
      <c r="EI25" s="7"/>
      <c r="EJ25" s="7"/>
      <c r="EK25" s="39">
        <f t="shared" si="36"/>
        <v>0</v>
      </c>
      <c r="EL25" s="7"/>
      <c r="EM25" s="7"/>
      <c r="EN25" s="7"/>
      <c r="EO25" s="39">
        <f t="shared" si="37"/>
        <v>0</v>
      </c>
    </row>
    <row r="26">
      <c r="A26" s="20" t="s">
        <v>52</v>
      </c>
      <c r="B26" s="21" t="s">
        <v>53</v>
      </c>
      <c r="C26" s="1">
        <f t="shared" si="1"/>
        <v>24</v>
      </c>
      <c r="D26" s="15">
        <f>VLOOKUP(A26,TDP!A:C,3,FALSE)</f>
        <v>0.35</v>
      </c>
      <c r="E26" s="37">
        <f t="shared" si="2"/>
        <v>24.3</v>
      </c>
      <c r="F26" s="161"/>
      <c r="G26" s="1"/>
      <c r="H26" s="1"/>
      <c r="I26" s="39">
        <f t="shared" si="3"/>
        <v>0</v>
      </c>
      <c r="J26" s="161"/>
      <c r="K26" s="1"/>
      <c r="L26" s="1"/>
      <c r="M26" s="39">
        <f t="shared" si="4"/>
        <v>0</v>
      </c>
      <c r="N26" s="1"/>
      <c r="O26" s="1"/>
      <c r="P26" s="1"/>
      <c r="Q26" s="39">
        <f t="shared" si="5"/>
        <v>0</v>
      </c>
      <c r="R26" s="1"/>
      <c r="S26" s="1"/>
      <c r="T26" s="1"/>
      <c r="U26" s="39">
        <f t="shared" si="6"/>
        <v>0</v>
      </c>
      <c r="V26" s="1"/>
      <c r="W26" s="1"/>
      <c r="X26" s="1"/>
      <c r="Y26" s="39">
        <f t="shared" si="7"/>
        <v>0</v>
      </c>
      <c r="Z26" s="1"/>
      <c r="AA26" s="1"/>
      <c r="AB26" s="1"/>
      <c r="AC26" s="39">
        <f t="shared" si="8"/>
        <v>0</v>
      </c>
      <c r="AD26" s="7"/>
      <c r="AE26" s="7"/>
      <c r="AF26" s="7"/>
      <c r="AG26" s="39">
        <f t="shared" si="9"/>
        <v>0</v>
      </c>
      <c r="AH26" s="7"/>
      <c r="AI26" s="7"/>
      <c r="AJ26" s="7"/>
      <c r="AK26" s="39">
        <f t="shared" si="10"/>
        <v>0</v>
      </c>
      <c r="AL26" s="4"/>
      <c r="AM26" s="7"/>
      <c r="AN26" s="7"/>
      <c r="AO26" s="39">
        <f t="shared" si="11"/>
        <v>0</v>
      </c>
      <c r="AP26" s="7"/>
      <c r="AQ26" s="7"/>
      <c r="AR26" s="7"/>
      <c r="AS26" s="39">
        <f t="shared" si="12"/>
        <v>0</v>
      </c>
      <c r="AT26" s="7"/>
      <c r="AU26" s="7"/>
      <c r="AV26" s="7"/>
      <c r="AW26" s="39">
        <f t="shared" si="13"/>
        <v>0</v>
      </c>
      <c r="AX26" s="7"/>
      <c r="AY26" s="7"/>
      <c r="AZ26" s="7"/>
      <c r="BA26" s="39">
        <f t="shared" si="14"/>
        <v>0</v>
      </c>
      <c r="BB26" s="7"/>
      <c r="BC26" s="7"/>
      <c r="BD26" s="7"/>
      <c r="BE26" s="39">
        <f t="shared" si="15"/>
        <v>0</v>
      </c>
      <c r="BF26" s="7">
        <v>1.0</v>
      </c>
      <c r="BG26" s="7">
        <v>1.0</v>
      </c>
      <c r="BH26" s="7">
        <v>1.0</v>
      </c>
      <c r="BI26" s="39">
        <f t="shared" si="16"/>
        <v>5</v>
      </c>
      <c r="BJ26" s="7">
        <v>1.0</v>
      </c>
      <c r="BK26" s="7">
        <v>1.0</v>
      </c>
      <c r="BL26" s="7">
        <v>1.0</v>
      </c>
      <c r="BM26" s="39">
        <f t="shared" si="17"/>
        <v>5</v>
      </c>
      <c r="BN26" s="7"/>
      <c r="BO26" s="7"/>
      <c r="BP26" s="7"/>
      <c r="BQ26" s="39">
        <f t="shared" si="18"/>
        <v>0</v>
      </c>
      <c r="BR26" s="7"/>
      <c r="BS26" s="7"/>
      <c r="BT26" s="7"/>
      <c r="BU26" s="39">
        <f t="shared" si="19"/>
        <v>0</v>
      </c>
      <c r="BV26" s="7"/>
      <c r="BW26" s="7"/>
      <c r="BX26" s="7"/>
      <c r="BY26" s="39">
        <f t="shared" si="20"/>
        <v>0</v>
      </c>
      <c r="BZ26" s="7"/>
      <c r="CA26" s="7"/>
      <c r="CB26" s="7"/>
      <c r="CC26" s="39">
        <f t="shared" si="21"/>
        <v>0</v>
      </c>
      <c r="CD26" s="7"/>
      <c r="CE26" s="7"/>
      <c r="CF26" s="7"/>
      <c r="CG26" s="39">
        <f t="shared" si="22"/>
        <v>0</v>
      </c>
      <c r="CH26" s="7"/>
      <c r="CI26" s="7"/>
      <c r="CJ26" s="7"/>
      <c r="CK26" s="39">
        <f t="shared" si="23"/>
        <v>0</v>
      </c>
      <c r="CL26" s="7"/>
      <c r="CM26" s="7"/>
      <c r="CN26" s="7"/>
      <c r="CO26" s="39">
        <f t="shared" si="24"/>
        <v>0</v>
      </c>
      <c r="CP26" s="7"/>
      <c r="CQ26" s="7"/>
      <c r="CR26" s="7"/>
      <c r="CS26" s="39">
        <f t="shared" si="25"/>
        <v>0</v>
      </c>
      <c r="CT26" s="7"/>
      <c r="CU26" s="7"/>
      <c r="CV26" s="7"/>
      <c r="CW26" s="39">
        <f t="shared" si="26"/>
        <v>0</v>
      </c>
      <c r="CX26" s="7"/>
      <c r="CY26" s="7"/>
      <c r="CZ26" s="7"/>
      <c r="DA26" s="39">
        <f t="shared" si="27"/>
        <v>0</v>
      </c>
      <c r="DB26" s="7"/>
      <c r="DC26" s="7"/>
      <c r="DD26" s="7"/>
      <c r="DE26" s="39">
        <f t="shared" si="28"/>
        <v>0</v>
      </c>
      <c r="DF26" s="7"/>
      <c r="DG26" s="7"/>
      <c r="DH26" s="7"/>
      <c r="DI26" s="39">
        <f t="shared" si="29"/>
        <v>0</v>
      </c>
      <c r="DJ26" s="7"/>
      <c r="DK26" s="7"/>
      <c r="DL26" s="7"/>
      <c r="DM26" s="39">
        <f t="shared" si="30"/>
        <v>0</v>
      </c>
      <c r="DN26" s="7"/>
      <c r="DO26" s="7"/>
      <c r="DP26" s="7"/>
      <c r="DQ26" s="39">
        <f t="shared" si="31"/>
        <v>0</v>
      </c>
      <c r="DR26" s="7"/>
      <c r="DS26" s="7"/>
      <c r="DT26" s="7"/>
      <c r="DU26" s="39">
        <f t="shared" si="32"/>
        <v>0</v>
      </c>
      <c r="DV26" s="7"/>
      <c r="DW26" s="7"/>
      <c r="DX26" s="7"/>
      <c r="DY26" s="39">
        <f t="shared" si="33"/>
        <v>0</v>
      </c>
      <c r="DZ26" s="7">
        <v>1.0</v>
      </c>
      <c r="EA26" s="7">
        <v>1.0</v>
      </c>
      <c r="EB26" s="7">
        <v>1.0</v>
      </c>
      <c r="EC26" s="39">
        <f t="shared" si="34"/>
        <v>5</v>
      </c>
      <c r="ED26" s="7">
        <v>1.0</v>
      </c>
      <c r="EE26" s="7">
        <v>1.0</v>
      </c>
      <c r="EF26" s="7"/>
      <c r="EG26" s="39">
        <f t="shared" si="35"/>
        <v>3</v>
      </c>
      <c r="EH26" s="7"/>
      <c r="EI26" s="7"/>
      <c r="EJ26" s="7"/>
      <c r="EK26" s="39">
        <f t="shared" si="36"/>
        <v>0</v>
      </c>
      <c r="EL26" s="7"/>
      <c r="EM26" s="7"/>
      <c r="EN26" s="7"/>
      <c r="EO26" s="39">
        <f t="shared" si="37"/>
        <v>0</v>
      </c>
    </row>
    <row r="27">
      <c r="A27" s="20" t="s">
        <v>88</v>
      </c>
      <c r="B27" s="21"/>
      <c r="C27" s="1">
        <f t="shared" si="1"/>
        <v>25</v>
      </c>
      <c r="D27" s="15">
        <f>VLOOKUP(A27,TDP!A:C,3,FALSE)</f>
        <v>0.05</v>
      </c>
      <c r="E27" s="37">
        <f t="shared" si="2"/>
        <v>15.75</v>
      </c>
      <c r="F27" s="161"/>
      <c r="G27" s="1"/>
      <c r="H27" s="1"/>
      <c r="I27" s="39">
        <f t="shared" si="3"/>
        <v>0</v>
      </c>
      <c r="J27" s="161"/>
      <c r="K27" s="1"/>
      <c r="L27" s="7">
        <v>1.0</v>
      </c>
      <c r="M27" s="39">
        <f t="shared" si="4"/>
        <v>7</v>
      </c>
      <c r="N27" s="7">
        <v>1.0</v>
      </c>
      <c r="O27" s="7">
        <v>1.0</v>
      </c>
      <c r="P27" s="7">
        <v>1.0</v>
      </c>
      <c r="Q27" s="39">
        <f t="shared" si="5"/>
        <v>5</v>
      </c>
      <c r="R27" s="7"/>
      <c r="S27" s="7"/>
      <c r="T27" s="7"/>
      <c r="U27" s="39">
        <f t="shared" si="6"/>
        <v>0</v>
      </c>
      <c r="V27" s="1"/>
      <c r="W27" s="1"/>
      <c r="X27" s="1"/>
      <c r="Y27" s="39">
        <f t="shared" si="7"/>
        <v>0</v>
      </c>
      <c r="Z27" s="7"/>
      <c r="AA27" s="7"/>
      <c r="AB27" s="7"/>
      <c r="AC27" s="39">
        <f t="shared" si="8"/>
        <v>0</v>
      </c>
      <c r="AD27" s="7"/>
      <c r="AE27" s="7"/>
      <c r="AF27" s="7"/>
      <c r="AG27" s="39">
        <f t="shared" si="9"/>
        <v>0</v>
      </c>
      <c r="AH27" s="7"/>
      <c r="AI27" s="7"/>
      <c r="AJ27" s="7"/>
      <c r="AK27" s="39">
        <f t="shared" si="10"/>
        <v>0</v>
      </c>
      <c r="AL27" s="4"/>
      <c r="AM27" s="7"/>
      <c r="AN27" s="7"/>
      <c r="AO27" s="39">
        <f t="shared" si="11"/>
        <v>0</v>
      </c>
      <c r="AP27" s="7"/>
      <c r="AQ27" s="7"/>
      <c r="AR27" s="7"/>
      <c r="AS27" s="39">
        <f t="shared" si="12"/>
        <v>0</v>
      </c>
      <c r="AT27" s="7"/>
      <c r="AU27" s="7"/>
      <c r="AV27" s="7"/>
      <c r="AW27" s="39">
        <f t="shared" si="13"/>
        <v>0</v>
      </c>
      <c r="AX27" s="7"/>
      <c r="AY27" s="7"/>
      <c r="AZ27" s="7"/>
      <c r="BA27" s="39">
        <f t="shared" si="14"/>
        <v>0</v>
      </c>
      <c r="BB27" s="7"/>
      <c r="BC27" s="7"/>
      <c r="BD27" s="7"/>
      <c r="BE27" s="39">
        <f t="shared" si="15"/>
        <v>0</v>
      </c>
      <c r="BF27" s="7"/>
      <c r="BG27" s="7"/>
      <c r="BH27" s="7"/>
      <c r="BI27" s="39">
        <f t="shared" si="16"/>
        <v>0</v>
      </c>
      <c r="BJ27" s="7"/>
      <c r="BK27" s="7"/>
      <c r="BL27" s="7"/>
      <c r="BM27" s="39">
        <f t="shared" si="17"/>
        <v>0</v>
      </c>
      <c r="BN27" s="7"/>
      <c r="BO27" s="7"/>
      <c r="BP27" s="7"/>
      <c r="BQ27" s="39">
        <f t="shared" si="18"/>
        <v>0</v>
      </c>
      <c r="BR27" s="7"/>
      <c r="BS27" s="7"/>
      <c r="BT27" s="7"/>
      <c r="BU27" s="39">
        <f t="shared" si="19"/>
        <v>0</v>
      </c>
      <c r="BV27" s="7"/>
      <c r="BW27" s="7"/>
      <c r="BX27" s="7"/>
      <c r="BY27" s="39">
        <f t="shared" si="20"/>
        <v>0</v>
      </c>
      <c r="BZ27" s="7"/>
      <c r="CA27" s="7"/>
      <c r="CB27" s="7"/>
      <c r="CC27" s="39">
        <f t="shared" si="21"/>
        <v>0</v>
      </c>
      <c r="CD27" s="7"/>
      <c r="CE27" s="7"/>
      <c r="CF27" s="7"/>
      <c r="CG27" s="39">
        <f t="shared" si="22"/>
        <v>0</v>
      </c>
      <c r="CH27" s="7"/>
      <c r="CI27" s="7"/>
      <c r="CJ27" s="7"/>
      <c r="CK27" s="39">
        <f t="shared" si="23"/>
        <v>0</v>
      </c>
      <c r="CL27" s="7"/>
      <c r="CM27" s="7"/>
      <c r="CN27" s="7"/>
      <c r="CO27" s="39">
        <f t="shared" si="24"/>
        <v>0</v>
      </c>
      <c r="CP27" s="7"/>
      <c r="CQ27" s="7"/>
      <c r="CR27" s="7"/>
      <c r="CS27" s="39">
        <f t="shared" si="25"/>
        <v>0</v>
      </c>
      <c r="CT27" s="7"/>
      <c r="CU27" s="7"/>
      <c r="CV27" s="7"/>
      <c r="CW27" s="39">
        <f t="shared" si="26"/>
        <v>0</v>
      </c>
      <c r="CX27" s="7"/>
      <c r="CY27" s="7"/>
      <c r="CZ27" s="7"/>
      <c r="DA27" s="39">
        <f t="shared" si="27"/>
        <v>0</v>
      </c>
      <c r="DB27" s="7"/>
      <c r="DC27" s="7"/>
      <c r="DD27" s="7"/>
      <c r="DE27" s="39">
        <f t="shared" si="28"/>
        <v>0</v>
      </c>
      <c r="DF27" s="7"/>
      <c r="DG27" s="7"/>
      <c r="DH27" s="7"/>
      <c r="DI27" s="39">
        <f t="shared" si="29"/>
        <v>0</v>
      </c>
      <c r="DJ27" s="7"/>
      <c r="DK27" s="7"/>
      <c r="DL27" s="7"/>
      <c r="DM27" s="39">
        <f t="shared" si="30"/>
        <v>0</v>
      </c>
      <c r="DN27" s="7"/>
      <c r="DO27" s="7"/>
      <c r="DP27" s="7"/>
      <c r="DQ27" s="39">
        <f t="shared" si="31"/>
        <v>0</v>
      </c>
      <c r="DR27" s="7"/>
      <c r="DS27" s="7"/>
      <c r="DT27" s="7"/>
      <c r="DU27" s="39">
        <f t="shared" si="32"/>
        <v>0</v>
      </c>
      <c r="DV27" s="7"/>
      <c r="DW27" s="7"/>
      <c r="DX27" s="7"/>
      <c r="DY27" s="39">
        <f t="shared" si="33"/>
        <v>0</v>
      </c>
      <c r="DZ27" s="7"/>
      <c r="EA27" s="7"/>
      <c r="EB27" s="7"/>
      <c r="EC27" s="39">
        <f t="shared" si="34"/>
        <v>0</v>
      </c>
      <c r="ED27" s="7">
        <v>1.0</v>
      </c>
      <c r="EE27" s="7">
        <v>1.0</v>
      </c>
      <c r="EF27" s="7"/>
      <c r="EG27" s="39">
        <f t="shared" si="35"/>
        <v>3</v>
      </c>
      <c r="EH27" s="7"/>
      <c r="EI27" s="7"/>
      <c r="EJ27" s="7"/>
      <c r="EK27" s="39">
        <f t="shared" si="36"/>
        <v>0</v>
      </c>
      <c r="EL27" s="7"/>
      <c r="EM27" s="7"/>
      <c r="EN27" s="7"/>
      <c r="EO27" s="39">
        <f t="shared" si="37"/>
        <v>0</v>
      </c>
    </row>
    <row r="28">
      <c r="A28" s="20" t="s">
        <v>80</v>
      </c>
      <c r="B28" s="21" t="s">
        <v>81</v>
      </c>
      <c r="C28" s="1">
        <f t="shared" si="1"/>
        <v>26</v>
      </c>
      <c r="D28" s="15">
        <f>VLOOKUP(A28,TDP!A:C,3,FALSE)</f>
        <v>0.22</v>
      </c>
      <c r="E28" s="37">
        <f t="shared" si="2"/>
        <v>14.64</v>
      </c>
      <c r="F28" s="161"/>
      <c r="G28" s="1"/>
      <c r="H28" s="1"/>
      <c r="I28" s="39">
        <f t="shared" si="3"/>
        <v>0</v>
      </c>
      <c r="J28" s="161"/>
      <c r="K28" s="1"/>
      <c r="L28" s="7">
        <v>1.0</v>
      </c>
      <c r="M28" s="39">
        <f t="shared" si="4"/>
        <v>7</v>
      </c>
      <c r="N28" s="7">
        <v>1.0</v>
      </c>
      <c r="O28" s="7">
        <v>1.0</v>
      </c>
      <c r="P28" s="7">
        <v>1.0</v>
      </c>
      <c r="Q28" s="39">
        <f t="shared" si="5"/>
        <v>5</v>
      </c>
      <c r="R28" s="7"/>
      <c r="S28" s="7"/>
      <c r="T28" s="7"/>
      <c r="U28" s="39">
        <f t="shared" si="6"/>
        <v>0</v>
      </c>
      <c r="V28" s="1"/>
      <c r="W28" s="1"/>
      <c r="X28" s="1"/>
      <c r="Y28" s="39">
        <f t="shared" si="7"/>
        <v>0</v>
      </c>
      <c r="Z28" s="7"/>
      <c r="AA28" s="7"/>
      <c r="AB28" s="7"/>
      <c r="AC28" s="39">
        <f t="shared" si="8"/>
        <v>0</v>
      </c>
      <c r="AD28" s="7"/>
      <c r="AE28" s="7"/>
      <c r="AF28" s="7"/>
      <c r="AG28" s="39">
        <f t="shared" si="9"/>
        <v>0</v>
      </c>
      <c r="AH28" s="7"/>
      <c r="AI28" s="7"/>
      <c r="AJ28" s="7"/>
      <c r="AK28" s="39">
        <f t="shared" si="10"/>
        <v>0</v>
      </c>
      <c r="AL28" s="4"/>
      <c r="AM28" s="7"/>
      <c r="AN28" s="7"/>
      <c r="AO28" s="39">
        <f t="shared" si="11"/>
        <v>0</v>
      </c>
      <c r="AP28" s="7"/>
      <c r="AQ28" s="7"/>
      <c r="AR28" s="7"/>
      <c r="AS28" s="39">
        <f t="shared" si="12"/>
        <v>0</v>
      </c>
      <c r="AT28" s="7"/>
      <c r="AU28" s="7"/>
      <c r="AV28" s="7"/>
      <c r="AW28" s="39">
        <f t="shared" si="13"/>
        <v>0</v>
      </c>
      <c r="AX28" s="7"/>
      <c r="AY28" s="7"/>
      <c r="AZ28" s="7"/>
      <c r="BA28" s="39">
        <f t="shared" si="14"/>
        <v>0</v>
      </c>
      <c r="BB28" s="7"/>
      <c r="BC28" s="7"/>
      <c r="BD28" s="7"/>
      <c r="BE28" s="39">
        <f t="shared" si="15"/>
        <v>0</v>
      </c>
      <c r="BF28" s="7"/>
      <c r="BG28" s="7"/>
      <c r="BH28" s="7"/>
      <c r="BI28" s="39">
        <f t="shared" si="16"/>
        <v>0</v>
      </c>
      <c r="BJ28" s="7"/>
      <c r="BK28" s="7"/>
      <c r="BL28" s="7"/>
      <c r="BM28" s="39">
        <f t="shared" si="17"/>
        <v>0</v>
      </c>
      <c r="BN28" s="7"/>
      <c r="BO28" s="7"/>
      <c r="BP28" s="7"/>
      <c r="BQ28" s="39">
        <f t="shared" si="18"/>
        <v>0</v>
      </c>
      <c r="BR28" s="7"/>
      <c r="BS28" s="7"/>
      <c r="BT28" s="7"/>
      <c r="BU28" s="39">
        <f t="shared" si="19"/>
        <v>0</v>
      </c>
      <c r="BV28" s="7"/>
      <c r="BW28" s="7"/>
      <c r="BX28" s="7"/>
      <c r="BY28" s="39">
        <f t="shared" si="20"/>
        <v>0</v>
      </c>
      <c r="BZ28" s="7"/>
      <c r="CA28" s="7"/>
      <c r="CB28" s="7"/>
      <c r="CC28" s="39">
        <f t="shared" si="21"/>
        <v>0</v>
      </c>
      <c r="CD28" s="7"/>
      <c r="CE28" s="7"/>
      <c r="CF28" s="7"/>
      <c r="CG28" s="39">
        <f t="shared" si="22"/>
        <v>0</v>
      </c>
      <c r="CH28" s="7"/>
      <c r="CI28" s="7"/>
      <c r="CJ28" s="7"/>
      <c r="CK28" s="39">
        <f t="shared" si="23"/>
        <v>0</v>
      </c>
      <c r="CL28" s="7"/>
      <c r="CM28" s="7"/>
      <c r="CN28" s="7"/>
      <c r="CO28" s="39">
        <f t="shared" si="24"/>
        <v>0</v>
      </c>
      <c r="CP28" s="7"/>
      <c r="CQ28" s="7"/>
      <c r="CR28" s="7"/>
      <c r="CS28" s="39">
        <f t="shared" si="25"/>
        <v>0</v>
      </c>
      <c r="CT28" s="7"/>
      <c r="CU28" s="7"/>
      <c r="CV28" s="7"/>
      <c r="CW28" s="39">
        <f t="shared" si="26"/>
        <v>0</v>
      </c>
      <c r="CX28" s="7"/>
      <c r="CY28" s="7"/>
      <c r="CZ28" s="7"/>
      <c r="DA28" s="39">
        <f t="shared" si="27"/>
        <v>0</v>
      </c>
      <c r="DB28" s="7"/>
      <c r="DC28" s="7"/>
      <c r="DD28" s="7"/>
      <c r="DE28" s="39">
        <f t="shared" si="28"/>
        <v>0</v>
      </c>
      <c r="DF28" s="7"/>
      <c r="DG28" s="7"/>
      <c r="DH28" s="7"/>
      <c r="DI28" s="39">
        <f t="shared" si="29"/>
        <v>0</v>
      </c>
      <c r="DJ28" s="7"/>
      <c r="DK28" s="7"/>
      <c r="DL28" s="7"/>
      <c r="DM28" s="39">
        <f t="shared" si="30"/>
        <v>0</v>
      </c>
      <c r="DN28" s="7"/>
      <c r="DO28" s="7"/>
      <c r="DP28" s="7"/>
      <c r="DQ28" s="39">
        <f t="shared" si="31"/>
        <v>0</v>
      </c>
      <c r="DR28" s="7"/>
      <c r="DS28" s="7"/>
      <c r="DT28" s="7"/>
      <c r="DU28" s="39">
        <f t="shared" si="32"/>
        <v>0</v>
      </c>
      <c r="DV28" s="7"/>
      <c r="DW28" s="7"/>
      <c r="DX28" s="7"/>
      <c r="DY28" s="39">
        <f t="shared" si="33"/>
        <v>0</v>
      </c>
      <c r="DZ28" s="7"/>
      <c r="EA28" s="7"/>
      <c r="EB28" s="7"/>
      <c r="EC28" s="39">
        <f t="shared" si="34"/>
        <v>0</v>
      </c>
      <c r="ED28" s="7"/>
      <c r="EE28" s="7"/>
      <c r="EF28" s="7"/>
      <c r="EG28" s="39">
        <f t="shared" si="35"/>
        <v>0</v>
      </c>
      <c r="EH28" s="7"/>
      <c r="EI28" s="7"/>
      <c r="EJ28" s="7"/>
      <c r="EK28" s="39">
        <f t="shared" si="36"/>
        <v>0</v>
      </c>
      <c r="EL28" s="7"/>
      <c r="EM28" s="7"/>
      <c r="EN28" s="7"/>
      <c r="EO28" s="39">
        <f t="shared" si="37"/>
        <v>0</v>
      </c>
    </row>
    <row r="29">
      <c r="A29" s="20" t="s">
        <v>113</v>
      </c>
      <c r="B29" s="21" t="s">
        <v>114</v>
      </c>
      <c r="C29" s="1">
        <f t="shared" si="1"/>
        <v>27</v>
      </c>
      <c r="D29" s="15">
        <f>VLOOKUP(A29,TDP!A:C,3,FALSE)</f>
        <v>0.18</v>
      </c>
      <c r="E29" s="37">
        <f t="shared" si="2"/>
        <v>14.16</v>
      </c>
      <c r="F29" s="161"/>
      <c r="G29" s="1"/>
      <c r="H29" s="1"/>
      <c r="I29" s="39"/>
      <c r="J29" s="161"/>
      <c r="K29" s="1"/>
      <c r="L29" s="1"/>
      <c r="M29" s="39"/>
      <c r="N29" s="1"/>
      <c r="O29" s="1"/>
      <c r="P29" s="1"/>
      <c r="Q29" s="39"/>
      <c r="R29" s="1"/>
      <c r="S29" s="1"/>
      <c r="T29" s="1"/>
      <c r="U29" s="39"/>
      <c r="V29" s="1"/>
      <c r="W29" s="1"/>
      <c r="X29" s="1"/>
      <c r="Y29" s="39"/>
      <c r="Z29" s="1"/>
      <c r="AA29" s="1"/>
      <c r="AB29" s="1"/>
      <c r="AC29" s="39"/>
      <c r="AD29" s="7"/>
      <c r="AE29" s="7"/>
      <c r="AF29" s="7"/>
      <c r="AG29" s="39"/>
      <c r="AH29" s="7"/>
      <c r="AI29" s="7"/>
      <c r="AJ29" s="7"/>
      <c r="AK29" s="39"/>
      <c r="AL29" s="4"/>
      <c r="AM29" s="7"/>
      <c r="AN29" s="7"/>
      <c r="AO29" s="39"/>
      <c r="AP29" s="7"/>
      <c r="AQ29" s="7"/>
      <c r="AR29" s="7"/>
      <c r="AS29" s="39"/>
      <c r="AT29" s="7"/>
      <c r="AU29" s="7"/>
      <c r="AV29" s="7"/>
      <c r="AW29" s="39"/>
      <c r="AX29" s="7"/>
      <c r="AY29" s="7"/>
      <c r="AZ29" s="7"/>
      <c r="BA29" s="39"/>
      <c r="BB29" s="7"/>
      <c r="BC29" s="7"/>
      <c r="BD29" s="7"/>
      <c r="BE29" s="39"/>
      <c r="BF29" s="7"/>
      <c r="BG29" s="7"/>
      <c r="BH29" s="7"/>
      <c r="BI29" s="39"/>
      <c r="BJ29" s="7"/>
      <c r="BK29" s="7"/>
      <c r="BL29" s="7"/>
      <c r="BM29" s="39"/>
      <c r="BN29" s="7"/>
      <c r="BO29" s="7"/>
      <c r="BP29" s="7"/>
      <c r="BQ29" s="39"/>
      <c r="BR29" s="7"/>
      <c r="BS29" s="7"/>
      <c r="BT29" s="7"/>
      <c r="BU29" s="39"/>
      <c r="BV29" s="7"/>
      <c r="BW29" s="7"/>
      <c r="BX29" s="7"/>
      <c r="BY29" s="39"/>
      <c r="BZ29" s="7"/>
      <c r="CA29" s="7"/>
      <c r="CB29" s="7"/>
      <c r="CC29" s="39"/>
      <c r="CD29" s="7"/>
      <c r="CE29" s="7"/>
      <c r="CF29" s="7"/>
      <c r="CG29" s="39"/>
      <c r="CH29" s="7"/>
      <c r="CI29" s="7"/>
      <c r="CJ29" s="7"/>
      <c r="CK29" s="39"/>
      <c r="CL29" s="7">
        <v>1.0</v>
      </c>
      <c r="CM29" s="7">
        <v>1.0</v>
      </c>
      <c r="CN29" s="7"/>
      <c r="CO29" s="39">
        <f t="shared" si="24"/>
        <v>3</v>
      </c>
      <c r="CP29" s="7">
        <v>1.0</v>
      </c>
      <c r="CQ29" s="7">
        <v>1.0</v>
      </c>
      <c r="CR29" s="7"/>
      <c r="CS29" s="39">
        <f t="shared" si="25"/>
        <v>3</v>
      </c>
      <c r="CT29" s="7"/>
      <c r="CU29" s="7"/>
      <c r="CV29" s="7"/>
      <c r="CW29" s="39">
        <f t="shared" si="26"/>
        <v>0</v>
      </c>
      <c r="CX29" s="7">
        <v>1.0</v>
      </c>
      <c r="CY29" s="7">
        <v>1.0</v>
      </c>
      <c r="CZ29" s="7"/>
      <c r="DA29" s="39">
        <f t="shared" si="27"/>
        <v>3</v>
      </c>
      <c r="DB29" s="7"/>
      <c r="DC29" s="7"/>
      <c r="DD29" s="7"/>
      <c r="DE29" s="39">
        <f t="shared" si="28"/>
        <v>0</v>
      </c>
      <c r="DF29" s="7"/>
      <c r="DG29" s="7"/>
      <c r="DH29" s="7"/>
      <c r="DI29" s="39">
        <f t="shared" si="29"/>
        <v>0</v>
      </c>
      <c r="DJ29" s="7"/>
      <c r="DK29" s="7"/>
      <c r="DL29" s="7"/>
      <c r="DM29" s="39">
        <f t="shared" si="30"/>
        <v>0</v>
      </c>
      <c r="DN29" s="7"/>
      <c r="DO29" s="7"/>
      <c r="DP29" s="7"/>
      <c r="DQ29" s="39">
        <f t="shared" si="31"/>
        <v>0</v>
      </c>
      <c r="DR29" s="7"/>
      <c r="DS29" s="7"/>
      <c r="DT29" s="7"/>
      <c r="DU29" s="39">
        <f t="shared" si="32"/>
        <v>0</v>
      </c>
      <c r="DV29" s="7"/>
      <c r="DW29" s="7"/>
      <c r="DX29" s="7"/>
      <c r="DY29" s="39">
        <f t="shared" si="33"/>
        <v>0</v>
      </c>
      <c r="DZ29" s="7"/>
      <c r="EA29" s="7"/>
      <c r="EB29" s="7"/>
      <c r="EC29" s="39">
        <f t="shared" si="34"/>
        <v>0</v>
      </c>
      <c r="ED29" s="7">
        <v>1.0</v>
      </c>
      <c r="EE29" s="7">
        <v>1.0</v>
      </c>
      <c r="EF29" s="7"/>
      <c r="EG29" s="39">
        <f t="shared" si="35"/>
        <v>3</v>
      </c>
      <c r="EH29" s="7"/>
      <c r="EI29" s="7"/>
      <c r="EJ29" s="7"/>
      <c r="EK29" s="39">
        <f t="shared" si="36"/>
        <v>0</v>
      </c>
      <c r="EL29" s="7"/>
      <c r="EM29" s="7"/>
      <c r="EN29" s="7"/>
      <c r="EO29" s="39">
        <f t="shared" si="37"/>
        <v>0</v>
      </c>
    </row>
    <row r="30">
      <c r="A30" s="20" t="s">
        <v>103</v>
      </c>
      <c r="B30" s="21" t="s">
        <v>104</v>
      </c>
      <c r="C30" s="1">
        <f t="shared" si="1"/>
        <v>28</v>
      </c>
      <c r="D30" s="15">
        <f>VLOOKUP(A30,TDP!A:C,3,FALSE)</f>
        <v>0.17</v>
      </c>
      <c r="E30" s="37">
        <f t="shared" si="2"/>
        <v>10.53</v>
      </c>
      <c r="F30" s="161"/>
      <c r="G30" s="1"/>
      <c r="H30" s="1"/>
      <c r="I30" s="39"/>
      <c r="J30" s="161"/>
      <c r="K30" s="1"/>
      <c r="L30" s="1"/>
      <c r="M30" s="39"/>
      <c r="N30" s="1"/>
      <c r="O30" s="1"/>
      <c r="P30" s="1"/>
      <c r="Q30" s="39"/>
      <c r="R30" s="1"/>
      <c r="S30" s="1"/>
      <c r="T30" s="1"/>
      <c r="U30" s="39"/>
      <c r="V30" s="1"/>
      <c r="W30" s="1"/>
      <c r="X30" s="1"/>
      <c r="Y30" s="39"/>
      <c r="Z30" s="1"/>
      <c r="AA30" s="1"/>
      <c r="AB30" s="1"/>
      <c r="AC30" s="39"/>
      <c r="AD30" s="7"/>
      <c r="AE30" s="7"/>
      <c r="AF30" s="7"/>
      <c r="AG30" s="39"/>
      <c r="AH30" s="7"/>
      <c r="AI30" s="7"/>
      <c r="AJ30" s="7"/>
      <c r="AK30" s="39"/>
      <c r="AL30" s="4"/>
      <c r="AM30" s="7"/>
      <c r="AN30" s="7"/>
      <c r="AO30" s="39"/>
      <c r="AP30" s="7"/>
      <c r="AQ30" s="7"/>
      <c r="AR30" s="7"/>
      <c r="AS30" s="39"/>
      <c r="AT30" s="7"/>
      <c r="AU30" s="7"/>
      <c r="AV30" s="7"/>
      <c r="AW30" s="39"/>
      <c r="AX30" s="7"/>
      <c r="AY30" s="7"/>
      <c r="AZ30" s="7"/>
      <c r="BA30" s="39"/>
      <c r="BB30" s="7"/>
      <c r="BC30" s="7"/>
      <c r="BD30" s="7"/>
      <c r="BE30" s="39"/>
      <c r="BF30" s="7"/>
      <c r="BG30" s="7"/>
      <c r="BH30" s="7"/>
      <c r="BI30" s="39"/>
      <c r="BJ30" s="7"/>
      <c r="BK30" s="7"/>
      <c r="BL30" s="7"/>
      <c r="BM30" s="39"/>
      <c r="BN30" s="7"/>
      <c r="BO30" s="7"/>
      <c r="BP30" s="7"/>
      <c r="BQ30" s="39"/>
      <c r="BR30" s="7"/>
      <c r="BS30" s="7"/>
      <c r="BT30" s="7"/>
      <c r="BU30" s="39"/>
      <c r="BV30" s="7"/>
      <c r="BW30" s="7"/>
      <c r="BX30" s="7"/>
      <c r="BY30" s="39"/>
      <c r="BZ30" s="7"/>
      <c r="CA30" s="7"/>
      <c r="CB30" s="7"/>
      <c r="CC30" s="39"/>
      <c r="CD30" s="7"/>
      <c r="CE30" s="7"/>
      <c r="CF30" s="7"/>
      <c r="CG30" s="39"/>
      <c r="CH30" s="7"/>
      <c r="CI30" s="7"/>
      <c r="CJ30" s="7"/>
      <c r="CK30" s="39"/>
      <c r="CL30" s="7">
        <v>1.0</v>
      </c>
      <c r="CM30" s="7">
        <v>1.0</v>
      </c>
      <c r="CN30" s="7"/>
      <c r="CO30" s="39">
        <f t="shared" si="24"/>
        <v>3</v>
      </c>
      <c r="CP30" s="7"/>
      <c r="CQ30" s="7"/>
      <c r="CR30" s="7"/>
      <c r="CS30" s="39">
        <f t="shared" si="25"/>
        <v>0</v>
      </c>
      <c r="CT30" s="7">
        <v>1.0</v>
      </c>
      <c r="CU30" s="7">
        <v>1.0</v>
      </c>
      <c r="CV30" s="7"/>
      <c r="CW30" s="39">
        <f t="shared" si="26"/>
        <v>3</v>
      </c>
      <c r="CX30" s="7"/>
      <c r="CY30" s="7"/>
      <c r="CZ30" s="7"/>
      <c r="DA30" s="39">
        <f t="shared" si="27"/>
        <v>0</v>
      </c>
      <c r="DB30" s="7"/>
      <c r="DC30" s="7"/>
      <c r="DD30" s="7"/>
      <c r="DE30" s="39">
        <f t="shared" si="28"/>
        <v>0</v>
      </c>
      <c r="DF30" s="7"/>
      <c r="DG30" s="7"/>
      <c r="DH30" s="7"/>
      <c r="DI30" s="39">
        <f t="shared" si="29"/>
        <v>0</v>
      </c>
      <c r="DJ30" s="7"/>
      <c r="DK30" s="7"/>
      <c r="DL30" s="7"/>
      <c r="DM30" s="39">
        <f t="shared" si="30"/>
        <v>0</v>
      </c>
      <c r="DN30" s="7"/>
      <c r="DO30" s="7"/>
      <c r="DP30" s="7"/>
      <c r="DQ30" s="39">
        <f t="shared" si="31"/>
        <v>0</v>
      </c>
      <c r="DR30" s="7"/>
      <c r="DS30" s="7"/>
      <c r="DT30" s="7"/>
      <c r="DU30" s="39">
        <f t="shared" si="32"/>
        <v>0</v>
      </c>
      <c r="DV30" s="7"/>
      <c r="DW30" s="7"/>
      <c r="DX30" s="7"/>
      <c r="DY30" s="39">
        <f t="shared" si="33"/>
        <v>0</v>
      </c>
      <c r="DZ30" s="7"/>
      <c r="EA30" s="7"/>
      <c r="EB30" s="7"/>
      <c r="EC30" s="39">
        <f t="shared" si="34"/>
        <v>0</v>
      </c>
      <c r="ED30" s="7">
        <v>1.0</v>
      </c>
      <c r="EE30" s="7">
        <v>1.0</v>
      </c>
      <c r="EF30" s="7"/>
      <c r="EG30" s="39">
        <f t="shared" si="35"/>
        <v>3</v>
      </c>
      <c r="EH30" s="7"/>
      <c r="EI30" s="7"/>
      <c r="EJ30" s="7"/>
      <c r="EK30" s="39">
        <f t="shared" si="36"/>
        <v>0</v>
      </c>
      <c r="EL30" s="7"/>
      <c r="EM30" s="7"/>
      <c r="EN30" s="7"/>
      <c r="EO30" s="39">
        <f t="shared" si="37"/>
        <v>0</v>
      </c>
    </row>
    <row r="31">
      <c r="A31" s="20" t="s">
        <v>56</v>
      </c>
      <c r="B31" s="21" t="s">
        <v>57</v>
      </c>
      <c r="C31" s="1">
        <f t="shared" si="1"/>
        <v>29</v>
      </c>
      <c r="D31" s="15">
        <f>VLOOKUP(A31,TDP!A:C,3,FALSE)</f>
        <v>0.3</v>
      </c>
      <c r="E31" s="37">
        <f t="shared" si="2"/>
        <v>9.1</v>
      </c>
      <c r="F31" s="161"/>
      <c r="G31" s="1"/>
      <c r="H31" s="1"/>
      <c r="I31" s="39">
        <f t="shared" ref="I31:I41" si="38"> if( F31=1, if( G31=1, if( H31=1, 5, 3), if( H31=1, 1, -3 ) ), if(G31=1,if(H31=1, -1, -2 ), if(H31=1, 7, 0 ) ) )</f>
        <v>0</v>
      </c>
      <c r="J31" s="161"/>
      <c r="K31" s="1"/>
      <c r="L31" s="1"/>
      <c r="M31" s="39">
        <f t="shared" ref="M31:M41" si="39"> if( J31=1, if( K31=1, if( L31=1, 5, 3), if( L31=1, 1, -3 ) ), if(K31=1,if(L31=1, -1, -2 ), if(L31=1, 7, 0 ) ) )</f>
        <v>0</v>
      </c>
      <c r="N31" s="1"/>
      <c r="O31" s="1"/>
      <c r="P31" s="1"/>
      <c r="Q31" s="39">
        <f t="shared" ref="Q31:Q41" si="40"> if( N31=1, if( O31=1, if( P31=1, 5, 3), if( P31=1, 1, -3 ) ), if(O31=1,if(P31=1, -1, -2 ), if(P31=1, 7, 0 ) ) )</f>
        <v>0</v>
      </c>
      <c r="R31" s="1"/>
      <c r="S31" s="1"/>
      <c r="T31" s="1"/>
      <c r="U31" s="39">
        <f t="shared" ref="U31:U41" si="41"> if( R31=1, if( S31=1, if( T31=1, 5, 3), if( T31=1, 1, -3 ) ), if(S31=1,if(T31=1, -1, -2 ), if(T31=1, 7, 0 ) ) )</f>
        <v>0</v>
      </c>
      <c r="V31" s="1"/>
      <c r="W31" s="1"/>
      <c r="X31" s="1"/>
      <c r="Y31" s="39">
        <f t="shared" ref="Y31:Y41" si="42"> if( V31=1, if( W31=1, if( X31=1, 5, 3), if( X31=1, 1, -3 ) ), if(W31=1,if(X31=1, -1, -2 ), if(X31=1, 7, 0 ) ) )</f>
        <v>0</v>
      </c>
      <c r="Z31" s="1"/>
      <c r="AA31" s="1"/>
      <c r="AB31" s="1"/>
      <c r="AC31" s="39">
        <f t="shared" ref="AC31:AC41" si="43"> if( Z31=1, if( AA31=1, if( AB31=1, 5, 3), if( AB31=1, 1, -3 ) ), if(AA31=1,if(AB31=1, -1, -2 ), if(AB31=1, 7, 0 ) ) )</f>
        <v>0</v>
      </c>
      <c r="AD31" s="7"/>
      <c r="AE31" s="7"/>
      <c r="AF31" s="7"/>
      <c r="AG31" s="39">
        <f t="shared" ref="AG31:AG41" si="44"> if( AD31=1, if( AE31=1, if( AF31=1, 5, 3), if( AF31=1, 1, -3 ) ), if(AE31=1,if(AF31=1, -1, -2 ), if(AF31=1, 7, 0 ) ) )</f>
        <v>0</v>
      </c>
      <c r="AH31" s="7"/>
      <c r="AI31" s="7"/>
      <c r="AJ31" s="7"/>
      <c r="AK31" s="39">
        <f t="shared" ref="AK31:AK41" si="45"> if( AH31=1, if( AI31=1, if( AJ31=1, 5, 3), if( AJ31=1, 1, -3 ) ), if(AI31=1,if(AJ31=1, -1, -2 ), if(AJ31=1, 7, 0 ) ) )</f>
        <v>0</v>
      </c>
      <c r="AL31" s="4"/>
      <c r="AM31" s="7"/>
      <c r="AN31" s="7"/>
      <c r="AO31" s="39">
        <f t="shared" ref="AO31:AO41" si="46"> if( AL31=1, if( AM31=1, if( AN31=1, 5, 3), if( AN31=1, 1, -3 ) ), if(AM31=1,if(AN31=1, -1, -2 ), if(AN31=1, 7, 0 ) ) )</f>
        <v>0</v>
      </c>
      <c r="AP31" s="7"/>
      <c r="AQ31" s="7"/>
      <c r="AR31" s="7"/>
      <c r="AS31" s="39">
        <f t="shared" ref="AS31:AS41" si="47"> if( AP31=1, if( AQ31=1, if( AR31=1, 5, 3), if( AR31=1, 1, -3 ) ), if(AQ31=1,if(AR31=1, -1, -2 ), if(AR31=1, 7, 0 ) ) )</f>
        <v>0</v>
      </c>
      <c r="AT31" s="7"/>
      <c r="AU31" s="7"/>
      <c r="AV31" s="7"/>
      <c r="AW31" s="39">
        <f t="shared" ref="AW31:AW41" si="48"> if( AT31=1, if( AU31=1, if( AV31=1, 5, 3), if( AV31=1, 1, -3 ) ), if(AU31=1,if(AV31=1, -1, -2 ), if(AV31=1, 7, 0 ) ) )</f>
        <v>0</v>
      </c>
      <c r="AX31" s="7"/>
      <c r="AY31" s="7"/>
      <c r="AZ31" s="7"/>
      <c r="BA31" s="39">
        <f t="shared" ref="BA31:BA41" si="49"> if( AX31=1, if( AY31=1, if( AZ31=1, 5, 3), if( AZ31=1, 1, -3 ) ), if(AY31=1,if(AZ31=1, -1, -2 ), if(AZ31=1, 7, 0 ) ) )</f>
        <v>0</v>
      </c>
      <c r="BB31" s="7"/>
      <c r="BC31" s="7"/>
      <c r="BD31" s="7"/>
      <c r="BE31" s="39">
        <f t="shared" ref="BE31:BE41" si="50"> if( BB31=1, if( BC31=1, if( BD31=1, 5, 3), if( BD31=1, 1, -3 ) ), if(BC31=1,if(BD31=1, -1, -2 ), if(BD31=1, 7, 0 ) ) )</f>
        <v>0</v>
      </c>
      <c r="BF31" s="7"/>
      <c r="BG31" s="7"/>
      <c r="BH31" s="7"/>
      <c r="BI31" s="39">
        <f t="shared" ref="BI31:BI41" si="51"> if( BF31=1, if( BG31=1, if( BH31=1, 5, 3), if( BH31=1, 1, -3 ) ), if(BG31=1,if(BH31=1, -1, -2 ), if(BH31=1, 7, 0 ) ) )</f>
        <v>0</v>
      </c>
      <c r="BJ31" s="7"/>
      <c r="BK31" s="7"/>
      <c r="BL31" s="7"/>
      <c r="BM31" s="39">
        <f t="shared" ref="BM31:BM41" si="52"> if( BJ31=1, if( BK31=1, if( BL31=1, 5, 3), if( BL31=1, 1, -3 ) ), if(BK31=1,if(BL31=1, -1, -2 ), if(BL31=1, 7, 0 ) ) )</f>
        <v>0</v>
      </c>
      <c r="BN31" s="7"/>
      <c r="BO31" s="7"/>
      <c r="BP31" s="7"/>
      <c r="BQ31" s="39">
        <f t="shared" ref="BQ31:BQ41" si="53"> if( BN31=1, if( BO31=1, if( BP31=1, 5, 3), if( BP31=1, 1, -3 ) ), if(BO31=1,if(BP31=1, -1, -2 ), if(BP31=1, 7, 0 ) ) )</f>
        <v>0</v>
      </c>
      <c r="BR31" s="7"/>
      <c r="BS31" s="7"/>
      <c r="BT31" s="7"/>
      <c r="BU31" s="39">
        <f t="shared" ref="BU31:BU41" si="54"> if( BR31=1, if( BS31=1, if( BT31=1, 5, 3), if( BT31=1, 1, -3 ) ), if(BS31=1,if(BT31=1, -1, -2 ), if(BT31=1, 7, 0 ) ) )</f>
        <v>0</v>
      </c>
      <c r="BV31" s="7"/>
      <c r="BW31" s="7"/>
      <c r="BX31" s="7"/>
      <c r="BY31" s="39">
        <f t="shared" ref="BY31:BY41" si="55"> if( BV31=1, if( BW31=1, if( BX31=1, 5, 3), if( BX31=1, 1, -3 ) ), if(BW31=1,if(BX31=1, -1, -2 ), if(BX31=1, 7, 0 ) ) )</f>
        <v>0</v>
      </c>
      <c r="BZ31" s="7"/>
      <c r="CA31" s="7"/>
      <c r="CB31" s="7"/>
      <c r="CC31" s="39">
        <f t="shared" ref="CC31:CC41" si="56"> if( BZ31=1, if( CA31=1, if( CB31=1, 5, 3), if( CB31=1, 1, -3 ) ), if(CA31=1,if(CB31=1, -1, -2 ), if(CB31=1, 7, 0 ) ) )</f>
        <v>0</v>
      </c>
      <c r="CD31" s="7"/>
      <c r="CE31" s="7"/>
      <c r="CF31" s="7"/>
      <c r="CG31" s="39">
        <f t="shared" ref="CG31:CG41" si="57"> if( CD31=1, if( CE31=1, if( CF31=1, 5, 3), if( CF31=1, 1, -3 ) ), if(CE31=1,if(CF31=1, -1, -2 ), if(CF31=1, 7, 0 ) ) )</f>
        <v>0</v>
      </c>
      <c r="CH31" s="7"/>
      <c r="CI31" s="7"/>
      <c r="CJ31" s="7"/>
      <c r="CK31" s="39">
        <f t="shared" ref="CK31:CK41" si="58"> if( CH31=1, if( CI31=1, if( CJ31=1, 5, 3), if( CJ31=1, 1, -3 ) ), if(CI31=1,if(CJ31=1, -1, -2 ), if(CJ31=1, 7, 0 ) ) )</f>
        <v>0</v>
      </c>
      <c r="CL31" s="7"/>
      <c r="CM31" s="7"/>
      <c r="CN31" s="7"/>
      <c r="CO31" s="39">
        <f t="shared" si="24"/>
        <v>0</v>
      </c>
      <c r="CP31" s="7"/>
      <c r="CQ31" s="7"/>
      <c r="CR31" s="7"/>
      <c r="CS31" s="39">
        <f t="shared" si="25"/>
        <v>0</v>
      </c>
      <c r="CT31" s="7"/>
      <c r="CU31" s="7"/>
      <c r="CV31" s="7"/>
      <c r="CW31" s="39">
        <f t="shared" si="26"/>
        <v>0</v>
      </c>
      <c r="CX31" s="7"/>
      <c r="CY31" s="7"/>
      <c r="CZ31" s="7"/>
      <c r="DA31" s="39">
        <f t="shared" si="27"/>
        <v>0</v>
      </c>
      <c r="DB31" s="7"/>
      <c r="DC31" s="7"/>
      <c r="DD31" s="7"/>
      <c r="DE31" s="39">
        <f t="shared" si="28"/>
        <v>0</v>
      </c>
      <c r="DF31" s="7"/>
      <c r="DG31" s="7"/>
      <c r="DH31" s="7"/>
      <c r="DI31" s="39">
        <f t="shared" si="29"/>
        <v>0</v>
      </c>
      <c r="DJ31" s="7"/>
      <c r="DK31" s="7"/>
      <c r="DL31" s="7"/>
      <c r="DM31" s="39">
        <f t="shared" si="30"/>
        <v>0</v>
      </c>
      <c r="DN31" s="7"/>
      <c r="DO31" s="7"/>
      <c r="DP31" s="7"/>
      <c r="DQ31" s="39">
        <f t="shared" si="31"/>
        <v>0</v>
      </c>
      <c r="DR31" s="7"/>
      <c r="DS31" s="7"/>
      <c r="DT31" s="7"/>
      <c r="DU31" s="39">
        <f t="shared" si="32"/>
        <v>0</v>
      </c>
      <c r="DV31" s="7"/>
      <c r="DW31" s="7"/>
      <c r="DX31" s="7"/>
      <c r="DY31" s="39">
        <f t="shared" si="33"/>
        <v>0</v>
      </c>
      <c r="DZ31" s="7"/>
      <c r="EA31" s="7"/>
      <c r="EB31" s="7"/>
      <c r="EC31" s="39">
        <f t="shared" si="34"/>
        <v>0</v>
      </c>
      <c r="ED31" s="7"/>
      <c r="EE31" s="7"/>
      <c r="EF31" s="7"/>
      <c r="EG31" s="39">
        <f t="shared" si="35"/>
        <v>0</v>
      </c>
      <c r="EH31" s="7"/>
      <c r="EI31" s="7"/>
      <c r="EJ31" s="7"/>
      <c r="EK31" s="39">
        <f t="shared" si="36"/>
        <v>0</v>
      </c>
      <c r="EL31" s="7"/>
      <c r="EM31" s="7"/>
      <c r="EN31" s="7">
        <v>1.0</v>
      </c>
      <c r="EO31" s="39">
        <f t="shared" si="37"/>
        <v>7</v>
      </c>
    </row>
    <row r="32">
      <c r="A32" s="20" t="s">
        <v>97</v>
      </c>
      <c r="B32" s="21" t="s">
        <v>98</v>
      </c>
      <c r="C32" s="1">
        <f t="shared" si="1"/>
        <v>30</v>
      </c>
      <c r="D32" s="15">
        <f>VLOOKUP(A32,TDP!A:C,3,FALSE)</f>
        <v>0.13</v>
      </c>
      <c r="E32" s="37">
        <f t="shared" si="2"/>
        <v>7.91</v>
      </c>
      <c r="F32" s="161"/>
      <c r="G32" s="1"/>
      <c r="H32" s="1"/>
      <c r="I32" s="39">
        <f t="shared" si="38"/>
        <v>0</v>
      </c>
      <c r="J32" s="161"/>
      <c r="K32" s="1"/>
      <c r="L32" s="7">
        <v>1.0</v>
      </c>
      <c r="M32" s="39">
        <f t="shared" si="39"/>
        <v>7</v>
      </c>
      <c r="N32" s="1"/>
      <c r="O32" s="1"/>
      <c r="P32" s="1"/>
      <c r="Q32" s="39">
        <f t="shared" si="40"/>
        <v>0</v>
      </c>
      <c r="R32" s="1"/>
      <c r="S32" s="1"/>
      <c r="T32" s="1"/>
      <c r="U32" s="39">
        <f t="shared" si="41"/>
        <v>0</v>
      </c>
      <c r="V32" s="1"/>
      <c r="W32" s="1"/>
      <c r="X32" s="1"/>
      <c r="Y32" s="39">
        <f t="shared" si="42"/>
        <v>0</v>
      </c>
      <c r="Z32" s="1"/>
      <c r="AA32" s="1"/>
      <c r="AB32" s="1"/>
      <c r="AC32" s="39">
        <f t="shared" si="43"/>
        <v>0</v>
      </c>
      <c r="AD32" s="7"/>
      <c r="AE32" s="7"/>
      <c r="AF32" s="7"/>
      <c r="AG32" s="39">
        <f t="shared" si="44"/>
        <v>0</v>
      </c>
      <c r="AH32" s="7"/>
      <c r="AI32" s="7"/>
      <c r="AJ32" s="7"/>
      <c r="AK32" s="39">
        <f t="shared" si="45"/>
        <v>0</v>
      </c>
      <c r="AL32" s="4"/>
      <c r="AM32" s="7"/>
      <c r="AN32" s="7"/>
      <c r="AO32" s="39">
        <f t="shared" si="46"/>
        <v>0</v>
      </c>
      <c r="AP32" s="7"/>
      <c r="AQ32" s="7"/>
      <c r="AR32" s="7"/>
      <c r="AS32" s="39">
        <f t="shared" si="47"/>
        <v>0</v>
      </c>
      <c r="AT32" s="7"/>
      <c r="AU32" s="7"/>
      <c r="AV32" s="7"/>
      <c r="AW32" s="39">
        <f t="shared" si="48"/>
        <v>0</v>
      </c>
      <c r="AX32" s="7"/>
      <c r="AY32" s="7"/>
      <c r="AZ32" s="7"/>
      <c r="BA32" s="39">
        <f t="shared" si="49"/>
        <v>0</v>
      </c>
      <c r="BB32" s="7"/>
      <c r="BC32" s="7"/>
      <c r="BD32" s="7"/>
      <c r="BE32" s="39">
        <f t="shared" si="50"/>
        <v>0</v>
      </c>
      <c r="BF32" s="7"/>
      <c r="BG32" s="7"/>
      <c r="BH32" s="7"/>
      <c r="BI32" s="39">
        <f t="shared" si="51"/>
        <v>0</v>
      </c>
      <c r="BJ32" s="7"/>
      <c r="BK32" s="7"/>
      <c r="BL32" s="7"/>
      <c r="BM32" s="39">
        <f t="shared" si="52"/>
        <v>0</v>
      </c>
      <c r="BN32" s="7"/>
      <c r="BO32" s="7"/>
      <c r="BP32" s="7"/>
      <c r="BQ32" s="39">
        <f t="shared" si="53"/>
        <v>0</v>
      </c>
      <c r="BR32" s="7"/>
      <c r="BS32" s="7"/>
      <c r="BT32" s="7"/>
      <c r="BU32" s="39">
        <f t="shared" si="54"/>
        <v>0</v>
      </c>
      <c r="BV32" s="7"/>
      <c r="BW32" s="7"/>
      <c r="BX32" s="7"/>
      <c r="BY32" s="39">
        <f t="shared" si="55"/>
        <v>0</v>
      </c>
      <c r="BZ32" s="7"/>
      <c r="CA32" s="7"/>
      <c r="CB32" s="7"/>
      <c r="CC32" s="39">
        <f t="shared" si="56"/>
        <v>0</v>
      </c>
      <c r="CD32" s="7"/>
      <c r="CE32" s="7"/>
      <c r="CF32" s="7"/>
      <c r="CG32" s="39">
        <f t="shared" si="57"/>
        <v>0</v>
      </c>
      <c r="CH32" s="7"/>
      <c r="CI32" s="7"/>
      <c r="CJ32" s="7"/>
      <c r="CK32" s="39">
        <f t="shared" si="58"/>
        <v>0</v>
      </c>
      <c r="CL32" s="7"/>
      <c r="CM32" s="7"/>
      <c r="CN32" s="7"/>
      <c r="CO32" s="39">
        <f t="shared" si="24"/>
        <v>0</v>
      </c>
      <c r="CP32" s="7"/>
      <c r="CQ32" s="7"/>
      <c r="CR32" s="7"/>
      <c r="CS32" s="39">
        <f t="shared" si="25"/>
        <v>0</v>
      </c>
      <c r="CT32" s="7"/>
      <c r="CU32" s="7"/>
      <c r="CV32" s="7"/>
      <c r="CW32" s="39">
        <f t="shared" si="26"/>
        <v>0</v>
      </c>
      <c r="CX32" s="7"/>
      <c r="CY32" s="7"/>
      <c r="CZ32" s="7"/>
      <c r="DA32" s="39">
        <f t="shared" si="27"/>
        <v>0</v>
      </c>
      <c r="DB32" s="7"/>
      <c r="DC32" s="7"/>
      <c r="DD32" s="7"/>
      <c r="DE32" s="39">
        <f t="shared" si="28"/>
        <v>0</v>
      </c>
      <c r="DF32" s="7"/>
      <c r="DG32" s="7"/>
      <c r="DH32" s="7"/>
      <c r="DI32" s="39">
        <f t="shared" si="29"/>
        <v>0</v>
      </c>
      <c r="DJ32" s="7"/>
      <c r="DK32" s="7"/>
      <c r="DL32" s="7"/>
      <c r="DM32" s="39">
        <f t="shared" si="30"/>
        <v>0</v>
      </c>
      <c r="DN32" s="7"/>
      <c r="DO32" s="7"/>
      <c r="DP32" s="7"/>
      <c r="DQ32" s="39">
        <f t="shared" si="31"/>
        <v>0</v>
      </c>
      <c r="DR32" s="7"/>
      <c r="DS32" s="7"/>
      <c r="DT32" s="7"/>
      <c r="DU32" s="39">
        <f t="shared" si="32"/>
        <v>0</v>
      </c>
      <c r="DV32" s="7"/>
      <c r="DW32" s="7"/>
      <c r="DX32" s="7"/>
      <c r="DY32" s="39">
        <f t="shared" si="33"/>
        <v>0</v>
      </c>
      <c r="DZ32" s="7"/>
      <c r="EA32" s="7"/>
      <c r="EB32" s="7"/>
      <c r="EC32" s="39">
        <f t="shared" si="34"/>
        <v>0</v>
      </c>
      <c r="ED32" s="7"/>
      <c r="EE32" s="7"/>
      <c r="EF32" s="7"/>
      <c r="EG32" s="39">
        <f t="shared" si="35"/>
        <v>0</v>
      </c>
      <c r="EH32" s="7"/>
      <c r="EI32" s="7"/>
      <c r="EJ32" s="7"/>
      <c r="EK32" s="39">
        <f t="shared" si="36"/>
        <v>0</v>
      </c>
      <c r="EL32" s="7"/>
      <c r="EM32" s="7"/>
      <c r="EN32" s="7"/>
      <c r="EO32" s="39">
        <f t="shared" si="37"/>
        <v>0</v>
      </c>
    </row>
    <row r="33">
      <c r="A33" s="20" t="s">
        <v>42</v>
      </c>
      <c r="B33" s="21" t="s">
        <v>124</v>
      </c>
      <c r="C33" s="1">
        <f t="shared" si="1"/>
        <v>31</v>
      </c>
      <c r="D33" s="15">
        <f>VLOOKUP(A33,TDP!A:C,3,FALSE)</f>
        <v>0.17</v>
      </c>
      <c r="E33" s="37">
        <f t="shared" si="2"/>
        <v>5.85</v>
      </c>
      <c r="F33" s="4"/>
      <c r="G33" s="7"/>
      <c r="H33" s="7"/>
      <c r="I33" s="39">
        <f t="shared" si="38"/>
        <v>0</v>
      </c>
      <c r="J33" s="4">
        <v>1.0</v>
      </c>
      <c r="K33" s="7">
        <v>1.0</v>
      </c>
      <c r="L33" s="7">
        <v>1.0</v>
      </c>
      <c r="M33" s="39">
        <f t="shared" si="39"/>
        <v>5</v>
      </c>
      <c r="N33" s="1"/>
      <c r="O33" s="1"/>
      <c r="P33" s="1"/>
      <c r="Q33" s="39">
        <f t="shared" si="40"/>
        <v>0</v>
      </c>
      <c r="R33" s="1"/>
      <c r="S33" s="1"/>
      <c r="T33" s="1"/>
      <c r="U33" s="39">
        <f t="shared" si="41"/>
        <v>0</v>
      </c>
      <c r="V33" s="1"/>
      <c r="W33" s="1"/>
      <c r="X33" s="1"/>
      <c r="Y33" s="39">
        <f t="shared" si="42"/>
        <v>0</v>
      </c>
      <c r="Z33" s="1"/>
      <c r="AA33" s="1"/>
      <c r="AB33" s="1"/>
      <c r="AC33" s="39">
        <f t="shared" si="43"/>
        <v>0</v>
      </c>
      <c r="AD33" s="7"/>
      <c r="AE33" s="7"/>
      <c r="AF33" s="7"/>
      <c r="AG33" s="39">
        <f t="shared" si="44"/>
        <v>0</v>
      </c>
      <c r="AH33" s="7"/>
      <c r="AI33" s="7"/>
      <c r="AJ33" s="7"/>
      <c r="AK33" s="39">
        <f t="shared" si="45"/>
        <v>0</v>
      </c>
      <c r="AL33" s="4"/>
      <c r="AM33" s="7"/>
      <c r="AN33" s="7"/>
      <c r="AO33" s="39">
        <f t="shared" si="46"/>
        <v>0</v>
      </c>
      <c r="AP33" s="7"/>
      <c r="AQ33" s="7"/>
      <c r="AR33" s="7"/>
      <c r="AS33" s="39">
        <f t="shared" si="47"/>
        <v>0</v>
      </c>
      <c r="AT33" s="7"/>
      <c r="AU33" s="7"/>
      <c r="AV33" s="7"/>
      <c r="AW33" s="39">
        <f t="shared" si="48"/>
        <v>0</v>
      </c>
      <c r="AX33" s="7"/>
      <c r="AY33" s="7"/>
      <c r="AZ33" s="7"/>
      <c r="BA33" s="39">
        <f t="shared" si="49"/>
        <v>0</v>
      </c>
      <c r="BB33" s="7"/>
      <c r="BC33" s="7"/>
      <c r="BD33" s="7"/>
      <c r="BE33" s="39">
        <f t="shared" si="50"/>
        <v>0</v>
      </c>
      <c r="BF33" s="7"/>
      <c r="BG33" s="7"/>
      <c r="BH33" s="7"/>
      <c r="BI33" s="39">
        <f t="shared" si="51"/>
        <v>0</v>
      </c>
      <c r="BJ33" s="7"/>
      <c r="BK33" s="7"/>
      <c r="BL33" s="7"/>
      <c r="BM33" s="39">
        <f t="shared" si="52"/>
        <v>0</v>
      </c>
      <c r="BN33" s="7"/>
      <c r="BO33" s="7"/>
      <c r="BP33" s="7"/>
      <c r="BQ33" s="39">
        <f t="shared" si="53"/>
        <v>0</v>
      </c>
      <c r="BR33" s="7"/>
      <c r="BS33" s="7"/>
      <c r="BT33" s="7"/>
      <c r="BU33" s="39">
        <f t="shared" si="54"/>
        <v>0</v>
      </c>
      <c r="BV33" s="7"/>
      <c r="BW33" s="7"/>
      <c r="BX33" s="7"/>
      <c r="BY33" s="39">
        <f t="shared" si="55"/>
        <v>0</v>
      </c>
      <c r="BZ33" s="7"/>
      <c r="CA33" s="7"/>
      <c r="CB33" s="7"/>
      <c r="CC33" s="39">
        <f t="shared" si="56"/>
        <v>0</v>
      </c>
      <c r="CD33" s="7"/>
      <c r="CE33" s="7"/>
      <c r="CF33" s="7"/>
      <c r="CG33" s="39">
        <f t="shared" si="57"/>
        <v>0</v>
      </c>
      <c r="CH33" s="7"/>
      <c r="CI33" s="7"/>
      <c r="CJ33" s="7"/>
      <c r="CK33" s="39">
        <f t="shared" si="58"/>
        <v>0</v>
      </c>
      <c r="CL33" s="7"/>
      <c r="CM33" s="7"/>
      <c r="CN33" s="7"/>
      <c r="CO33" s="39">
        <f t="shared" si="24"/>
        <v>0</v>
      </c>
      <c r="CP33" s="7"/>
      <c r="CQ33" s="7"/>
      <c r="CR33" s="7"/>
      <c r="CS33" s="39">
        <f t="shared" si="25"/>
        <v>0</v>
      </c>
      <c r="CT33" s="7"/>
      <c r="CU33" s="7"/>
      <c r="CV33" s="7"/>
      <c r="CW33" s="39">
        <f t="shared" si="26"/>
        <v>0</v>
      </c>
      <c r="CX33" s="7"/>
      <c r="CY33" s="7"/>
      <c r="CZ33" s="7"/>
      <c r="DA33" s="39">
        <f t="shared" si="27"/>
        <v>0</v>
      </c>
      <c r="DB33" s="7"/>
      <c r="DC33" s="7"/>
      <c r="DD33" s="7"/>
      <c r="DE33" s="39">
        <f t="shared" si="28"/>
        <v>0</v>
      </c>
      <c r="DF33" s="7"/>
      <c r="DG33" s="7"/>
      <c r="DH33" s="7"/>
      <c r="DI33" s="39">
        <f t="shared" si="29"/>
        <v>0</v>
      </c>
      <c r="DJ33" s="7"/>
      <c r="DK33" s="7"/>
      <c r="DL33" s="7"/>
      <c r="DM33" s="39">
        <f t="shared" si="30"/>
        <v>0</v>
      </c>
      <c r="DN33" s="7"/>
      <c r="DO33" s="7"/>
      <c r="DP33" s="7"/>
      <c r="DQ33" s="39">
        <f t="shared" si="31"/>
        <v>0</v>
      </c>
      <c r="DR33" s="7"/>
      <c r="DS33" s="7"/>
      <c r="DT33" s="7"/>
      <c r="DU33" s="39">
        <f t="shared" si="32"/>
        <v>0</v>
      </c>
      <c r="DV33" s="7"/>
      <c r="DW33" s="7"/>
      <c r="DX33" s="7"/>
      <c r="DY33" s="39">
        <f t="shared" si="33"/>
        <v>0</v>
      </c>
      <c r="DZ33" s="7"/>
      <c r="EA33" s="7"/>
      <c r="EB33" s="7"/>
      <c r="EC33" s="39">
        <f t="shared" si="34"/>
        <v>0</v>
      </c>
      <c r="ED33" s="7"/>
      <c r="EE33" s="7"/>
      <c r="EF33" s="7"/>
      <c r="EG33" s="39">
        <f t="shared" si="35"/>
        <v>0</v>
      </c>
      <c r="EH33" s="7"/>
      <c r="EI33" s="7"/>
      <c r="EJ33" s="7"/>
      <c r="EK33" s="39">
        <f t="shared" si="36"/>
        <v>0</v>
      </c>
      <c r="EL33" s="7"/>
      <c r="EM33" s="7"/>
      <c r="EN33" s="7"/>
      <c r="EO33" s="39">
        <f t="shared" si="37"/>
        <v>0</v>
      </c>
    </row>
    <row r="34">
      <c r="A34" s="20" t="s">
        <v>94</v>
      </c>
      <c r="B34" s="21"/>
      <c r="C34" s="1">
        <f t="shared" si="1"/>
        <v>32</v>
      </c>
      <c r="D34" s="15">
        <f>VLOOKUP(A34,TDP!A:C,3,FALSE)</f>
        <v>0.12</v>
      </c>
      <c r="E34" s="37">
        <f t="shared" si="2"/>
        <v>0</v>
      </c>
      <c r="F34" s="161"/>
      <c r="G34" s="1"/>
      <c r="H34" s="1"/>
      <c r="I34" s="39">
        <f t="shared" si="38"/>
        <v>0</v>
      </c>
      <c r="J34" s="161"/>
      <c r="K34" s="1"/>
      <c r="L34" s="1"/>
      <c r="M34" s="39">
        <f t="shared" si="39"/>
        <v>0</v>
      </c>
      <c r="N34" s="1"/>
      <c r="O34" s="1"/>
      <c r="P34" s="1"/>
      <c r="Q34" s="39">
        <f t="shared" si="40"/>
        <v>0</v>
      </c>
      <c r="R34" s="1"/>
      <c r="S34" s="1"/>
      <c r="T34" s="1"/>
      <c r="U34" s="39">
        <f t="shared" si="41"/>
        <v>0</v>
      </c>
      <c r="V34" s="1"/>
      <c r="W34" s="1"/>
      <c r="X34" s="1"/>
      <c r="Y34" s="39">
        <f t="shared" si="42"/>
        <v>0</v>
      </c>
      <c r="Z34" s="1"/>
      <c r="AA34" s="1"/>
      <c r="AB34" s="1"/>
      <c r="AC34" s="39">
        <f t="shared" si="43"/>
        <v>0</v>
      </c>
      <c r="AD34" s="7"/>
      <c r="AE34" s="7"/>
      <c r="AF34" s="7"/>
      <c r="AG34" s="39">
        <f t="shared" si="44"/>
        <v>0</v>
      </c>
      <c r="AH34" s="7"/>
      <c r="AI34" s="7"/>
      <c r="AJ34" s="7"/>
      <c r="AK34" s="39">
        <f t="shared" si="45"/>
        <v>0</v>
      </c>
      <c r="AL34" s="4"/>
      <c r="AM34" s="7"/>
      <c r="AN34" s="7"/>
      <c r="AO34" s="39">
        <f t="shared" si="46"/>
        <v>0</v>
      </c>
      <c r="AP34" s="7"/>
      <c r="AQ34" s="7"/>
      <c r="AR34" s="7"/>
      <c r="AS34" s="39">
        <f t="shared" si="47"/>
        <v>0</v>
      </c>
      <c r="AT34" s="7"/>
      <c r="AU34" s="7"/>
      <c r="AV34" s="7"/>
      <c r="AW34" s="39">
        <f t="shared" si="48"/>
        <v>0</v>
      </c>
      <c r="AX34" s="7"/>
      <c r="AY34" s="7"/>
      <c r="AZ34" s="7"/>
      <c r="BA34" s="39">
        <f t="shared" si="49"/>
        <v>0</v>
      </c>
      <c r="BB34" s="7"/>
      <c r="BC34" s="7"/>
      <c r="BD34" s="7"/>
      <c r="BE34" s="39">
        <f t="shared" si="50"/>
        <v>0</v>
      </c>
      <c r="BF34" s="7"/>
      <c r="BG34" s="7"/>
      <c r="BH34" s="7"/>
      <c r="BI34" s="39">
        <f t="shared" si="51"/>
        <v>0</v>
      </c>
      <c r="BJ34" s="7"/>
      <c r="BK34" s="7"/>
      <c r="BL34" s="7"/>
      <c r="BM34" s="39">
        <f t="shared" si="52"/>
        <v>0</v>
      </c>
      <c r="BN34" s="7"/>
      <c r="BO34" s="7"/>
      <c r="BP34" s="7"/>
      <c r="BQ34" s="39">
        <f t="shared" si="53"/>
        <v>0</v>
      </c>
      <c r="BR34" s="7"/>
      <c r="BS34" s="7"/>
      <c r="BT34" s="7"/>
      <c r="BU34" s="39">
        <f t="shared" si="54"/>
        <v>0</v>
      </c>
      <c r="BV34" s="7"/>
      <c r="BW34" s="7"/>
      <c r="BX34" s="7"/>
      <c r="BY34" s="39">
        <f t="shared" si="55"/>
        <v>0</v>
      </c>
      <c r="BZ34" s="7"/>
      <c r="CA34" s="7"/>
      <c r="CB34" s="7"/>
      <c r="CC34" s="39">
        <f t="shared" si="56"/>
        <v>0</v>
      </c>
      <c r="CD34" s="7"/>
      <c r="CE34" s="7"/>
      <c r="CF34" s="7"/>
      <c r="CG34" s="39">
        <f t="shared" si="57"/>
        <v>0</v>
      </c>
      <c r="CH34" s="7"/>
      <c r="CI34" s="7"/>
      <c r="CJ34" s="7"/>
      <c r="CK34" s="39">
        <f t="shared" si="58"/>
        <v>0</v>
      </c>
      <c r="CL34" s="7"/>
      <c r="CM34" s="7"/>
      <c r="CN34" s="7"/>
      <c r="CO34" s="39">
        <f t="shared" si="24"/>
        <v>0</v>
      </c>
      <c r="CP34" s="7"/>
      <c r="CQ34" s="7"/>
      <c r="CR34" s="7"/>
      <c r="CS34" s="39">
        <f t="shared" si="25"/>
        <v>0</v>
      </c>
      <c r="CT34" s="7"/>
      <c r="CU34" s="7"/>
      <c r="CV34" s="7"/>
      <c r="CW34" s="39">
        <f t="shared" si="26"/>
        <v>0</v>
      </c>
      <c r="CX34" s="7"/>
      <c r="CY34" s="7"/>
      <c r="CZ34" s="7"/>
      <c r="DA34" s="39">
        <f t="shared" si="27"/>
        <v>0</v>
      </c>
      <c r="DB34" s="7"/>
      <c r="DC34" s="7"/>
      <c r="DD34" s="7"/>
      <c r="DE34" s="39">
        <f t="shared" si="28"/>
        <v>0</v>
      </c>
      <c r="DF34" s="7"/>
      <c r="DG34" s="7"/>
      <c r="DH34" s="7"/>
      <c r="DI34" s="39">
        <f t="shared" si="29"/>
        <v>0</v>
      </c>
      <c r="DJ34" s="7"/>
      <c r="DK34" s="7"/>
      <c r="DL34" s="7"/>
      <c r="DM34" s="39">
        <f t="shared" si="30"/>
        <v>0</v>
      </c>
      <c r="DN34" s="7"/>
      <c r="DO34" s="7"/>
      <c r="DP34" s="7"/>
      <c r="DQ34" s="39">
        <f t="shared" si="31"/>
        <v>0</v>
      </c>
      <c r="DR34" s="7"/>
      <c r="DS34" s="7"/>
      <c r="DT34" s="7"/>
      <c r="DU34" s="39">
        <f t="shared" si="32"/>
        <v>0</v>
      </c>
      <c r="DV34" s="7"/>
      <c r="DW34" s="7"/>
      <c r="DX34" s="7"/>
      <c r="DY34" s="39">
        <f t="shared" si="33"/>
        <v>0</v>
      </c>
      <c r="DZ34" s="7"/>
      <c r="EA34" s="7"/>
      <c r="EB34" s="7"/>
      <c r="EC34" s="39">
        <f t="shared" si="34"/>
        <v>0</v>
      </c>
      <c r="ED34" s="7"/>
      <c r="EE34" s="7"/>
      <c r="EF34" s="7"/>
      <c r="EG34" s="39">
        <f t="shared" si="35"/>
        <v>0</v>
      </c>
      <c r="EH34" s="7"/>
      <c r="EI34" s="7"/>
      <c r="EJ34" s="7"/>
      <c r="EK34" s="39">
        <f t="shared" si="36"/>
        <v>0</v>
      </c>
      <c r="EL34" s="7"/>
      <c r="EM34" s="7"/>
      <c r="EN34" s="7"/>
      <c r="EO34" s="39">
        <f t="shared" si="37"/>
        <v>0</v>
      </c>
    </row>
    <row r="35">
      <c r="A35" s="20" t="s">
        <v>99</v>
      </c>
      <c r="B35" s="21"/>
      <c r="C35" s="1">
        <f t="shared" si="1"/>
        <v>33</v>
      </c>
      <c r="D35" s="15">
        <f>VLOOKUP(A35,TDP!A:C,3,FALSE)</f>
        <v>0.1</v>
      </c>
      <c r="E35" s="37">
        <f t="shared" si="2"/>
        <v>0</v>
      </c>
      <c r="F35" s="161"/>
      <c r="G35" s="1"/>
      <c r="H35" s="1"/>
      <c r="I35" s="39">
        <f t="shared" si="38"/>
        <v>0</v>
      </c>
      <c r="J35" s="161"/>
      <c r="K35" s="1"/>
      <c r="L35" s="1"/>
      <c r="M35" s="39">
        <f t="shared" si="39"/>
        <v>0</v>
      </c>
      <c r="N35" s="1"/>
      <c r="O35" s="1"/>
      <c r="P35" s="1"/>
      <c r="Q35" s="39">
        <f t="shared" si="40"/>
        <v>0</v>
      </c>
      <c r="R35" s="1"/>
      <c r="S35" s="1"/>
      <c r="T35" s="1"/>
      <c r="U35" s="39">
        <f t="shared" si="41"/>
        <v>0</v>
      </c>
      <c r="V35" s="1"/>
      <c r="W35" s="1"/>
      <c r="X35" s="1"/>
      <c r="Y35" s="39">
        <f t="shared" si="42"/>
        <v>0</v>
      </c>
      <c r="Z35" s="1"/>
      <c r="AA35" s="1"/>
      <c r="AB35" s="1"/>
      <c r="AC35" s="39">
        <f t="shared" si="43"/>
        <v>0</v>
      </c>
      <c r="AD35" s="7"/>
      <c r="AE35" s="7"/>
      <c r="AF35" s="7"/>
      <c r="AG35" s="39">
        <f t="shared" si="44"/>
        <v>0</v>
      </c>
      <c r="AH35" s="7"/>
      <c r="AI35" s="7"/>
      <c r="AJ35" s="7"/>
      <c r="AK35" s="39">
        <f t="shared" si="45"/>
        <v>0</v>
      </c>
      <c r="AL35" s="4"/>
      <c r="AM35" s="7"/>
      <c r="AN35" s="7"/>
      <c r="AO35" s="39">
        <f t="shared" si="46"/>
        <v>0</v>
      </c>
      <c r="AP35" s="7"/>
      <c r="AQ35" s="7"/>
      <c r="AR35" s="7"/>
      <c r="AS35" s="39">
        <f t="shared" si="47"/>
        <v>0</v>
      </c>
      <c r="AT35" s="7"/>
      <c r="AU35" s="7"/>
      <c r="AV35" s="7"/>
      <c r="AW35" s="39">
        <f t="shared" si="48"/>
        <v>0</v>
      </c>
      <c r="AX35" s="7"/>
      <c r="AY35" s="7"/>
      <c r="AZ35" s="7"/>
      <c r="BA35" s="39">
        <f t="shared" si="49"/>
        <v>0</v>
      </c>
      <c r="BB35" s="7"/>
      <c r="BC35" s="7"/>
      <c r="BD35" s="7"/>
      <c r="BE35" s="39">
        <f t="shared" si="50"/>
        <v>0</v>
      </c>
      <c r="BF35" s="7"/>
      <c r="BG35" s="7"/>
      <c r="BH35" s="7"/>
      <c r="BI35" s="39">
        <f t="shared" si="51"/>
        <v>0</v>
      </c>
      <c r="BJ35" s="7"/>
      <c r="BK35" s="7"/>
      <c r="BL35" s="7"/>
      <c r="BM35" s="39">
        <f t="shared" si="52"/>
        <v>0</v>
      </c>
      <c r="BN35" s="7"/>
      <c r="BO35" s="7"/>
      <c r="BP35" s="7"/>
      <c r="BQ35" s="39">
        <f t="shared" si="53"/>
        <v>0</v>
      </c>
      <c r="BR35" s="7"/>
      <c r="BS35" s="7"/>
      <c r="BT35" s="7"/>
      <c r="BU35" s="39">
        <f t="shared" si="54"/>
        <v>0</v>
      </c>
      <c r="BV35" s="7"/>
      <c r="BW35" s="7"/>
      <c r="BX35" s="7"/>
      <c r="BY35" s="39">
        <f t="shared" si="55"/>
        <v>0</v>
      </c>
      <c r="BZ35" s="7"/>
      <c r="CA35" s="7"/>
      <c r="CB35" s="7"/>
      <c r="CC35" s="39">
        <f t="shared" si="56"/>
        <v>0</v>
      </c>
      <c r="CD35" s="7"/>
      <c r="CE35" s="7"/>
      <c r="CF35" s="7"/>
      <c r="CG35" s="39">
        <f t="shared" si="57"/>
        <v>0</v>
      </c>
      <c r="CH35" s="7"/>
      <c r="CI35" s="7"/>
      <c r="CJ35" s="7"/>
      <c r="CK35" s="39">
        <f t="shared" si="58"/>
        <v>0</v>
      </c>
      <c r="CL35" s="7"/>
      <c r="CM35" s="7"/>
      <c r="CN35" s="7"/>
      <c r="CO35" s="39">
        <f t="shared" si="24"/>
        <v>0</v>
      </c>
      <c r="CP35" s="7"/>
      <c r="CQ35" s="7"/>
      <c r="CR35" s="7"/>
      <c r="CS35" s="39">
        <f t="shared" si="25"/>
        <v>0</v>
      </c>
      <c r="CT35" s="7"/>
      <c r="CU35" s="7"/>
      <c r="CV35" s="7"/>
      <c r="CW35" s="39">
        <f t="shared" si="26"/>
        <v>0</v>
      </c>
      <c r="CX35" s="7"/>
      <c r="CY35" s="7"/>
      <c r="CZ35" s="7"/>
      <c r="DA35" s="39">
        <f t="shared" si="27"/>
        <v>0</v>
      </c>
      <c r="DB35" s="7"/>
      <c r="DC35" s="7"/>
      <c r="DD35" s="7"/>
      <c r="DE35" s="39">
        <f t="shared" si="28"/>
        <v>0</v>
      </c>
      <c r="DF35" s="7"/>
      <c r="DG35" s="7"/>
      <c r="DH35" s="7"/>
      <c r="DI35" s="39">
        <f t="shared" si="29"/>
        <v>0</v>
      </c>
      <c r="DJ35" s="7"/>
      <c r="DK35" s="7"/>
      <c r="DL35" s="7"/>
      <c r="DM35" s="39">
        <f t="shared" si="30"/>
        <v>0</v>
      </c>
      <c r="DN35" s="7"/>
      <c r="DO35" s="7"/>
      <c r="DP35" s="7"/>
      <c r="DQ35" s="39">
        <f t="shared" si="31"/>
        <v>0</v>
      </c>
      <c r="DR35" s="7"/>
      <c r="DS35" s="7"/>
      <c r="DT35" s="7"/>
      <c r="DU35" s="39">
        <f t="shared" si="32"/>
        <v>0</v>
      </c>
      <c r="DV35" s="7"/>
      <c r="DW35" s="7"/>
      <c r="DX35" s="7"/>
      <c r="DY35" s="39">
        <f t="shared" si="33"/>
        <v>0</v>
      </c>
      <c r="DZ35" s="7"/>
      <c r="EA35" s="7"/>
      <c r="EB35" s="7"/>
      <c r="EC35" s="39">
        <f t="shared" si="34"/>
        <v>0</v>
      </c>
      <c r="ED35" s="7"/>
      <c r="EE35" s="7"/>
      <c r="EF35" s="7"/>
      <c r="EG35" s="39">
        <f t="shared" si="35"/>
        <v>0</v>
      </c>
      <c r="EH35" s="7"/>
      <c r="EI35" s="7"/>
      <c r="EJ35" s="7"/>
      <c r="EK35" s="39">
        <f t="shared" si="36"/>
        <v>0</v>
      </c>
      <c r="EL35" s="7"/>
      <c r="EM35" s="7"/>
      <c r="EN35" s="7"/>
      <c r="EO35" s="39">
        <f t="shared" si="37"/>
        <v>0</v>
      </c>
    </row>
    <row r="36">
      <c r="A36" s="20" t="s">
        <v>115</v>
      </c>
      <c r="B36" s="21" t="s">
        <v>116</v>
      </c>
      <c r="C36" s="1">
        <f t="shared" si="1"/>
        <v>34</v>
      </c>
      <c r="D36" s="15">
        <f>VLOOKUP(A36,TDP!A:C,3,FALSE)</f>
        <v>0.08</v>
      </c>
      <c r="E36" s="37">
        <f t="shared" si="2"/>
        <v>0</v>
      </c>
      <c r="F36" s="161"/>
      <c r="G36" s="1"/>
      <c r="H36" s="1"/>
      <c r="I36" s="39">
        <f t="shared" si="38"/>
        <v>0</v>
      </c>
      <c r="J36" s="161"/>
      <c r="K36" s="1"/>
      <c r="L36" s="1"/>
      <c r="M36" s="39">
        <f t="shared" si="39"/>
        <v>0</v>
      </c>
      <c r="N36" s="1"/>
      <c r="O36" s="1"/>
      <c r="P36" s="1"/>
      <c r="Q36" s="39">
        <f t="shared" si="40"/>
        <v>0</v>
      </c>
      <c r="R36" s="1"/>
      <c r="S36" s="1"/>
      <c r="T36" s="1"/>
      <c r="U36" s="39">
        <f t="shared" si="41"/>
        <v>0</v>
      </c>
      <c r="V36" s="1"/>
      <c r="W36" s="1"/>
      <c r="X36" s="1"/>
      <c r="Y36" s="39">
        <f t="shared" si="42"/>
        <v>0</v>
      </c>
      <c r="Z36" s="1"/>
      <c r="AA36" s="1"/>
      <c r="AB36" s="1"/>
      <c r="AC36" s="39">
        <f t="shared" si="43"/>
        <v>0</v>
      </c>
      <c r="AD36" s="7"/>
      <c r="AE36" s="7"/>
      <c r="AF36" s="7"/>
      <c r="AG36" s="39">
        <f t="shared" si="44"/>
        <v>0</v>
      </c>
      <c r="AH36" s="7"/>
      <c r="AI36" s="7"/>
      <c r="AJ36" s="7"/>
      <c r="AK36" s="39">
        <f t="shared" si="45"/>
        <v>0</v>
      </c>
      <c r="AL36" s="4"/>
      <c r="AM36" s="7"/>
      <c r="AN36" s="7"/>
      <c r="AO36" s="39">
        <f t="shared" si="46"/>
        <v>0</v>
      </c>
      <c r="AP36" s="7"/>
      <c r="AQ36" s="7"/>
      <c r="AR36" s="7"/>
      <c r="AS36" s="39">
        <f t="shared" si="47"/>
        <v>0</v>
      </c>
      <c r="AT36" s="7"/>
      <c r="AU36" s="7"/>
      <c r="AV36" s="7"/>
      <c r="AW36" s="39">
        <f t="shared" si="48"/>
        <v>0</v>
      </c>
      <c r="AX36" s="7"/>
      <c r="AY36" s="7"/>
      <c r="AZ36" s="7"/>
      <c r="BA36" s="39">
        <f t="shared" si="49"/>
        <v>0</v>
      </c>
      <c r="BB36" s="7"/>
      <c r="BC36" s="7"/>
      <c r="BD36" s="7"/>
      <c r="BE36" s="39">
        <f t="shared" si="50"/>
        <v>0</v>
      </c>
      <c r="BF36" s="7"/>
      <c r="BG36" s="7"/>
      <c r="BH36" s="7"/>
      <c r="BI36" s="39">
        <f t="shared" si="51"/>
        <v>0</v>
      </c>
      <c r="BJ36" s="7"/>
      <c r="BK36" s="7"/>
      <c r="BL36" s="7"/>
      <c r="BM36" s="39">
        <f t="shared" si="52"/>
        <v>0</v>
      </c>
      <c r="BN36" s="7"/>
      <c r="BO36" s="7"/>
      <c r="BP36" s="7"/>
      <c r="BQ36" s="39">
        <f t="shared" si="53"/>
        <v>0</v>
      </c>
      <c r="BR36" s="7"/>
      <c r="BS36" s="7"/>
      <c r="BT36" s="7"/>
      <c r="BU36" s="39">
        <f t="shared" si="54"/>
        <v>0</v>
      </c>
      <c r="BV36" s="7"/>
      <c r="BW36" s="7"/>
      <c r="BX36" s="7"/>
      <c r="BY36" s="39">
        <f t="shared" si="55"/>
        <v>0</v>
      </c>
      <c r="BZ36" s="7"/>
      <c r="CA36" s="7"/>
      <c r="CB36" s="7"/>
      <c r="CC36" s="39">
        <f t="shared" si="56"/>
        <v>0</v>
      </c>
      <c r="CD36" s="7"/>
      <c r="CE36" s="7"/>
      <c r="CF36" s="7"/>
      <c r="CG36" s="39">
        <f t="shared" si="57"/>
        <v>0</v>
      </c>
      <c r="CH36" s="7"/>
      <c r="CI36" s="7"/>
      <c r="CJ36" s="7"/>
      <c r="CK36" s="39">
        <f t="shared" si="58"/>
        <v>0</v>
      </c>
      <c r="CL36" s="7"/>
      <c r="CM36" s="7"/>
      <c r="CN36" s="7"/>
      <c r="CO36" s="39">
        <f t="shared" si="24"/>
        <v>0</v>
      </c>
      <c r="CP36" s="7"/>
      <c r="CQ36" s="7"/>
      <c r="CR36" s="7"/>
      <c r="CS36" s="39">
        <f t="shared" si="25"/>
        <v>0</v>
      </c>
      <c r="CT36" s="7"/>
      <c r="CU36" s="7"/>
      <c r="CV36" s="7"/>
      <c r="CW36" s="39">
        <f t="shared" si="26"/>
        <v>0</v>
      </c>
      <c r="CX36" s="7"/>
      <c r="CY36" s="7"/>
      <c r="CZ36" s="7"/>
      <c r="DA36" s="39">
        <f t="shared" si="27"/>
        <v>0</v>
      </c>
      <c r="DB36" s="7"/>
      <c r="DC36" s="7"/>
      <c r="DD36" s="7"/>
      <c r="DE36" s="39">
        <f t="shared" si="28"/>
        <v>0</v>
      </c>
      <c r="DF36" s="7"/>
      <c r="DG36" s="7"/>
      <c r="DH36" s="7"/>
      <c r="DI36" s="39">
        <f t="shared" si="29"/>
        <v>0</v>
      </c>
      <c r="DJ36" s="7"/>
      <c r="DK36" s="7"/>
      <c r="DL36" s="7"/>
      <c r="DM36" s="39">
        <f t="shared" si="30"/>
        <v>0</v>
      </c>
      <c r="DN36" s="7"/>
      <c r="DO36" s="7"/>
      <c r="DP36" s="7"/>
      <c r="DQ36" s="39">
        <f t="shared" si="31"/>
        <v>0</v>
      </c>
      <c r="DR36" s="7"/>
      <c r="DS36" s="7"/>
      <c r="DT36" s="7"/>
      <c r="DU36" s="39">
        <f t="shared" si="32"/>
        <v>0</v>
      </c>
      <c r="DV36" s="7"/>
      <c r="DW36" s="7"/>
      <c r="DX36" s="7"/>
      <c r="DY36" s="39">
        <f t="shared" si="33"/>
        <v>0</v>
      </c>
      <c r="DZ36" s="7"/>
      <c r="EA36" s="7"/>
      <c r="EB36" s="7"/>
      <c r="EC36" s="39">
        <f t="shared" si="34"/>
        <v>0</v>
      </c>
      <c r="ED36" s="7"/>
      <c r="EE36" s="7"/>
      <c r="EF36" s="7"/>
      <c r="EG36" s="39">
        <f t="shared" si="35"/>
        <v>0</v>
      </c>
      <c r="EH36" s="7"/>
      <c r="EI36" s="7"/>
      <c r="EJ36" s="7"/>
      <c r="EK36" s="39">
        <f t="shared" si="36"/>
        <v>0</v>
      </c>
      <c r="EL36" s="7"/>
      <c r="EM36" s="7"/>
      <c r="EN36" s="7"/>
      <c r="EO36" s="39">
        <f t="shared" si="37"/>
        <v>0</v>
      </c>
    </row>
    <row r="37">
      <c r="A37" s="20" t="s">
        <v>126</v>
      </c>
      <c r="B37" s="21"/>
      <c r="C37" s="1">
        <f t="shared" si="1"/>
        <v>35</v>
      </c>
      <c r="D37" s="15">
        <f>VLOOKUP(A37,TDP!A:C,3,FALSE)</f>
        <v>0.12</v>
      </c>
      <c r="E37" s="37">
        <f t="shared" si="2"/>
        <v>0</v>
      </c>
      <c r="F37" s="161"/>
      <c r="G37" s="1"/>
      <c r="H37" s="7"/>
      <c r="I37" s="39">
        <f t="shared" si="38"/>
        <v>0</v>
      </c>
      <c r="J37" s="161"/>
      <c r="K37" s="1"/>
      <c r="L37" s="1"/>
      <c r="M37" s="39">
        <f t="shared" si="39"/>
        <v>0</v>
      </c>
      <c r="N37" s="1"/>
      <c r="O37" s="1"/>
      <c r="P37" s="1"/>
      <c r="Q37" s="39">
        <f t="shared" si="40"/>
        <v>0</v>
      </c>
      <c r="R37" s="1"/>
      <c r="S37" s="1"/>
      <c r="T37" s="1"/>
      <c r="U37" s="39">
        <f t="shared" si="41"/>
        <v>0</v>
      </c>
      <c r="V37" s="1"/>
      <c r="W37" s="1"/>
      <c r="X37" s="1"/>
      <c r="Y37" s="39">
        <f t="shared" si="42"/>
        <v>0</v>
      </c>
      <c r="Z37" s="1"/>
      <c r="AA37" s="1"/>
      <c r="AB37" s="1"/>
      <c r="AC37" s="39">
        <f t="shared" si="43"/>
        <v>0</v>
      </c>
      <c r="AD37" s="7"/>
      <c r="AE37" s="7"/>
      <c r="AF37" s="7"/>
      <c r="AG37" s="39">
        <f t="shared" si="44"/>
        <v>0</v>
      </c>
      <c r="AH37" s="7"/>
      <c r="AI37" s="7"/>
      <c r="AJ37" s="7"/>
      <c r="AK37" s="39">
        <f t="shared" si="45"/>
        <v>0</v>
      </c>
      <c r="AL37" s="4"/>
      <c r="AM37" s="7"/>
      <c r="AN37" s="7"/>
      <c r="AO37" s="39">
        <f t="shared" si="46"/>
        <v>0</v>
      </c>
      <c r="AP37" s="7"/>
      <c r="AQ37" s="7"/>
      <c r="AR37" s="7"/>
      <c r="AS37" s="39">
        <f t="shared" si="47"/>
        <v>0</v>
      </c>
      <c r="AT37" s="7"/>
      <c r="AU37" s="7"/>
      <c r="AV37" s="7"/>
      <c r="AW37" s="39">
        <f t="shared" si="48"/>
        <v>0</v>
      </c>
      <c r="AX37" s="7"/>
      <c r="AY37" s="7"/>
      <c r="AZ37" s="7"/>
      <c r="BA37" s="39">
        <f t="shared" si="49"/>
        <v>0</v>
      </c>
      <c r="BB37" s="7"/>
      <c r="BC37" s="7"/>
      <c r="BD37" s="7"/>
      <c r="BE37" s="39">
        <f t="shared" si="50"/>
        <v>0</v>
      </c>
      <c r="BF37" s="7"/>
      <c r="BG37" s="7"/>
      <c r="BH37" s="7"/>
      <c r="BI37" s="39">
        <f t="shared" si="51"/>
        <v>0</v>
      </c>
      <c r="BJ37" s="7"/>
      <c r="BK37" s="7"/>
      <c r="BL37" s="7"/>
      <c r="BM37" s="39">
        <f t="shared" si="52"/>
        <v>0</v>
      </c>
      <c r="BN37" s="7"/>
      <c r="BO37" s="7"/>
      <c r="BP37" s="7"/>
      <c r="BQ37" s="39">
        <f t="shared" si="53"/>
        <v>0</v>
      </c>
      <c r="BR37" s="7"/>
      <c r="BS37" s="7"/>
      <c r="BT37" s="7"/>
      <c r="BU37" s="39">
        <f t="shared" si="54"/>
        <v>0</v>
      </c>
      <c r="BV37" s="7"/>
      <c r="BW37" s="7"/>
      <c r="BX37" s="7"/>
      <c r="BY37" s="39">
        <f t="shared" si="55"/>
        <v>0</v>
      </c>
      <c r="BZ37" s="7"/>
      <c r="CA37" s="7"/>
      <c r="CB37" s="7"/>
      <c r="CC37" s="39">
        <f t="shared" si="56"/>
        <v>0</v>
      </c>
      <c r="CD37" s="7"/>
      <c r="CE37" s="7"/>
      <c r="CF37" s="7"/>
      <c r="CG37" s="39">
        <f t="shared" si="57"/>
        <v>0</v>
      </c>
      <c r="CH37" s="7"/>
      <c r="CI37" s="7"/>
      <c r="CJ37" s="7"/>
      <c r="CK37" s="39">
        <f t="shared" si="58"/>
        <v>0</v>
      </c>
      <c r="CL37" s="7"/>
      <c r="CM37" s="7"/>
      <c r="CN37" s="7"/>
      <c r="CO37" s="39">
        <f t="shared" si="24"/>
        <v>0</v>
      </c>
      <c r="CP37" s="7"/>
      <c r="CQ37" s="7"/>
      <c r="CR37" s="7"/>
      <c r="CS37" s="39">
        <f t="shared" si="25"/>
        <v>0</v>
      </c>
      <c r="CT37" s="7"/>
      <c r="CU37" s="7"/>
      <c r="CV37" s="7"/>
      <c r="CW37" s="39">
        <f t="shared" si="26"/>
        <v>0</v>
      </c>
      <c r="CX37" s="7"/>
      <c r="CY37" s="7"/>
      <c r="CZ37" s="7"/>
      <c r="DA37" s="39">
        <f t="shared" si="27"/>
        <v>0</v>
      </c>
      <c r="DB37" s="7"/>
      <c r="DC37" s="7"/>
      <c r="DD37" s="7"/>
      <c r="DE37" s="39">
        <f t="shared" si="28"/>
        <v>0</v>
      </c>
      <c r="DF37" s="7"/>
      <c r="DG37" s="7"/>
      <c r="DH37" s="7"/>
      <c r="DI37" s="39">
        <f t="shared" si="29"/>
        <v>0</v>
      </c>
      <c r="DJ37" s="7"/>
      <c r="DK37" s="7"/>
      <c r="DL37" s="7"/>
      <c r="DM37" s="39">
        <f t="shared" si="30"/>
        <v>0</v>
      </c>
      <c r="DN37" s="7"/>
      <c r="DO37" s="7"/>
      <c r="DP37" s="7"/>
      <c r="DQ37" s="39">
        <f t="shared" si="31"/>
        <v>0</v>
      </c>
      <c r="DR37" s="7"/>
      <c r="DS37" s="7"/>
      <c r="DT37" s="7"/>
      <c r="DU37" s="39">
        <f t="shared" si="32"/>
        <v>0</v>
      </c>
      <c r="DV37" s="7"/>
      <c r="DW37" s="7"/>
      <c r="DX37" s="7"/>
      <c r="DY37" s="39">
        <f t="shared" si="33"/>
        <v>0</v>
      </c>
      <c r="DZ37" s="7"/>
      <c r="EA37" s="7"/>
      <c r="EB37" s="7"/>
      <c r="EC37" s="39">
        <f t="shared" si="34"/>
        <v>0</v>
      </c>
      <c r="ED37" s="7"/>
      <c r="EE37" s="7"/>
      <c r="EF37" s="7"/>
      <c r="EG37" s="39">
        <f t="shared" si="35"/>
        <v>0</v>
      </c>
      <c r="EH37" s="7"/>
      <c r="EI37" s="7"/>
      <c r="EJ37" s="7"/>
      <c r="EK37" s="39">
        <f t="shared" si="36"/>
        <v>0</v>
      </c>
      <c r="EL37" s="7"/>
      <c r="EM37" s="7"/>
      <c r="EN37" s="7"/>
      <c r="EO37" s="39">
        <f t="shared" si="37"/>
        <v>0</v>
      </c>
    </row>
    <row r="38">
      <c r="A38" s="20" t="s">
        <v>121</v>
      </c>
      <c r="B38" s="21"/>
      <c r="C38" s="1">
        <f t="shared" si="1"/>
        <v>36</v>
      </c>
      <c r="D38" s="15">
        <f>VLOOKUP(A38,TDP!A:C,3,FALSE)</f>
        <v>0.12</v>
      </c>
      <c r="E38" s="37">
        <f t="shared" si="2"/>
        <v>0</v>
      </c>
      <c r="F38" s="161"/>
      <c r="G38" s="1"/>
      <c r="H38" s="7"/>
      <c r="I38" s="39">
        <f t="shared" si="38"/>
        <v>0</v>
      </c>
      <c r="J38" s="161"/>
      <c r="K38" s="1"/>
      <c r="L38" s="1"/>
      <c r="M38" s="39">
        <f t="shared" si="39"/>
        <v>0</v>
      </c>
      <c r="N38" s="1"/>
      <c r="O38" s="1"/>
      <c r="P38" s="1"/>
      <c r="Q38" s="39">
        <f t="shared" si="40"/>
        <v>0</v>
      </c>
      <c r="R38" s="1"/>
      <c r="S38" s="1"/>
      <c r="T38" s="1"/>
      <c r="U38" s="39">
        <f t="shared" si="41"/>
        <v>0</v>
      </c>
      <c r="V38" s="1"/>
      <c r="W38" s="1"/>
      <c r="X38" s="1"/>
      <c r="Y38" s="39">
        <f t="shared" si="42"/>
        <v>0</v>
      </c>
      <c r="Z38" s="1"/>
      <c r="AA38" s="1"/>
      <c r="AB38" s="1"/>
      <c r="AC38" s="39">
        <f t="shared" si="43"/>
        <v>0</v>
      </c>
      <c r="AD38" s="7"/>
      <c r="AE38" s="7"/>
      <c r="AF38" s="7"/>
      <c r="AG38" s="39">
        <f t="shared" si="44"/>
        <v>0</v>
      </c>
      <c r="AH38" s="7"/>
      <c r="AI38" s="7"/>
      <c r="AJ38" s="7"/>
      <c r="AK38" s="39">
        <f t="shared" si="45"/>
        <v>0</v>
      </c>
      <c r="AL38" s="4"/>
      <c r="AM38" s="7"/>
      <c r="AN38" s="7"/>
      <c r="AO38" s="39">
        <f t="shared" si="46"/>
        <v>0</v>
      </c>
      <c r="AP38" s="7"/>
      <c r="AQ38" s="7"/>
      <c r="AR38" s="7"/>
      <c r="AS38" s="39">
        <f t="shared" si="47"/>
        <v>0</v>
      </c>
      <c r="AT38" s="7"/>
      <c r="AU38" s="7"/>
      <c r="AV38" s="7"/>
      <c r="AW38" s="39">
        <f t="shared" si="48"/>
        <v>0</v>
      </c>
      <c r="AX38" s="7"/>
      <c r="AY38" s="7"/>
      <c r="AZ38" s="7"/>
      <c r="BA38" s="39">
        <f t="shared" si="49"/>
        <v>0</v>
      </c>
      <c r="BB38" s="7"/>
      <c r="BC38" s="7"/>
      <c r="BD38" s="7"/>
      <c r="BE38" s="39">
        <f t="shared" si="50"/>
        <v>0</v>
      </c>
      <c r="BF38" s="7"/>
      <c r="BG38" s="7"/>
      <c r="BH38" s="7"/>
      <c r="BI38" s="39">
        <f t="shared" si="51"/>
        <v>0</v>
      </c>
      <c r="BJ38" s="7"/>
      <c r="BK38" s="7"/>
      <c r="BL38" s="7"/>
      <c r="BM38" s="39">
        <f t="shared" si="52"/>
        <v>0</v>
      </c>
      <c r="BN38" s="7"/>
      <c r="BO38" s="7"/>
      <c r="BP38" s="7"/>
      <c r="BQ38" s="39">
        <f t="shared" si="53"/>
        <v>0</v>
      </c>
      <c r="BR38" s="7"/>
      <c r="BS38" s="7"/>
      <c r="BT38" s="7"/>
      <c r="BU38" s="39">
        <f t="shared" si="54"/>
        <v>0</v>
      </c>
      <c r="BV38" s="7"/>
      <c r="BW38" s="7"/>
      <c r="BX38" s="7"/>
      <c r="BY38" s="39">
        <f t="shared" si="55"/>
        <v>0</v>
      </c>
      <c r="BZ38" s="7"/>
      <c r="CA38" s="7"/>
      <c r="CB38" s="7"/>
      <c r="CC38" s="39">
        <f t="shared" si="56"/>
        <v>0</v>
      </c>
      <c r="CD38" s="7"/>
      <c r="CE38" s="7"/>
      <c r="CF38" s="7"/>
      <c r="CG38" s="39">
        <f t="shared" si="57"/>
        <v>0</v>
      </c>
      <c r="CH38" s="7"/>
      <c r="CI38" s="7"/>
      <c r="CJ38" s="7"/>
      <c r="CK38" s="39">
        <f t="shared" si="58"/>
        <v>0</v>
      </c>
      <c r="CL38" s="7"/>
      <c r="CM38" s="7"/>
      <c r="CN38" s="7"/>
      <c r="CO38" s="39">
        <f t="shared" si="24"/>
        <v>0</v>
      </c>
      <c r="CP38" s="7"/>
      <c r="CQ38" s="7"/>
      <c r="CR38" s="7"/>
      <c r="CS38" s="39">
        <f t="shared" si="25"/>
        <v>0</v>
      </c>
      <c r="CT38" s="7"/>
      <c r="CU38" s="7"/>
      <c r="CV38" s="7"/>
      <c r="CW38" s="39">
        <f t="shared" si="26"/>
        <v>0</v>
      </c>
      <c r="CX38" s="7"/>
      <c r="CY38" s="7"/>
      <c r="CZ38" s="7"/>
      <c r="DA38" s="39">
        <f t="shared" si="27"/>
        <v>0</v>
      </c>
      <c r="DB38" s="7"/>
      <c r="DC38" s="7"/>
      <c r="DD38" s="7"/>
      <c r="DE38" s="39">
        <f t="shared" si="28"/>
        <v>0</v>
      </c>
      <c r="DF38" s="7"/>
      <c r="DG38" s="7"/>
      <c r="DH38" s="7"/>
      <c r="DI38" s="39">
        <f t="shared" si="29"/>
        <v>0</v>
      </c>
      <c r="DJ38" s="7"/>
      <c r="DK38" s="7"/>
      <c r="DL38" s="7"/>
      <c r="DM38" s="39">
        <f t="shared" si="30"/>
        <v>0</v>
      </c>
      <c r="DN38" s="7"/>
      <c r="DO38" s="7"/>
      <c r="DP38" s="7"/>
      <c r="DQ38" s="39">
        <f t="shared" si="31"/>
        <v>0</v>
      </c>
      <c r="DR38" s="7"/>
      <c r="DS38" s="7"/>
      <c r="DT38" s="7"/>
      <c r="DU38" s="39">
        <f t="shared" si="32"/>
        <v>0</v>
      </c>
      <c r="DV38" s="7"/>
      <c r="DW38" s="7"/>
      <c r="DX38" s="7"/>
      <c r="DY38" s="39">
        <f t="shared" si="33"/>
        <v>0</v>
      </c>
      <c r="DZ38" s="7"/>
      <c r="EA38" s="7"/>
      <c r="EB38" s="7"/>
      <c r="EC38" s="39">
        <f t="shared" si="34"/>
        <v>0</v>
      </c>
      <c r="ED38" s="7"/>
      <c r="EE38" s="7"/>
      <c r="EF38" s="7"/>
      <c r="EG38" s="39">
        <f t="shared" si="35"/>
        <v>0</v>
      </c>
      <c r="EH38" s="7"/>
      <c r="EI38" s="7"/>
      <c r="EJ38" s="7"/>
      <c r="EK38" s="39">
        <f t="shared" si="36"/>
        <v>0</v>
      </c>
      <c r="EL38" s="7"/>
      <c r="EM38" s="7"/>
      <c r="EN38" s="7"/>
      <c r="EO38" s="39">
        <f t="shared" si="37"/>
        <v>0</v>
      </c>
    </row>
    <row r="39">
      <c r="A39" s="20" t="s">
        <v>128</v>
      </c>
      <c r="B39" s="21"/>
      <c r="C39" s="1">
        <f t="shared" si="1"/>
        <v>37</v>
      </c>
      <c r="D39" s="1" t="str">
        <f>VLOOKUP(A39,TDP!A:C,3,FALSE)</f>
        <v>#N/A</v>
      </c>
      <c r="E39" s="37" t="str">
        <f t="shared" si="2"/>
        <v>#N/A</v>
      </c>
      <c r="F39" s="161"/>
      <c r="G39" s="1"/>
      <c r="H39" s="1"/>
      <c r="I39" s="39">
        <f t="shared" si="38"/>
        <v>0</v>
      </c>
      <c r="J39" s="161"/>
      <c r="K39" s="1"/>
      <c r="L39" s="1"/>
      <c r="M39" s="39">
        <f t="shared" si="39"/>
        <v>0</v>
      </c>
      <c r="N39" s="1"/>
      <c r="O39" s="1"/>
      <c r="P39" s="1"/>
      <c r="Q39" s="39">
        <f t="shared" si="40"/>
        <v>0</v>
      </c>
      <c r="R39" s="1"/>
      <c r="S39" s="1"/>
      <c r="T39" s="1"/>
      <c r="U39" s="39">
        <f t="shared" si="41"/>
        <v>0</v>
      </c>
      <c r="V39" s="1"/>
      <c r="W39" s="1"/>
      <c r="X39" s="1"/>
      <c r="Y39" s="39">
        <f t="shared" si="42"/>
        <v>0</v>
      </c>
      <c r="Z39" s="1"/>
      <c r="AA39" s="1"/>
      <c r="AB39" s="1"/>
      <c r="AC39" s="39">
        <f t="shared" si="43"/>
        <v>0</v>
      </c>
      <c r="AD39" s="7"/>
      <c r="AE39" s="7"/>
      <c r="AF39" s="7"/>
      <c r="AG39" s="39">
        <f t="shared" si="44"/>
        <v>0</v>
      </c>
      <c r="AH39" s="7"/>
      <c r="AI39" s="7"/>
      <c r="AJ39" s="7"/>
      <c r="AK39" s="39">
        <f t="shared" si="45"/>
        <v>0</v>
      </c>
      <c r="AL39" s="4"/>
      <c r="AM39" s="7"/>
      <c r="AN39" s="7"/>
      <c r="AO39" s="39">
        <f t="shared" si="46"/>
        <v>0</v>
      </c>
      <c r="AP39" s="7"/>
      <c r="AQ39" s="7"/>
      <c r="AR39" s="7"/>
      <c r="AS39" s="39">
        <f t="shared" si="47"/>
        <v>0</v>
      </c>
      <c r="AT39" s="7"/>
      <c r="AU39" s="7"/>
      <c r="AV39" s="7"/>
      <c r="AW39" s="39">
        <f t="shared" si="48"/>
        <v>0</v>
      </c>
      <c r="AX39" s="7"/>
      <c r="AY39" s="7"/>
      <c r="AZ39" s="7"/>
      <c r="BA39" s="39">
        <f t="shared" si="49"/>
        <v>0</v>
      </c>
      <c r="BB39" s="7"/>
      <c r="BC39" s="7"/>
      <c r="BD39" s="7"/>
      <c r="BE39" s="39">
        <f t="shared" si="50"/>
        <v>0</v>
      </c>
      <c r="BF39" s="7"/>
      <c r="BG39" s="7"/>
      <c r="BH39" s="7"/>
      <c r="BI39" s="39">
        <f t="shared" si="51"/>
        <v>0</v>
      </c>
      <c r="BJ39" s="7"/>
      <c r="BK39" s="7"/>
      <c r="BL39" s="7"/>
      <c r="BM39" s="39">
        <f t="shared" si="52"/>
        <v>0</v>
      </c>
      <c r="BN39" s="7"/>
      <c r="BO39" s="7"/>
      <c r="BP39" s="7"/>
      <c r="BQ39" s="39">
        <f t="shared" si="53"/>
        <v>0</v>
      </c>
      <c r="BR39" s="7"/>
      <c r="BS39" s="7"/>
      <c r="BT39" s="7"/>
      <c r="BU39" s="39">
        <f t="shared" si="54"/>
        <v>0</v>
      </c>
      <c r="BV39" s="7"/>
      <c r="BW39" s="7"/>
      <c r="BX39" s="7"/>
      <c r="BY39" s="39">
        <f t="shared" si="55"/>
        <v>0</v>
      </c>
      <c r="BZ39" s="7"/>
      <c r="CA39" s="7"/>
      <c r="CB39" s="7"/>
      <c r="CC39" s="39">
        <f t="shared" si="56"/>
        <v>0</v>
      </c>
      <c r="CD39" s="7"/>
      <c r="CE39" s="7"/>
      <c r="CF39" s="7"/>
      <c r="CG39" s="39">
        <f t="shared" si="57"/>
        <v>0</v>
      </c>
      <c r="CH39" s="7"/>
      <c r="CI39" s="7"/>
      <c r="CJ39" s="7"/>
      <c r="CK39" s="39">
        <f t="shared" si="58"/>
        <v>0</v>
      </c>
      <c r="CL39" s="7"/>
      <c r="CM39" s="7"/>
      <c r="CN39" s="7"/>
      <c r="CO39" s="39">
        <f t="shared" si="24"/>
        <v>0</v>
      </c>
      <c r="CP39" s="7"/>
      <c r="CQ39" s="7"/>
      <c r="CR39" s="7"/>
      <c r="CS39" s="39">
        <f t="shared" si="25"/>
        <v>0</v>
      </c>
      <c r="CT39" s="7"/>
      <c r="CU39" s="7"/>
      <c r="CV39" s="7"/>
      <c r="CW39" s="39">
        <f t="shared" si="26"/>
        <v>0</v>
      </c>
      <c r="CX39" s="7"/>
      <c r="CY39" s="7"/>
      <c r="CZ39" s="7"/>
      <c r="DA39" s="39">
        <f t="shared" si="27"/>
        <v>0</v>
      </c>
      <c r="DB39" s="7"/>
      <c r="DC39" s="7"/>
      <c r="DD39" s="7"/>
      <c r="DE39" s="39">
        <f t="shared" si="28"/>
        <v>0</v>
      </c>
      <c r="DF39" s="7"/>
      <c r="DG39" s="7"/>
      <c r="DH39" s="7"/>
      <c r="DI39" s="39">
        <f t="shared" si="29"/>
        <v>0</v>
      </c>
      <c r="DJ39" s="7"/>
      <c r="DK39" s="7"/>
      <c r="DL39" s="7"/>
      <c r="DM39" s="39">
        <f t="shared" si="30"/>
        <v>0</v>
      </c>
      <c r="DN39" s="7"/>
      <c r="DO39" s="7"/>
      <c r="DP39" s="7"/>
      <c r="DQ39" s="39">
        <f t="shared" si="31"/>
        <v>0</v>
      </c>
      <c r="DR39" s="7"/>
      <c r="DS39" s="7"/>
      <c r="DT39" s="7"/>
      <c r="DU39" s="39">
        <f t="shared" si="32"/>
        <v>0</v>
      </c>
      <c r="DV39" s="7"/>
      <c r="DW39" s="7"/>
      <c r="DX39" s="7"/>
      <c r="DY39" s="39">
        <f t="shared" si="33"/>
        <v>0</v>
      </c>
      <c r="DZ39" s="7"/>
      <c r="EA39" s="7"/>
      <c r="EB39" s="7"/>
      <c r="EC39" s="39">
        <f t="shared" si="34"/>
        <v>0</v>
      </c>
      <c r="ED39" s="7"/>
      <c r="EE39" s="7"/>
      <c r="EF39" s="7"/>
      <c r="EG39" s="39">
        <f t="shared" si="35"/>
        <v>0</v>
      </c>
      <c r="EH39" s="7"/>
      <c r="EI39" s="7"/>
      <c r="EJ39" s="7"/>
      <c r="EK39" s="39">
        <f t="shared" si="36"/>
        <v>0</v>
      </c>
      <c r="EL39" s="7"/>
      <c r="EM39" s="7"/>
      <c r="EN39" s="7"/>
      <c r="EO39" s="39">
        <f t="shared" si="37"/>
        <v>0</v>
      </c>
    </row>
    <row r="40">
      <c r="A40" s="20" t="s">
        <v>156</v>
      </c>
      <c r="B40" s="21"/>
      <c r="C40" s="1">
        <f t="shared" si="1"/>
        <v>38</v>
      </c>
      <c r="D40" s="1" t="str">
        <f>VLOOKUP(A40,TDP!A:C,3,FALSE)</f>
        <v>#N/A</v>
      </c>
      <c r="E40" s="37" t="str">
        <f t="shared" si="2"/>
        <v>#N/A</v>
      </c>
      <c r="F40" s="161"/>
      <c r="G40" s="1"/>
      <c r="H40" s="1"/>
      <c r="I40" s="39">
        <f t="shared" si="38"/>
        <v>0</v>
      </c>
      <c r="J40" s="161"/>
      <c r="K40" s="1"/>
      <c r="L40" s="1"/>
      <c r="M40" s="39">
        <f t="shared" si="39"/>
        <v>0</v>
      </c>
      <c r="N40" s="1"/>
      <c r="O40" s="1"/>
      <c r="P40" s="1"/>
      <c r="Q40" s="39">
        <f t="shared" si="40"/>
        <v>0</v>
      </c>
      <c r="R40" s="1"/>
      <c r="S40" s="1"/>
      <c r="T40" s="1"/>
      <c r="U40" s="39">
        <f t="shared" si="41"/>
        <v>0</v>
      </c>
      <c r="V40" s="1"/>
      <c r="W40" s="1"/>
      <c r="X40" s="1"/>
      <c r="Y40" s="39">
        <f t="shared" si="42"/>
        <v>0</v>
      </c>
      <c r="Z40" s="1"/>
      <c r="AA40" s="1"/>
      <c r="AB40" s="1"/>
      <c r="AC40" s="39">
        <f t="shared" si="43"/>
        <v>0</v>
      </c>
      <c r="AD40" s="7"/>
      <c r="AE40" s="7"/>
      <c r="AF40" s="7"/>
      <c r="AG40" s="39">
        <f t="shared" si="44"/>
        <v>0</v>
      </c>
      <c r="AH40" s="7"/>
      <c r="AI40" s="7"/>
      <c r="AJ40" s="7"/>
      <c r="AK40" s="39">
        <f t="shared" si="45"/>
        <v>0</v>
      </c>
      <c r="AL40" s="4"/>
      <c r="AM40" s="7"/>
      <c r="AN40" s="7"/>
      <c r="AO40" s="39">
        <f t="shared" si="46"/>
        <v>0</v>
      </c>
      <c r="AP40" s="7"/>
      <c r="AQ40" s="7"/>
      <c r="AR40" s="7"/>
      <c r="AS40" s="39">
        <f t="shared" si="47"/>
        <v>0</v>
      </c>
      <c r="AT40" s="7"/>
      <c r="AU40" s="7"/>
      <c r="AV40" s="7"/>
      <c r="AW40" s="39">
        <f t="shared" si="48"/>
        <v>0</v>
      </c>
      <c r="AX40" s="7"/>
      <c r="AY40" s="7"/>
      <c r="AZ40" s="7"/>
      <c r="BA40" s="39">
        <f t="shared" si="49"/>
        <v>0</v>
      </c>
      <c r="BB40" s="7"/>
      <c r="BC40" s="7"/>
      <c r="BD40" s="7"/>
      <c r="BE40" s="39">
        <f t="shared" si="50"/>
        <v>0</v>
      </c>
      <c r="BF40" s="7"/>
      <c r="BG40" s="7"/>
      <c r="BH40" s="7"/>
      <c r="BI40" s="39">
        <f t="shared" si="51"/>
        <v>0</v>
      </c>
      <c r="BJ40" s="7"/>
      <c r="BK40" s="7"/>
      <c r="BL40" s="7"/>
      <c r="BM40" s="39">
        <f t="shared" si="52"/>
        <v>0</v>
      </c>
      <c r="BN40" s="7"/>
      <c r="BO40" s="7"/>
      <c r="BP40" s="7"/>
      <c r="BQ40" s="39">
        <f t="shared" si="53"/>
        <v>0</v>
      </c>
      <c r="BR40" s="7"/>
      <c r="BS40" s="7"/>
      <c r="BT40" s="7"/>
      <c r="BU40" s="39">
        <f t="shared" si="54"/>
        <v>0</v>
      </c>
      <c r="BV40" s="7"/>
      <c r="BW40" s="7"/>
      <c r="BX40" s="7"/>
      <c r="BY40" s="39">
        <f t="shared" si="55"/>
        <v>0</v>
      </c>
      <c r="BZ40" s="7"/>
      <c r="CA40" s="7"/>
      <c r="CB40" s="7"/>
      <c r="CC40" s="39">
        <f t="shared" si="56"/>
        <v>0</v>
      </c>
      <c r="CD40" s="7"/>
      <c r="CE40" s="7"/>
      <c r="CF40" s="7"/>
      <c r="CG40" s="39">
        <f t="shared" si="57"/>
        <v>0</v>
      </c>
      <c r="CH40" s="7"/>
      <c r="CI40" s="7"/>
      <c r="CJ40" s="7"/>
      <c r="CK40" s="39">
        <f t="shared" si="58"/>
        <v>0</v>
      </c>
      <c r="CL40" s="7"/>
      <c r="CM40" s="7"/>
      <c r="CN40" s="7"/>
      <c r="CO40" s="39">
        <f t="shared" si="24"/>
        <v>0</v>
      </c>
      <c r="CP40" s="7"/>
      <c r="CQ40" s="7"/>
      <c r="CR40" s="7"/>
      <c r="CS40" s="39">
        <f t="shared" si="25"/>
        <v>0</v>
      </c>
      <c r="CT40" s="7"/>
      <c r="CU40" s="7"/>
      <c r="CV40" s="7"/>
      <c r="CW40" s="39">
        <f t="shared" si="26"/>
        <v>0</v>
      </c>
      <c r="CX40" s="7"/>
      <c r="CY40" s="7"/>
      <c r="CZ40" s="7"/>
      <c r="DA40" s="39">
        <f t="shared" si="27"/>
        <v>0</v>
      </c>
      <c r="DB40" s="7"/>
      <c r="DC40" s="7"/>
      <c r="DD40" s="7"/>
      <c r="DE40" s="39">
        <f t="shared" si="28"/>
        <v>0</v>
      </c>
      <c r="DF40" s="7"/>
      <c r="DG40" s="7"/>
      <c r="DH40" s="7"/>
      <c r="DI40" s="39">
        <f t="shared" si="29"/>
        <v>0</v>
      </c>
      <c r="DJ40" s="7"/>
      <c r="DK40" s="7"/>
      <c r="DL40" s="7"/>
      <c r="DM40" s="39">
        <f t="shared" si="30"/>
        <v>0</v>
      </c>
      <c r="DN40" s="7"/>
      <c r="DO40" s="7"/>
      <c r="DP40" s="7"/>
      <c r="DQ40" s="39">
        <f t="shared" si="31"/>
        <v>0</v>
      </c>
      <c r="DR40" s="7"/>
      <c r="DS40" s="7"/>
      <c r="DT40" s="7"/>
      <c r="DU40" s="39">
        <f t="shared" si="32"/>
        <v>0</v>
      </c>
      <c r="DV40" s="7"/>
      <c r="DW40" s="7"/>
      <c r="DX40" s="7"/>
      <c r="DY40" s="39">
        <f t="shared" si="33"/>
        <v>0</v>
      </c>
      <c r="DZ40" s="7"/>
      <c r="EA40" s="7"/>
      <c r="EB40" s="7"/>
      <c r="EC40" s="39">
        <f t="shared" si="34"/>
        <v>0</v>
      </c>
      <c r="ED40" s="7"/>
      <c r="EE40" s="7"/>
      <c r="EF40" s="7"/>
      <c r="EG40" s="39">
        <f t="shared" si="35"/>
        <v>0</v>
      </c>
      <c r="EH40" s="7"/>
      <c r="EI40" s="7"/>
      <c r="EJ40" s="7"/>
      <c r="EK40" s="39">
        <f t="shared" si="36"/>
        <v>0</v>
      </c>
      <c r="EL40" s="7"/>
      <c r="EM40" s="7"/>
      <c r="EN40" s="7"/>
      <c r="EO40" s="39">
        <f t="shared" si="37"/>
        <v>0</v>
      </c>
    </row>
    <row r="41">
      <c r="A41" s="20" t="s">
        <v>130</v>
      </c>
      <c r="B41" s="21"/>
      <c r="C41" s="43">
        <f t="shared" si="1"/>
        <v>39</v>
      </c>
      <c r="D41" s="43" t="str">
        <f>VLOOKUP(A41,TDP!A:C,3,FALSE)</f>
        <v>#N/A</v>
      </c>
      <c r="E41" s="37" t="str">
        <f t="shared" si="2"/>
        <v>#N/A</v>
      </c>
      <c r="F41" s="180"/>
      <c r="G41" s="43"/>
      <c r="H41" s="43"/>
      <c r="I41" s="39">
        <f t="shared" si="38"/>
        <v>0</v>
      </c>
      <c r="J41" s="180"/>
      <c r="K41" s="43"/>
      <c r="L41" s="43"/>
      <c r="M41" s="72">
        <f t="shared" si="39"/>
        <v>0</v>
      </c>
      <c r="N41" s="43"/>
      <c r="O41" s="43"/>
      <c r="P41" s="120"/>
      <c r="Q41" s="72">
        <f t="shared" si="40"/>
        <v>0</v>
      </c>
      <c r="R41" s="43"/>
      <c r="S41" s="43"/>
      <c r="T41" s="43"/>
      <c r="U41" s="72">
        <f t="shared" si="41"/>
        <v>0</v>
      </c>
      <c r="V41" s="43"/>
      <c r="W41" s="43"/>
      <c r="X41" s="120"/>
      <c r="Y41" s="72">
        <f t="shared" si="42"/>
        <v>0</v>
      </c>
      <c r="Z41" s="43"/>
      <c r="AA41" s="43"/>
      <c r="AB41" s="43"/>
      <c r="AC41" s="72">
        <f t="shared" si="43"/>
        <v>0</v>
      </c>
      <c r="AD41" s="7"/>
      <c r="AE41" s="7"/>
      <c r="AF41" s="7"/>
      <c r="AG41" s="72">
        <f t="shared" si="44"/>
        <v>0</v>
      </c>
      <c r="AH41" s="7"/>
      <c r="AI41" s="7"/>
      <c r="AJ41" s="7"/>
      <c r="AK41" s="72">
        <f t="shared" si="45"/>
        <v>0</v>
      </c>
      <c r="AL41" s="119"/>
      <c r="AM41" s="120"/>
      <c r="AN41" s="120"/>
      <c r="AO41" s="72">
        <f t="shared" si="46"/>
        <v>0</v>
      </c>
      <c r="AP41" s="120"/>
      <c r="AQ41" s="120"/>
      <c r="AR41" s="120"/>
      <c r="AS41" s="72">
        <f t="shared" si="47"/>
        <v>0</v>
      </c>
      <c r="AT41" s="120"/>
      <c r="AU41" s="120"/>
      <c r="AV41" s="120"/>
      <c r="AW41" s="72">
        <f t="shared" si="48"/>
        <v>0</v>
      </c>
      <c r="AX41" s="120"/>
      <c r="AY41" s="120"/>
      <c r="AZ41" s="120"/>
      <c r="BA41" s="72">
        <f t="shared" si="49"/>
        <v>0</v>
      </c>
      <c r="BB41" s="120"/>
      <c r="BC41" s="120"/>
      <c r="BD41" s="120"/>
      <c r="BE41" s="72">
        <f t="shared" si="50"/>
        <v>0</v>
      </c>
      <c r="BF41" s="120"/>
      <c r="BG41" s="120"/>
      <c r="BH41" s="120"/>
      <c r="BI41" s="72">
        <f t="shared" si="51"/>
        <v>0</v>
      </c>
      <c r="BJ41" s="120"/>
      <c r="BK41" s="120"/>
      <c r="BL41" s="120"/>
      <c r="BM41" s="72">
        <f t="shared" si="52"/>
        <v>0</v>
      </c>
      <c r="BN41" s="120"/>
      <c r="BO41" s="120"/>
      <c r="BP41" s="120"/>
      <c r="BQ41" s="72">
        <f t="shared" si="53"/>
        <v>0</v>
      </c>
      <c r="BR41" s="120"/>
      <c r="BS41" s="120"/>
      <c r="BT41" s="120"/>
      <c r="BU41" s="72">
        <f t="shared" si="54"/>
        <v>0</v>
      </c>
      <c r="BV41" s="120"/>
      <c r="BW41" s="120"/>
      <c r="BX41" s="120"/>
      <c r="BY41" s="72">
        <f t="shared" si="55"/>
        <v>0</v>
      </c>
      <c r="BZ41" s="120"/>
      <c r="CA41" s="120"/>
      <c r="CB41" s="120"/>
      <c r="CC41" s="72">
        <f t="shared" si="56"/>
        <v>0</v>
      </c>
      <c r="CD41" s="120"/>
      <c r="CE41" s="120"/>
      <c r="CF41" s="120"/>
      <c r="CG41" s="72">
        <f t="shared" si="57"/>
        <v>0</v>
      </c>
      <c r="CH41" s="120"/>
      <c r="CI41" s="120"/>
      <c r="CJ41" s="120"/>
      <c r="CK41" s="39">
        <f t="shared" si="58"/>
        <v>0</v>
      </c>
      <c r="CL41" s="120"/>
      <c r="CM41" s="120"/>
      <c r="CN41" s="120"/>
      <c r="CO41" s="39">
        <f t="shared" si="24"/>
        <v>0</v>
      </c>
      <c r="CP41" s="120"/>
      <c r="CQ41" s="120"/>
      <c r="CR41" s="120"/>
      <c r="CS41" s="39">
        <f t="shared" si="25"/>
        <v>0</v>
      </c>
      <c r="CT41" s="120"/>
      <c r="CU41" s="120"/>
      <c r="CV41" s="120"/>
      <c r="CW41" s="39">
        <f t="shared" si="26"/>
        <v>0</v>
      </c>
      <c r="CX41" s="120"/>
      <c r="CY41" s="120"/>
      <c r="CZ41" s="120"/>
      <c r="DA41" s="39">
        <f t="shared" si="27"/>
        <v>0</v>
      </c>
      <c r="DB41" s="120"/>
      <c r="DC41" s="120"/>
      <c r="DD41" s="120"/>
      <c r="DE41" s="39">
        <f t="shared" si="28"/>
        <v>0</v>
      </c>
      <c r="DF41" s="120"/>
      <c r="DG41" s="120"/>
      <c r="DH41" s="120"/>
      <c r="DI41" s="39">
        <f t="shared" si="29"/>
        <v>0</v>
      </c>
      <c r="DJ41" s="120"/>
      <c r="DK41" s="120"/>
      <c r="DL41" s="120"/>
      <c r="DM41" s="39">
        <f t="shared" si="30"/>
        <v>0</v>
      </c>
      <c r="DN41" s="120"/>
      <c r="DO41" s="120"/>
      <c r="DP41" s="120"/>
      <c r="DQ41" s="39">
        <f t="shared" si="31"/>
        <v>0</v>
      </c>
      <c r="DR41" s="120"/>
      <c r="DS41" s="120"/>
      <c r="DT41" s="120"/>
      <c r="DU41" s="39">
        <f t="shared" si="32"/>
        <v>0</v>
      </c>
      <c r="DV41" s="120"/>
      <c r="DW41" s="120"/>
      <c r="DX41" s="120"/>
      <c r="DY41" s="39">
        <f t="shared" si="33"/>
        <v>0</v>
      </c>
      <c r="DZ41" s="120"/>
      <c r="EA41" s="120"/>
      <c r="EB41" s="120"/>
      <c r="EC41" s="39">
        <f t="shared" si="34"/>
        <v>0</v>
      </c>
      <c r="ED41" s="120"/>
      <c r="EE41" s="120"/>
      <c r="EF41" s="120"/>
      <c r="EG41" s="39">
        <f t="shared" si="35"/>
        <v>0</v>
      </c>
      <c r="EH41" s="120"/>
      <c r="EI41" s="120"/>
      <c r="EJ41" s="120"/>
      <c r="EK41" s="39">
        <f t="shared" si="36"/>
        <v>0</v>
      </c>
      <c r="EL41" s="120"/>
      <c r="EM41" s="120"/>
      <c r="EN41" s="120"/>
      <c r="EO41" s="39">
        <f t="shared" si="37"/>
        <v>0</v>
      </c>
    </row>
  </sheetData>
  <autoFilter ref="$A$2:$EO$41">
    <sortState ref="A2:EO41">
      <sortCondition descending="1" ref="E2:E41"/>
    </sortState>
  </autoFilter>
  <mergeCells count="3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DN1:DQ1"/>
    <mergeCell ref="DR1:DU1"/>
    <mergeCell ref="DV1:DY1"/>
    <mergeCell ref="DZ1:EC1"/>
    <mergeCell ref="ED1:EG1"/>
    <mergeCell ref="EH1:EK1"/>
    <mergeCell ref="EL1:EO1"/>
    <mergeCell ref="CL1:CO1"/>
    <mergeCell ref="CP1:CS1"/>
    <mergeCell ref="CT1:CW1"/>
    <mergeCell ref="CX1:DA1"/>
    <mergeCell ref="DB1:DE1"/>
    <mergeCell ref="DF1:DI1"/>
    <mergeCell ref="DJ1:DM1"/>
  </mergeCells>
  <conditionalFormatting sqref="C3:C4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1.13"/>
    <col customWidth="1" min="3" max="3" width="7.25"/>
    <col customWidth="1" min="4" max="4" width="5.75"/>
    <col customWidth="1" min="5" max="6" width="9.75"/>
    <col customWidth="1" min="7" max="7" width="10.5"/>
    <col customWidth="1" min="8" max="9" width="5.0"/>
    <col customWidth="1" min="10" max="10" width="3.63"/>
    <col customWidth="1" min="11" max="11" width="10.13"/>
    <col customWidth="1" min="12" max="13" width="5.0"/>
    <col customWidth="1" min="14" max="14" width="3.63"/>
    <col customWidth="1" min="15" max="15" width="10.13"/>
    <col customWidth="1" min="16" max="17" width="5.0"/>
    <col customWidth="1" min="18" max="18" width="3.63"/>
    <col customWidth="1" min="19" max="19" width="10.5"/>
    <col customWidth="1" min="20" max="21" width="5.0"/>
    <col customWidth="1" min="22" max="22" width="3.63"/>
    <col customWidth="1" min="23" max="23" width="10.5"/>
    <col customWidth="1" min="24" max="25" width="5.0"/>
    <col customWidth="1" min="26" max="26" width="3.63"/>
  </cols>
  <sheetData>
    <row r="1">
      <c r="A1" s="5"/>
      <c r="B1" s="5"/>
      <c r="C1" s="8"/>
      <c r="D1" s="8"/>
      <c r="E1" s="8"/>
      <c r="F1" s="8"/>
      <c r="G1" s="191">
        <v>44812.0</v>
      </c>
      <c r="H1" s="16"/>
      <c r="I1" s="16"/>
      <c r="J1" s="12"/>
      <c r="K1" s="155">
        <v>44454.0</v>
      </c>
      <c r="O1" s="192">
        <v>44461.0</v>
      </c>
      <c r="S1" s="155">
        <v>44468.0</v>
      </c>
      <c r="W1" s="155">
        <v>44840.0</v>
      </c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214</v>
      </c>
      <c r="F2" s="3" t="s">
        <v>4</v>
      </c>
      <c r="G2" s="31" t="s">
        <v>71</v>
      </c>
      <c r="H2" s="31" t="s">
        <v>72</v>
      </c>
      <c r="I2" s="31" t="s">
        <v>68</v>
      </c>
      <c r="J2" s="31" t="s">
        <v>70</v>
      </c>
      <c r="K2" s="159" t="s">
        <v>71</v>
      </c>
      <c r="L2" s="31" t="s">
        <v>72</v>
      </c>
      <c r="M2" s="31" t="s">
        <v>68</v>
      </c>
      <c r="N2" s="31" t="s">
        <v>70</v>
      </c>
      <c r="O2" s="31" t="s">
        <v>71</v>
      </c>
      <c r="P2" s="31" t="s">
        <v>72</v>
      </c>
      <c r="Q2" s="31" t="s">
        <v>68</v>
      </c>
      <c r="R2" s="31" t="s">
        <v>70</v>
      </c>
      <c r="S2" s="31" t="s">
        <v>71</v>
      </c>
      <c r="T2" s="31" t="s">
        <v>72</v>
      </c>
      <c r="U2" s="31" t="s">
        <v>68</v>
      </c>
      <c r="V2" s="31" t="s">
        <v>70</v>
      </c>
      <c r="W2" s="31" t="s">
        <v>71</v>
      </c>
      <c r="X2" s="31" t="s">
        <v>72</v>
      </c>
      <c r="Y2" s="31" t="s">
        <v>68</v>
      </c>
      <c r="Z2" s="31" t="s">
        <v>70</v>
      </c>
    </row>
    <row r="3">
      <c r="A3" s="20" t="s">
        <v>17</v>
      </c>
      <c r="B3" s="21" t="s">
        <v>18</v>
      </c>
      <c r="C3" s="1">
        <v>1.0</v>
      </c>
      <c r="D3" s="15">
        <f>VLOOKUP(A3,TDP!A:C,3,FALSE)</f>
        <v>0.54</v>
      </c>
      <c r="E3" s="193">
        <f>VLOOKUP(A3,'2022 Puntos'!A:E,5,FALSE)</f>
        <v>241.78</v>
      </c>
      <c r="F3" s="37">
        <f t="shared" ref="F3:F39" si="1">(E3+sum(J3,N3,R3,V3,Z3,AE3,AI3,AM3,AQ3,AU3,AY3,BC3,BG3,BK3,BO3,BS3,BW3,CA3,CE3,CI3,CM3,CQ3))</f>
        <v>259.78</v>
      </c>
      <c r="G3" s="4">
        <v>1.0</v>
      </c>
      <c r="H3" s="7">
        <v>1.0</v>
      </c>
      <c r="I3" s="7">
        <v>1.0</v>
      </c>
      <c r="J3" s="39">
        <f t="shared" ref="J3:J39" si="2"> if( G3=1, if( H3=1, if( I3=1, 5, 3), if( I3=1, 1, -3 ) ), if(H3=1,if(I3=1, -1, -2 ), if(I3=1, 7, 0 ) ) )</f>
        <v>5</v>
      </c>
      <c r="K3" s="4">
        <v>1.0</v>
      </c>
      <c r="L3" s="7">
        <v>1.0</v>
      </c>
      <c r="M3" s="7">
        <v>1.0</v>
      </c>
      <c r="N3" s="39">
        <f t="shared" ref="N3:N39" si="3"> if( K3=1, if( L3=1, if( M3=1, 5, 3), if( M3=1, 1, -3 ) ), if(L3=1,if(M3=1, -1, -2 ), if(M3=1, 7, 0 ) ) )</f>
        <v>5</v>
      </c>
      <c r="O3" s="7">
        <v>1.0</v>
      </c>
      <c r="P3" s="7">
        <v>1.0</v>
      </c>
      <c r="Q3" s="7">
        <v>1.0</v>
      </c>
      <c r="R3" s="39">
        <f t="shared" ref="R3:R39" si="4"> if( O3=1, if( P3=1, if( Q3=1, 5, 3), if( Q3=1, 1, -3 ) ), if(P3=1,if(Q3=1, -1, -2 ), if(Q3=1, 7, 0 ) ) )</f>
        <v>5</v>
      </c>
      <c r="S3" s="7"/>
      <c r="T3" s="7"/>
      <c r="U3" s="7"/>
      <c r="V3" s="39">
        <f t="shared" ref="V3:V39" si="5"> if( S3=1, if( T3=1, if( U3=1, 5, 3), if( U3=1, 1, -3 ) ), if(T3=1,if(U3=1, -1, -2 ), if(U3=1, 7, 0 ) ) )</f>
        <v>0</v>
      </c>
      <c r="W3" s="7">
        <v>1.0</v>
      </c>
      <c r="X3" s="7">
        <v>1.0</v>
      </c>
      <c r="Y3" s="7"/>
      <c r="Z3" s="39">
        <f t="shared" ref="Z3:Z39" si="6"> if( W3=1, if( X3=1, if( Y3=1, 5, 3), if( Y3=1, 1, -3 ) ), if(X3=1,if(Y3=1, -1, -2 ), if(Y3=1, 7, 0 ) ) )</f>
        <v>3</v>
      </c>
    </row>
    <row r="4">
      <c r="A4" s="20" t="s">
        <v>32</v>
      </c>
      <c r="B4" s="21" t="s">
        <v>33</v>
      </c>
      <c r="C4" s="1">
        <v>3.0</v>
      </c>
      <c r="D4" s="15">
        <v>0.22</v>
      </c>
      <c r="E4" s="193">
        <f>VLOOKUP(A4,'2022 Puntos'!A:E,5,FALSE)</f>
        <v>214.06</v>
      </c>
      <c r="F4" s="37">
        <f t="shared" si="1"/>
        <v>231.06</v>
      </c>
      <c r="G4" s="4">
        <v>1.0</v>
      </c>
      <c r="H4" s="7">
        <v>1.0</v>
      </c>
      <c r="I4" s="7"/>
      <c r="J4" s="39">
        <f t="shared" si="2"/>
        <v>3</v>
      </c>
      <c r="K4" s="4">
        <v>1.0</v>
      </c>
      <c r="L4" s="7">
        <v>1.0</v>
      </c>
      <c r="M4" s="7">
        <v>1.0</v>
      </c>
      <c r="N4" s="39">
        <f t="shared" si="3"/>
        <v>5</v>
      </c>
      <c r="O4" s="7">
        <v>1.0</v>
      </c>
      <c r="P4" s="7">
        <v>1.0</v>
      </c>
      <c r="Q4" s="7"/>
      <c r="R4" s="39">
        <f t="shared" si="4"/>
        <v>3</v>
      </c>
      <c r="S4" s="7">
        <v>1.0</v>
      </c>
      <c r="T4" s="7">
        <v>1.0</v>
      </c>
      <c r="U4" s="7"/>
      <c r="V4" s="39">
        <f t="shared" si="5"/>
        <v>3</v>
      </c>
      <c r="W4" s="7">
        <v>1.0</v>
      </c>
      <c r="X4" s="7">
        <v>1.0</v>
      </c>
      <c r="Y4" s="7"/>
      <c r="Z4" s="39">
        <f t="shared" si="6"/>
        <v>3</v>
      </c>
    </row>
    <row r="5">
      <c r="A5" s="20" t="s">
        <v>12</v>
      </c>
      <c r="B5" s="21" t="s">
        <v>13</v>
      </c>
      <c r="C5" s="1">
        <v>2.0</v>
      </c>
      <c r="D5" s="15">
        <v>0.33999999999999997</v>
      </c>
      <c r="E5" s="193">
        <f>VLOOKUP(A5,'2022 Puntos'!A:E,5,FALSE)</f>
        <v>232.44</v>
      </c>
      <c r="F5" s="37">
        <f t="shared" si="1"/>
        <v>246.44</v>
      </c>
      <c r="G5" s="4">
        <v>1.0</v>
      </c>
      <c r="H5" s="7">
        <v>1.0</v>
      </c>
      <c r="I5" s="7"/>
      <c r="J5" s="39">
        <f t="shared" si="2"/>
        <v>3</v>
      </c>
      <c r="K5" s="4"/>
      <c r="L5" s="7"/>
      <c r="M5" s="7"/>
      <c r="N5" s="39">
        <f t="shared" si="3"/>
        <v>0</v>
      </c>
      <c r="O5" s="7">
        <v>1.0</v>
      </c>
      <c r="P5" s="7">
        <v>1.0</v>
      </c>
      <c r="Q5" s="7"/>
      <c r="R5" s="39">
        <f t="shared" si="4"/>
        <v>3</v>
      </c>
      <c r="S5" s="7">
        <v>1.0</v>
      </c>
      <c r="T5" s="7">
        <v>1.0</v>
      </c>
      <c r="U5" s="7">
        <v>1.0</v>
      </c>
      <c r="V5" s="39">
        <f t="shared" si="5"/>
        <v>5</v>
      </c>
      <c r="W5" s="7">
        <v>1.0</v>
      </c>
      <c r="X5" s="7">
        <v>1.0</v>
      </c>
      <c r="Y5" s="7"/>
      <c r="Z5" s="39">
        <f t="shared" si="6"/>
        <v>3</v>
      </c>
    </row>
    <row r="6">
      <c r="A6" s="20" t="s">
        <v>47</v>
      </c>
      <c r="B6" s="21" t="s">
        <v>167</v>
      </c>
      <c r="C6" s="1">
        <v>4.0</v>
      </c>
      <c r="D6" s="15">
        <v>0.19999999999999998</v>
      </c>
      <c r="E6" s="193">
        <f>VLOOKUP(A6,'2022 Puntos'!A:E,5,FALSE)</f>
        <v>210.98</v>
      </c>
      <c r="F6" s="37">
        <f t="shared" si="1"/>
        <v>227.98</v>
      </c>
      <c r="G6" s="4">
        <v>1.0</v>
      </c>
      <c r="H6" s="7">
        <v>1.0</v>
      </c>
      <c r="I6" s="7"/>
      <c r="J6" s="39">
        <f t="shared" si="2"/>
        <v>3</v>
      </c>
      <c r="K6" s="4">
        <v>1.0</v>
      </c>
      <c r="L6" s="7">
        <v>1.0</v>
      </c>
      <c r="M6" s="7">
        <v>1.0</v>
      </c>
      <c r="N6" s="39">
        <f t="shared" si="3"/>
        <v>5</v>
      </c>
      <c r="O6" s="7">
        <v>1.0</v>
      </c>
      <c r="P6" s="7">
        <v>1.0</v>
      </c>
      <c r="Q6" s="7"/>
      <c r="R6" s="39">
        <f t="shared" si="4"/>
        <v>3</v>
      </c>
      <c r="S6" s="7">
        <v>1.0</v>
      </c>
      <c r="T6" s="7">
        <v>1.0</v>
      </c>
      <c r="U6" s="7"/>
      <c r="V6" s="39">
        <f t="shared" si="5"/>
        <v>3</v>
      </c>
      <c r="W6" s="7">
        <v>1.0</v>
      </c>
      <c r="X6" s="7">
        <v>1.0</v>
      </c>
      <c r="Y6" s="7"/>
      <c r="Z6" s="39">
        <f t="shared" si="6"/>
        <v>3</v>
      </c>
    </row>
    <row r="7">
      <c r="A7" s="20" t="s">
        <v>22</v>
      </c>
      <c r="B7" s="21" t="s">
        <v>23</v>
      </c>
      <c r="C7" s="1">
        <v>5.0</v>
      </c>
      <c r="D7" s="15">
        <v>0.32999999999999996</v>
      </c>
      <c r="E7" s="193">
        <f>VLOOKUP(A7,'2022 Puntos'!A:E,5,FALSE)</f>
        <v>205.36</v>
      </c>
      <c r="F7" s="37">
        <f t="shared" si="1"/>
        <v>220.36</v>
      </c>
      <c r="G7" s="4">
        <v>1.0</v>
      </c>
      <c r="H7" s="7">
        <v>1.0</v>
      </c>
      <c r="I7" s="7">
        <v>1.0</v>
      </c>
      <c r="J7" s="39">
        <f t="shared" si="2"/>
        <v>5</v>
      </c>
      <c r="K7" s="4">
        <v>1.0</v>
      </c>
      <c r="L7" s="7">
        <v>1.0</v>
      </c>
      <c r="M7" s="7">
        <v>1.0</v>
      </c>
      <c r="N7" s="39">
        <f t="shared" si="3"/>
        <v>5</v>
      </c>
      <c r="O7" s="7"/>
      <c r="P7" s="1"/>
      <c r="Q7" s="7"/>
      <c r="R7" s="39">
        <f t="shared" si="4"/>
        <v>0</v>
      </c>
      <c r="S7" s="7">
        <v>1.0</v>
      </c>
      <c r="T7" s="7">
        <v>1.0</v>
      </c>
      <c r="U7" s="7">
        <v>1.0</v>
      </c>
      <c r="V7" s="39">
        <f t="shared" si="5"/>
        <v>5</v>
      </c>
      <c r="W7" s="7"/>
      <c r="X7" s="7"/>
      <c r="Y7" s="7"/>
      <c r="Z7" s="39">
        <f t="shared" si="6"/>
        <v>0</v>
      </c>
    </row>
    <row r="8">
      <c r="A8" s="20" t="s">
        <v>21</v>
      </c>
      <c r="B8" s="21" t="s">
        <v>75</v>
      </c>
      <c r="C8" s="1">
        <v>6.0</v>
      </c>
      <c r="D8" s="15">
        <v>0.12</v>
      </c>
      <c r="E8" s="193">
        <f>VLOOKUP(A8,'2022 Puntos'!A:E,5,FALSE)</f>
        <v>182.09</v>
      </c>
      <c r="F8" s="37">
        <f t="shared" si="1"/>
        <v>198.09</v>
      </c>
      <c r="G8" s="4">
        <v>1.0</v>
      </c>
      <c r="H8" s="7">
        <v>1.0</v>
      </c>
      <c r="I8" s="7">
        <v>1.0</v>
      </c>
      <c r="J8" s="39">
        <f t="shared" si="2"/>
        <v>5</v>
      </c>
      <c r="K8" s="4">
        <v>1.0</v>
      </c>
      <c r="L8" s="7">
        <v>1.0</v>
      </c>
      <c r="M8" s="7">
        <v>1.0</v>
      </c>
      <c r="N8" s="39">
        <f t="shared" si="3"/>
        <v>5</v>
      </c>
      <c r="O8" s="7"/>
      <c r="P8" s="7"/>
      <c r="Q8" s="7"/>
      <c r="R8" s="39">
        <f t="shared" si="4"/>
        <v>0</v>
      </c>
      <c r="S8" s="7">
        <v>1.0</v>
      </c>
      <c r="T8" s="7">
        <v>1.0</v>
      </c>
      <c r="U8" s="7"/>
      <c r="V8" s="39">
        <f t="shared" si="5"/>
        <v>3</v>
      </c>
      <c r="W8" s="7">
        <v>1.0</v>
      </c>
      <c r="X8" s="7">
        <v>1.0</v>
      </c>
      <c r="Y8" s="7"/>
      <c r="Z8" s="39">
        <f t="shared" si="6"/>
        <v>3</v>
      </c>
    </row>
    <row r="9">
      <c r="A9" s="20" t="s">
        <v>35</v>
      </c>
      <c r="B9" s="21" t="s">
        <v>166</v>
      </c>
      <c r="C9" s="1">
        <v>7.0</v>
      </c>
      <c r="D9" s="15">
        <v>0.2</v>
      </c>
      <c r="E9" s="193">
        <f>VLOOKUP(A9,'2022 Puntos'!A:E,5,FALSE)</f>
        <v>197.4</v>
      </c>
      <c r="F9" s="37">
        <f t="shared" si="1"/>
        <v>220.4</v>
      </c>
      <c r="G9" s="4">
        <v>1.0</v>
      </c>
      <c r="H9" s="7">
        <v>1.0</v>
      </c>
      <c r="I9" s="7">
        <v>1.0</v>
      </c>
      <c r="J9" s="39">
        <f t="shared" si="2"/>
        <v>5</v>
      </c>
      <c r="K9" s="4">
        <v>1.0</v>
      </c>
      <c r="L9" s="7">
        <v>1.0</v>
      </c>
      <c r="M9" s="7">
        <v>1.0</v>
      </c>
      <c r="N9" s="39">
        <f t="shared" si="3"/>
        <v>5</v>
      </c>
      <c r="O9" s="7">
        <v>1.0</v>
      </c>
      <c r="P9" s="7">
        <v>1.0</v>
      </c>
      <c r="Q9" s="7">
        <v>1.0</v>
      </c>
      <c r="R9" s="39">
        <f t="shared" si="4"/>
        <v>5</v>
      </c>
      <c r="S9" s="7">
        <v>1.0</v>
      </c>
      <c r="T9" s="7">
        <v>1.0</v>
      </c>
      <c r="U9" s="7">
        <v>1.0</v>
      </c>
      <c r="V9" s="39">
        <f t="shared" si="5"/>
        <v>5</v>
      </c>
      <c r="W9" s="7">
        <v>1.0</v>
      </c>
      <c r="X9" s="7">
        <v>1.0</v>
      </c>
      <c r="Y9" s="7"/>
      <c r="Z9" s="39">
        <f t="shared" si="6"/>
        <v>3</v>
      </c>
    </row>
    <row r="10">
      <c r="A10" s="20" t="s">
        <v>31</v>
      </c>
      <c r="B10" s="194" t="s">
        <v>40</v>
      </c>
      <c r="C10" s="1">
        <v>8.0</v>
      </c>
      <c r="D10" s="15">
        <v>0.22000000000000003</v>
      </c>
      <c r="E10" s="193">
        <f>VLOOKUP(A10,'2022 Puntos'!A:E,5,FALSE)</f>
        <v>133.44</v>
      </c>
      <c r="F10" s="37">
        <f t="shared" si="1"/>
        <v>151.44</v>
      </c>
      <c r="G10" s="4"/>
      <c r="H10" s="7"/>
      <c r="I10" s="7"/>
      <c r="J10" s="39">
        <f t="shared" si="2"/>
        <v>0</v>
      </c>
      <c r="K10" s="4">
        <v>1.0</v>
      </c>
      <c r="L10" s="7">
        <v>1.0</v>
      </c>
      <c r="M10" s="7">
        <v>1.0</v>
      </c>
      <c r="N10" s="39">
        <f t="shared" si="3"/>
        <v>5</v>
      </c>
      <c r="O10" s="7">
        <v>1.0</v>
      </c>
      <c r="P10" s="7">
        <v>1.0</v>
      </c>
      <c r="Q10" s="7">
        <v>1.0</v>
      </c>
      <c r="R10" s="39">
        <f t="shared" si="4"/>
        <v>5</v>
      </c>
      <c r="S10" s="7">
        <v>1.0</v>
      </c>
      <c r="T10" s="7">
        <v>1.0</v>
      </c>
      <c r="U10" s="7">
        <v>1.0</v>
      </c>
      <c r="V10" s="39">
        <f t="shared" si="5"/>
        <v>5</v>
      </c>
      <c r="W10" s="7">
        <v>1.0</v>
      </c>
      <c r="X10" s="7">
        <v>1.0</v>
      </c>
      <c r="Y10" s="7"/>
      <c r="Z10" s="39">
        <f t="shared" si="6"/>
        <v>3</v>
      </c>
    </row>
    <row r="11">
      <c r="A11" s="20" t="s">
        <v>117</v>
      </c>
      <c r="B11" s="195"/>
      <c r="C11" s="1">
        <v>10.0</v>
      </c>
      <c r="D11" s="15">
        <v>0.02</v>
      </c>
      <c r="E11" s="193">
        <f>VLOOKUP(A11,'2022 Puntos'!A:E,5,FALSE)</f>
        <v>167.04</v>
      </c>
      <c r="F11" s="37">
        <f t="shared" si="1"/>
        <v>188.04</v>
      </c>
      <c r="G11" s="4">
        <v>1.0</v>
      </c>
      <c r="H11" s="7">
        <v>1.0</v>
      </c>
      <c r="I11" s="7"/>
      <c r="J11" s="39">
        <f t="shared" si="2"/>
        <v>3</v>
      </c>
      <c r="K11" s="4">
        <v>1.0</v>
      </c>
      <c r="L11" s="7">
        <v>1.0</v>
      </c>
      <c r="M11" s="7">
        <v>1.0</v>
      </c>
      <c r="N11" s="39">
        <f t="shared" si="3"/>
        <v>5</v>
      </c>
      <c r="O11" s="7">
        <v>1.0</v>
      </c>
      <c r="P11" s="7">
        <v>1.0</v>
      </c>
      <c r="Q11" s="7">
        <v>1.0</v>
      </c>
      <c r="R11" s="39">
        <f t="shared" si="4"/>
        <v>5</v>
      </c>
      <c r="S11" s="7">
        <v>1.0</v>
      </c>
      <c r="T11" s="7">
        <v>1.0</v>
      </c>
      <c r="U11" s="7">
        <v>1.0</v>
      </c>
      <c r="V11" s="39">
        <f t="shared" si="5"/>
        <v>5</v>
      </c>
      <c r="W11" s="7">
        <v>1.0</v>
      </c>
      <c r="X11" s="7">
        <v>1.0</v>
      </c>
      <c r="Y11" s="7"/>
      <c r="Z11" s="39">
        <f t="shared" si="6"/>
        <v>3</v>
      </c>
    </row>
    <row r="12">
      <c r="A12" s="20" t="s">
        <v>101</v>
      </c>
      <c r="B12" s="118"/>
      <c r="C12" s="1">
        <v>11.0</v>
      </c>
      <c r="D12" s="15">
        <v>0.03</v>
      </c>
      <c r="E12" s="193">
        <f>VLOOKUP(A12,'2022 Puntos'!A:E,5,FALSE)</f>
        <v>155.89</v>
      </c>
      <c r="F12" s="37">
        <f t="shared" si="1"/>
        <v>170.89</v>
      </c>
      <c r="G12" s="4">
        <v>1.0</v>
      </c>
      <c r="H12" s="7">
        <v>1.0</v>
      </c>
      <c r="I12" s="7">
        <v>1.0</v>
      </c>
      <c r="J12" s="39">
        <f t="shared" si="2"/>
        <v>5</v>
      </c>
      <c r="K12" s="4">
        <v>1.0</v>
      </c>
      <c r="L12" s="7">
        <v>1.0</v>
      </c>
      <c r="M12" s="7">
        <v>1.0</v>
      </c>
      <c r="N12" s="39">
        <f t="shared" si="3"/>
        <v>5</v>
      </c>
      <c r="O12" s="7"/>
      <c r="P12" s="7"/>
      <c r="Q12" s="7"/>
      <c r="R12" s="39">
        <f t="shared" si="4"/>
        <v>0</v>
      </c>
      <c r="S12" s="7">
        <v>1.0</v>
      </c>
      <c r="T12" s="7">
        <v>1.0</v>
      </c>
      <c r="U12" s="7">
        <v>1.0</v>
      </c>
      <c r="V12" s="39">
        <f t="shared" si="5"/>
        <v>5</v>
      </c>
      <c r="W12" s="7"/>
      <c r="X12" s="7"/>
      <c r="Y12" s="7"/>
      <c r="Z12" s="39">
        <f t="shared" si="6"/>
        <v>0</v>
      </c>
    </row>
    <row r="13">
      <c r="A13" s="20" t="s">
        <v>27</v>
      </c>
      <c r="B13" s="194" t="s">
        <v>28</v>
      </c>
      <c r="C13" s="1">
        <v>9.0</v>
      </c>
      <c r="D13" s="15">
        <v>0.28</v>
      </c>
      <c r="E13" s="193">
        <f>VLOOKUP(A13,'2022 Puntos'!A:E,5,FALSE)</f>
        <v>128.48</v>
      </c>
      <c r="F13" s="37">
        <f t="shared" si="1"/>
        <v>133.48</v>
      </c>
      <c r="G13" s="4"/>
      <c r="H13" s="7"/>
      <c r="I13" s="7"/>
      <c r="J13" s="39">
        <f t="shared" si="2"/>
        <v>0</v>
      </c>
      <c r="K13" s="4"/>
      <c r="L13" s="7"/>
      <c r="M13" s="7"/>
      <c r="N13" s="39">
        <f t="shared" si="3"/>
        <v>0</v>
      </c>
      <c r="O13" s="1"/>
      <c r="P13" s="1"/>
      <c r="Q13" s="1"/>
      <c r="R13" s="39">
        <f t="shared" si="4"/>
        <v>0</v>
      </c>
      <c r="S13" s="7">
        <v>1.0</v>
      </c>
      <c r="T13" s="7">
        <v>1.0</v>
      </c>
      <c r="U13" s="7">
        <v>1.0</v>
      </c>
      <c r="V13" s="39">
        <f t="shared" si="5"/>
        <v>5</v>
      </c>
      <c r="W13" s="7"/>
      <c r="X13" s="7"/>
      <c r="Y13" s="7"/>
      <c r="Z13" s="39">
        <f t="shared" si="6"/>
        <v>0</v>
      </c>
    </row>
    <row r="14">
      <c r="A14" s="20" t="s">
        <v>111</v>
      </c>
      <c r="B14" s="195"/>
      <c r="C14" s="1">
        <v>12.0</v>
      </c>
      <c r="D14" s="15">
        <v>0.02</v>
      </c>
      <c r="E14" s="193">
        <f>VLOOKUP(A14,'2022 Puntos'!A:E,5,FALSE)</f>
        <v>133.34</v>
      </c>
      <c r="F14" s="37">
        <f t="shared" si="1"/>
        <v>141.34</v>
      </c>
      <c r="G14" s="4">
        <v>1.0</v>
      </c>
      <c r="H14" s="7">
        <v>1.0</v>
      </c>
      <c r="I14" s="1"/>
      <c r="J14" s="39">
        <f t="shared" si="2"/>
        <v>3</v>
      </c>
      <c r="K14" s="161"/>
      <c r="L14" s="1"/>
      <c r="M14" s="1"/>
      <c r="N14" s="39">
        <f t="shared" si="3"/>
        <v>0</v>
      </c>
      <c r="O14" s="1"/>
      <c r="P14" s="1"/>
      <c r="Q14" s="1"/>
      <c r="R14" s="39">
        <f t="shared" si="4"/>
        <v>0</v>
      </c>
      <c r="S14" s="7">
        <v>1.0</v>
      </c>
      <c r="T14" s="7">
        <v>1.0</v>
      </c>
      <c r="U14" s="7">
        <v>1.0</v>
      </c>
      <c r="V14" s="39">
        <f t="shared" si="5"/>
        <v>5</v>
      </c>
      <c r="W14" s="7"/>
      <c r="X14" s="7"/>
      <c r="Y14" s="7"/>
      <c r="Z14" s="39">
        <f t="shared" si="6"/>
        <v>0</v>
      </c>
    </row>
    <row r="15">
      <c r="A15" s="4" t="s">
        <v>26</v>
      </c>
      <c r="B15" s="7" t="s">
        <v>85</v>
      </c>
      <c r="C15" s="1">
        <v>13.0</v>
      </c>
      <c r="D15" s="15">
        <v>0.1</v>
      </c>
      <c r="E15" s="193">
        <f>VLOOKUP(A15,'2022 Puntos'!A:E,5,FALSE)</f>
        <v>149.86</v>
      </c>
      <c r="F15" s="37">
        <f t="shared" si="1"/>
        <v>154.86</v>
      </c>
      <c r="G15" s="4">
        <v>1.0</v>
      </c>
      <c r="H15" s="7">
        <v>1.0</v>
      </c>
      <c r="I15" s="7">
        <v>1.0</v>
      </c>
      <c r="J15" s="39">
        <f t="shared" si="2"/>
        <v>5</v>
      </c>
      <c r="K15" s="4"/>
      <c r="L15" s="7"/>
      <c r="M15" s="7"/>
      <c r="N15" s="39">
        <f t="shared" si="3"/>
        <v>0</v>
      </c>
      <c r="O15" s="7"/>
      <c r="P15" s="7"/>
      <c r="Q15" s="7"/>
      <c r="R15" s="39">
        <f t="shared" si="4"/>
        <v>0</v>
      </c>
      <c r="S15" s="7"/>
      <c r="T15" s="7"/>
      <c r="U15" s="7"/>
      <c r="V15" s="39">
        <f t="shared" si="5"/>
        <v>0</v>
      </c>
      <c r="W15" s="7"/>
      <c r="X15" s="7"/>
      <c r="Y15" s="7"/>
      <c r="Z15" s="39">
        <f t="shared" si="6"/>
        <v>0</v>
      </c>
    </row>
    <row r="16">
      <c r="A16" s="20" t="s">
        <v>63</v>
      </c>
      <c r="B16" s="21" t="s">
        <v>155</v>
      </c>
      <c r="C16" s="1">
        <v>14.0</v>
      </c>
      <c r="D16" s="15">
        <v>0.13</v>
      </c>
      <c r="E16" s="193">
        <f>VLOOKUP(A16,'2022 Puntos'!A:E,5,FALSE)</f>
        <v>130.29</v>
      </c>
      <c r="F16" s="37">
        <f t="shared" si="1"/>
        <v>143.29</v>
      </c>
      <c r="G16" s="4">
        <v>1.0</v>
      </c>
      <c r="H16" s="7">
        <v>1.0</v>
      </c>
      <c r="I16" s="7"/>
      <c r="J16" s="39">
        <f t="shared" si="2"/>
        <v>3</v>
      </c>
      <c r="K16" s="4">
        <v>1.0</v>
      </c>
      <c r="L16" s="7">
        <v>1.0</v>
      </c>
      <c r="M16" s="7">
        <v>1.0</v>
      </c>
      <c r="N16" s="39">
        <f t="shared" si="3"/>
        <v>5</v>
      </c>
      <c r="O16" s="1"/>
      <c r="P16" s="1"/>
      <c r="Q16" s="1"/>
      <c r="R16" s="39">
        <f t="shared" si="4"/>
        <v>0</v>
      </c>
      <c r="S16" s="7">
        <v>1.0</v>
      </c>
      <c r="T16" s="7">
        <v>1.0</v>
      </c>
      <c r="U16" s="7">
        <v>1.0</v>
      </c>
      <c r="V16" s="39">
        <f t="shared" si="5"/>
        <v>5</v>
      </c>
      <c r="W16" s="7"/>
      <c r="X16" s="7"/>
      <c r="Y16" s="7"/>
      <c r="Z16" s="39">
        <f t="shared" si="6"/>
        <v>0</v>
      </c>
    </row>
    <row r="17">
      <c r="A17" s="4" t="s">
        <v>36</v>
      </c>
      <c r="B17" s="196" t="s">
        <v>37</v>
      </c>
      <c r="C17" s="1">
        <v>15.0</v>
      </c>
      <c r="D17" s="15">
        <v>0.23</v>
      </c>
      <c r="E17" s="193">
        <f>VLOOKUP(A17,'2022 Puntos'!A:E,5,FALSE)</f>
        <v>84.94</v>
      </c>
      <c r="F17" s="37">
        <f t="shared" si="1"/>
        <v>84.94</v>
      </c>
      <c r="G17" s="161"/>
      <c r="H17" s="1"/>
      <c r="I17" s="1"/>
      <c r="J17" s="39">
        <f t="shared" si="2"/>
        <v>0</v>
      </c>
      <c r="K17" s="161"/>
      <c r="L17" s="1"/>
      <c r="M17" s="1"/>
      <c r="N17" s="39">
        <f t="shared" si="3"/>
        <v>0</v>
      </c>
      <c r="O17" s="1"/>
      <c r="P17" s="1"/>
      <c r="Q17" s="1"/>
      <c r="R17" s="39">
        <f t="shared" si="4"/>
        <v>0</v>
      </c>
      <c r="S17" s="1"/>
      <c r="T17" s="1"/>
      <c r="U17" s="1"/>
      <c r="V17" s="39">
        <f t="shared" si="5"/>
        <v>0</v>
      </c>
      <c r="W17" s="1"/>
      <c r="X17" s="1"/>
      <c r="Y17" s="1"/>
      <c r="Z17" s="39">
        <f t="shared" si="6"/>
        <v>0</v>
      </c>
    </row>
    <row r="18">
      <c r="A18" s="20" t="s">
        <v>55</v>
      </c>
      <c r="B18" s="21" t="s">
        <v>69</v>
      </c>
      <c r="C18" s="1">
        <v>17.0</v>
      </c>
      <c r="D18" s="15">
        <v>0.13</v>
      </c>
      <c r="E18" s="193">
        <f>VLOOKUP(A18,'2022 Puntos'!A:E,5,FALSE)</f>
        <v>89.7</v>
      </c>
      <c r="F18" s="37">
        <f t="shared" si="1"/>
        <v>108.7</v>
      </c>
      <c r="G18" s="4">
        <v>1.0</v>
      </c>
      <c r="H18" s="7">
        <v>1.0</v>
      </c>
      <c r="I18" s="1"/>
      <c r="J18" s="39">
        <f t="shared" si="2"/>
        <v>3</v>
      </c>
      <c r="K18" s="4">
        <v>1.0</v>
      </c>
      <c r="L18" s="7">
        <v>1.0</v>
      </c>
      <c r="M18" s="7">
        <v>1.0</v>
      </c>
      <c r="N18" s="39">
        <f t="shared" si="3"/>
        <v>5</v>
      </c>
      <c r="O18" s="7">
        <v>1.0</v>
      </c>
      <c r="P18" s="7">
        <v>1.0</v>
      </c>
      <c r="Q18" s="7">
        <v>1.0</v>
      </c>
      <c r="R18" s="39">
        <f t="shared" si="4"/>
        <v>5</v>
      </c>
      <c r="S18" s="7">
        <v>1.0</v>
      </c>
      <c r="T18" s="7">
        <v>1.0</v>
      </c>
      <c r="U18" s="7"/>
      <c r="V18" s="39">
        <f t="shared" si="5"/>
        <v>3</v>
      </c>
      <c r="W18" s="7">
        <v>1.0</v>
      </c>
      <c r="X18" s="7">
        <v>1.0</v>
      </c>
      <c r="Y18" s="7"/>
      <c r="Z18" s="39">
        <f t="shared" si="6"/>
        <v>3</v>
      </c>
    </row>
    <row r="19">
      <c r="A19" s="20" t="s">
        <v>49</v>
      </c>
      <c r="B19" s="21" t="s">
        <v>50</v>
      </c>
      <c r="C19" s="1">
        <v>20.0</v>
      </c>
      <c r="D19" s="15">
        <v>0.19</v>
      </c>
      <c r="E19" s="193">
        <f>VLOOKUP(A19,'2022 Puntos'!A:E,5,FALSE)</f>
        <v>73.14</v>
      </c>
      <c r="F19" s="37">
        <f t="shared" si="1"/>
        <v>84.14</v>
      </c>
      <c r="G19" s="4">
        <v>1.0</v>
      </c>
      <c r="H19" s="7">
        <v>1.0</v>
      </c>
      <c r="I19" s="1"/>
      <c r="J19" s="39">
        <f t="shared" si="2"/>
        <v>3</v>
      </c>
      <c r="K19" s="161"/>
      <c r="L19" s="1"/>
      <c r="M19" s="1"/>
      <c r="N19" s="39">
        <f t="shared" si="3"/>
        <v>0</v>
      </c>
      <c r="O19" s="1"/>
      <c r="P19" s="1"/>
      <c r="Q19" s="1"/>
      <c r="R19" s="39">
        <f t="shared" si="4"/>
        <v>0</v>
      </c>
      <c r="S19" s="7">
        <v>1.0</v>
      </c>
      <c r="T19" s="7">
        <v>1.0</v>
      </c>
      <c r="U19" s="7">
        <v>1.0</v>
      </c>
      <c r="V19" s="39">
        <f t="shared" si="5"/>
        <v>5</v>
      </c>
      <c r="W19" s="7">
        <v>1.0</v>
      </c>
      <c r="X19" s="7">
        <v>1.0</v>
      </c>
      <c r="Y19" s="7"/>
      <c r="Z19" s="39">
        <f t="shared" si="6"/>
        <v>3</v>
      </c>
    </row>
    <row r="20">
      <c r="A20" s="20" t="s">
        <v>91</v>
      </c>
      <c r="B20" s="21" t="s">
        <v>92</v>
      </c>
      <c r="C20" s="1">
        <v>16.0</v>
      </c>
      <c r="D20" s="15">
        <v>0.09999999999999999</v>
      </c>
      <c r="E20" s="193">
        <f>VLOOKUP(A20,'2022 Puntos'!A:E,5,FALSE)</f>
        <v>37.5</v>
      </c>
      <c r="F20" s="37">
        <f t="shared" si="1"/>
        <v>37.5</v>
      </c>
      <c r="G20" s="161"/>
      <c r="H20" s="1"/>
      <c r="I20" s="1"/>
      <c r="J20" s="39">
        <f t="shared" si="2"/>
        <v>0</v>
      </c>
      <c r="K20" s="161"/>
      <c r="L20" s="1"/>
      <c r="M20" s="1"/>
      <c r="N20" s="39">
        <f t="shared" si="3"/>
        <v>0</v>
      </c>
      <c r="O20" s="1"/>
      <c r="P20" s="1"/>
      <c r="Q20" s="1"/>
      <c r="R20" s="39">
        <f t="shared" si="4"/>
        <v>0</v>
      </c>
      <c r="S20" s="1"/>
      <c r="T20" s="1"/>
      <c r="U20" s="1"/>
      <c r="V20" s="39">
        <f t="shared" si="5"/>
        <v>0</v>
      </c>
      <c r="W20" s="1"/>
      <c r="X20" s="1"/>
      <c r="Y20" s="1"/>
      <c r="Z20" s="39">
        <f t="shared" si="6"/>
        <v>0</v>
      </c>
    </row>
    <row r="21">
      <c r="A21" s="20" t="s">
        <v>82</v>
      </c>
      <c r="B21" s="21" t="s">
        <v>83</v>
      </c>
      <c r="C21" s="1">
        <v>18.0</v>
      </c>
      <c r="D21" s="15">
        <v>0.12000000000000001</v>
      </c>
      <c r="E21" s="193">
        <f>VLOOKUP(A21,'2022 Puntos'!A:E,5,FALSE)</f>
        <v>32.5</v>
      </c>
      <c r="F21" s="37">
        <f t="shared" si="1"/>
        <v>32.5</v>
      </c>
      <c r="G21" s="161"/>
      <c r="H21" s="1"/>
      <c r="I21" s="1"/>
      <c r="J21" s="39">
        <f t="shared" si="2"/>
        <v>0</v>
      </c>
      <c r="K21" s="161"/>
      <c r="L21" s="1"/>
      <c r="M21" s="7"/>
      <c r="N21" s="39">
        <f t="shared" si="3"/>
        <v>0</v>
      </c>
      <c r="O21" s="7"/>
      <c r="P21" s="7"/>
      <c r="Q21" s="7"/>
      <c r="R21" s="39">
        <f t="shared" si="4"/>
        <v>0</v>
      </c>
      <c r="S21" s="7"/>
      <c r="T21" s="7"/>
      <c r="U21" s="7"/>
      <c r="V21" s="39">
        <f t="shared" si="5"/>
        <v>0</v>
      </c>
      <c r="W21" s="7"/>
      <c r="X21" s="7"/>
      <c r="Y21" s="7"/>
      <c r="Z21" s="39">
        <f t="shared" si="6"/>
        <v>0</v>
      </c>
    </row>
    <row r="22">
      <c r="A22" s="20" t="s">
        <v>172</v>
      </c>
      <c r="B22" s="195"/>
      <c r="C22" s="1">
        <v>19.0</v>
      </c>
      <c r="D22" s="15">
        <v>0.0</v>
      </c>
      <c r="E22" s="193">
        <f>VLOOKUP(A22,'2022 Puntos'!A:E,5,FALSE)</f>
        <v>24.38</v>
      </c>
      <c r="F22" s="37">
        <f t="shared" si="1"/>
        <v>24.38</v>
      </c>
      <c r="G22" s="4"/>
      <c r="H22" s="7"/>
      <c r="I22" s="7"/>
      <c r="J22" s="39">
        <f t="shared" si="2"/>
        <v>0</v>
      </c>
      <c r="K22" s="4"/>
      <c r="L22" s="7"/>
      <c r="M22" s="7"/>
      <c r="N22" s="39">
        <f t="shared" si="3"/>
        <v>0</v>
      </c>
      <c r="O22" s="1"/>
      <c r="P22" s="1"/>
      <c r="Q22" s="1"/>
      <c r="R22" s="39">
        <f t="shared" si="4"/>
        <v>0</v>
      </c>
      <c r="S22" s="1"/>
      <c r="T22" s="1"/>
      <c r="U22" s="1"/>
      <c r="V22" s="39">
        <f t="shared" si="5"/>
        <v>0</v>
      </c>
      <c r="W22" s="1"/>
      <c r="X22" s="1"/>
      <c r="Y22" s="1"/>
      <c r="Z22" s="39">
        <f t="shared" si="6"/>
        <v>0</v>
      </c>
    </row>
    <row r="23">
      <c r="A23" s="20" t="s">
        <v>106</v>
      </c>
      <c r="B23" s="21" t="s">
        <v>107</v>
      </c>
      <c r="C23" s="1">
        <v>27.0</v>
      </c>
      <c r="D23" s="15">
        <v>0.04</v>
      </c>
      <c r="E23" s="193">
        <f>VLOOKUP(A23,'2022 Puntos'!A:E,5,FALSE)</f>
        <v>24.99</v>
      </c>
      <c r="F23" s="37">
        <f t="shared" si="1"/>
        <v>37.99</v>
      </c>
      <c r="G23" s="4">
        <v>1.0</v>
      </c>
      <c r="H23" s="7">
        <v>1.0</v>
      </c>
      <c r="I23" s="7">
        <v>1.0</v>
      </c>
      <c r="J23" s="39">
        <f t="shared" si="2"/>
        <v>5</v>
      </c>
      <c r="K23" s="4">
        <v>1.0</v>
      </c>
      <c r="L23" s="7">
        <v>1.0</v>
      </c>
      <c r="M23" s="1"/>
      <c r="N23" s="39">
        <f t="shared" si="3"/>
        <v>3</v>
      </c>
      <c r="O23" s="7">
        <v>1.0</v>
      </c>
      <c r="P23" s="7">
        <v>1.0</v>
      </c>
      <c r="Q23" s="7">
        <v>1.0</v>
      </c>
      <c r="R23" s="39">
        <f t="shared" si="4"/>
        <v>5</v>
      </c>
      <c r="S23" s="7"/>
      <c r="T23" s="7"/>
      <c r="U23" s="7"/>
      <c r="V23" s="39">
        <f t="shared" si="5"/>
        <v>0</v>
      </c>
      <c r="W23" s="7"/>
      <c r="X23" s="7"/>
      <c r="Y23" s="7"/>
      <c r="Z23" s="39">
        <f t="shared" si="6"/>
        <v>0</v>
      </c>
    </row>
    <row r="24">
      <c r="A24" s="20" t="s">
        <v>59</v>
      </c>
      <c r="B24" s="194" t="s">
        <v>60</v>
      </c>
      <c r="C24" s="1">
        <v>21.0</v>
      </c>
      <c r="D24" s="15">
        <v>0.17</v>
      </c>
      <c r="E24" s="193">
        <f>VLOOKUP(A24,'2022 Puntos'!A:E,5,FALSE)</f>
        <v>29.21</v>
      </c>
      <c r="F24" s="37">
        <f t="shared" si="1"/>
        <v>32.21</v>
      </c>
      <c r="G24" s="161"/>
      <c r="H24" s="1"/>
      <c r="I24" s="7"/>
      <c r="J24" s="39">
        <f t="shared" si="2"/>
        <v>0</v>
      </c>
      <c r="K24" s="161"/>
      <c r="L24" s="1"/>
      <c r="M24" s="1"/>
      <c r="N24" s="39">
        <f t="shared" si="3"/>
        <v>0</v>
      </c>
      <c r="O24" s="1"/>
      <c r="P24" s="1"/>
      <c r="Q24" s="1"/>
      <c r="R24" s="39">
        <f t="shared" si="4"/>
        <v>0</v>
      </c>
      <c r="S24" s="1"/>
      <c r="T24" s="1"/>
      <c r="U24" s="1"/>
      <c r="V24" s="39">
        <f t="shared" si="5"/>
        <v>0</v>
      </c>
      <c r="W24" s="7">
        <v>1.0</v>
      </c>
      <c r="X24" s="7">
        <v>1.0</v>
      </c>
      <c r="Y24" s="1"/>
      <c r="Z24" s="39">
        <f t="shared" si="6"/>
        <v>3</v>
      </c>
    </row>
    <row r="25">
      <c r="A25" s="20" t="s">
        <v>80</v>
      </c>
      <c r="B25" s="21" t="s">
        <v>81</v>
      </c>
      <c r="C25" s="1">
        <v>22.0</v>
      </c>
      <c r="D25" s="15">
        <v>0.12000000000000001</v>
      </c>
      <c r="E25" s="193">
        <f>VLOOKUP(A25,'2022 Puntos'!A:E,5,FALSE)</f>
        <v>14.64</v>
      </c>
      <c r="F25" s="37">
        <f t="shared" si="1"/>
        <v>14.64</v>
      </c>
      <c r="G25" s="161"/>
      <c r="H25" s="1"/>
      <c r="I25" s="1"/>
      <c r="J25" s="39">
        <f t="shared" si="2"/>
        <v>0</v>
      </c>
      <c r="K25" s="161"/>
      <c r="L25" s="1"/>
      <c r="M25" s="7"/>
      <c r="N25" s="39">
        <f t="shared" si="3"/>
        <v>0</v>
      </c>
      <c r="O25" s="7"/>
      <c r="P25" s="7"/>
      <c r="Q25" s="7"/>
      <c r="R25" s="39">
        <f t="shared" si="4"/>
        <v>0</v>
      </c>
      <c r="S25" s="7"/>
      <c r="T25" s="7"/>
      <c r="U25" s="7"/>
      <c r="V25" s="39">
        <f t="shared" si="5"/>
        <v>0</v>
      </c>
      <c r="W25" s="7"/>
      <c r="X25" s="7"/>
      <c r="Y25" s="7"/>
      <c r="Z25" s="39">
        <f t="shared" si="6"/>
        <v>0</v>
      </c>
    </row>
    <row r="26">
      <c r="A26" s="20" t="s">
        <v>88</v>
      </c>
      <c r="B26" s="118"/>
      <c r="C26" s="1">
        <v>23.0</v>
      </c>
      <c r="D26" s="15">
        <v>0.12000000000000001</v>
      </c>
      <c r="E26" s="193">
        <f>VLOOKUP(A26,'2022 Puntos'!A:E,5,FALSE)</f>
        <v>15.75</v>
      </c>
      <c r="F26" s="37">
        <f t="shared" si="1"/>
        <v>15.75</v>
      </c>
      <c r="G26" s="161"/>
      <c r="H26" s="1"/>
      <c r="I26" s="1"/>
      <c r="J26" s="39">
        <f t="shared" si="2"/>
        <v>0</v>
      </c>
      <c r="K26" s="161"/>
      <c r="L26" s="1"/>
      <c r="M26" s="7"/>
      <c r="N26" s="39">
        <f t="shared" si="3"/>
        <v>0</v>
      </c>
      <c r="O26" s="7"/>
      <c r="P26" s="7"/>
      <c r="Q26" s="7"/>
      <c r="R26" s="39">
        <f t="shared" si="4"/>
        <v>0</v>
      </c>
      <c r="S26" s="7"/>
      <c r="T26" s="7"/>
      <c r="U26" s="7"/>
      <c r="V26" s="39">
        <f t="shared" si="5"/>
        <v>0</v>
      </c>
      <c r="W26" s="7"/>
      <c r="X26" s="7"/>
      <c r="Y26" s="7"/>
      <c r="Z26" s="39">
        <f t="shared" si="6"/>
        <v>0</v>
      </c>
    </row>
    <row r="27">
      <c r="A27" s="20" t="s">
        <v>77</v>
      </c>
      <c r="B27" s="195"/>
      <c r="C27" s="1">
        <v>25.0</v>
      </c>
      <c r="D27" s="15">
        <v>0.12000000000000001</v>
      </c>
      <c r="E27" s="193">
        <f>VLOOKUP(A27,'2022 Puntos'!A:E,5,FALSE)</f>
        <v>65</v>
      </c>
      <c r="F27" s="37">
        <f t="shared" si="1"/>
        <v>70</v>
      </c>
      <c r="G27" s="161"/>
      <c r="H27" s="1"/>
      <c r="I27" s="1"/>
      <c r="J27" s="39">
        <f t="shared" si="2"/>
        <v>0</v>
      </c>
      <c r="K27" s="161"/>
      <c r="L27" s="1"/>
      <c r="M27" s="1"/>
      <c r="N27" s="39">
        <f t="shared" si="3"/>
        <v>0</v>
      </c>
      <c r="O27" s="1"/>
      <c r="P27" s="1"/>
      <c r="Q27" s="1"/>
      <c r="R27" s="39">
        <f t="shared" si="4"/>
        <v>0</v>
      </c>
      <c r="S27" s="7">
        <v>1.0</v>
      </c>
      <c r="T27" s="7">
        <v>1.0</v>
      </c>
      <c r="U27" s="7">
        <v>1.0</v>
      </c>
      <c r="V27" s="39">
        <f t="shared" si="5"/>
        <v>5</v>
      </c>
      <c r="W27" s="7"/>
      <c r="X27" s="7"/>
      <c r="Y27" s="7"/>
      <c r="Z27" s="39">
        <f t="shared" si="6"/>
        <v>0</v>
      </c>
    </row>
    <row r="28">
      <c r="A28" s="20" t="s">
        <v>52</v>
      </c>
      <c r="B28" s="21" t="s">
        <v>53</v>
      </c>
      <c r="C28" s="1">
        <v>24.0</v>
      </c>
      <c r="D28" s="15">
        <v>0.19</v>
      </c>
      <c r="E28" s="193">
        <f>VLOOKUP(A28,'2022 Puntos'!A:E,5,FALSE)</f>
        <v>24.3</v>
      </c>
      <c r="F28" s="37">
        <f t="shared" si="1"/>
        <v>24.3</v>
      </c>
      <c r="G28" s="161"/>
      <c r="H28" s="1"/>
      <c r="I28" s="1"/>
      <c r="J28" s="39">
        <f t="shared" si="2"/>
        <v>0</v>
      </c>
      <c r="K28" s="161"/>
      <c r="L28" s="1"/>
      <c r="M28" s="1"/>
      <c r="N28" s="39">
        <f t="shared" si="3"/>
        <v>0</v>
      </c>
      <c r="O28" s="1"/>
      <c r="P28" s="1"/>
      <c r="Q28" s="1"/>
      <c r="R28" s="39">
        <f t="shared" si="4"/>
        <v>0</v>
      </c>
      <c r="S28" s="1"/>
      <c r="T28" s="1"/>
      <c r="U28" s="1"/>
      <c r="V28" s="39">
        <f t="shared" si="5"/>
        <v>0</v>
      </c>
      <c r="W28" s="1"/>
      <c r="X28" s="1"/>
      <c r="Y28" s="1"/>
      <c r="Z28" s="39">
        <f t="shared" si="6"/>
        <v>0</v>
      </c>
    </row>
    <row r="29">
      <c r="A29" s="20" t="s">
        <v>97</v>
      </c>
      <c r="B29" s="21" t="s">
        <v>98</v>
      </c>
      <c r="C29" s="1">
        <v>26.0</v>
      </c>
      <c r="D29" s="15">
        <v>0.09</v>
      </c>
      <c r="E29" s="193">
        <f>VLOOKUP(A29,'2022 Puntos'!A:E,5,FALSE)</f>
        <v>7.91</v>
      </c>
      <c r="F29" s="37">
        <f t="shared" si="1"/>
        <v>7.91</v>
      </c>
      <c r="G29" s="161"/>
      <c r="H29" s="1"/>
      <c r="I29" s="1"/>
      <c r="J29" s="39">
        <f t="shared" si="2"/>
        <v>0</v>
      </c>
      <c r="K29" s="161"/>
      <c r="L29" s="1"/>
      <c r="M29" s="7"/>
      <c r="N29" s="39">
        <f t="shared" si="3"/>
        <v>0</v>
      </c>
      <c r="O29" s="1"/>
      <c r="P29" s="1"/>
      <c r="Q29" s="1"/>
      <c r="R29" s="39">
        <f t="shared" si="4"/>
        <v>0</v>
      </c>
      <c r="S29" s="1"/>
      <c r="T29" s="1"/>
      <c r="U29" s="1"/>
      <c r="V29" s="39">
        <f t="shared" si="5"/>
        <v>0</v>
      </c>
      <c r="W29" s="1"/>
      <c r="X29" s="1"/>
      <c r="Y29" s="1"/>
      <c r="Z29" s="39">
        <f t="shared" si="6"/>
        <v>0</v>
      </c>
    </row>
    <row r="30">
      <c r="A30" s="20" t="s">
        <v>42</v>
      </c>
      <c r="B30" s="194" t="s">
        <v>124</v>
      </c>
      <c r="C30" s="1">
        <v>28.0</v>
      </c>
      <c r="D30" s="15">
        <v>0.03</v>
      </c>
      <c r="E30" s="193">
        <f>VLOOKUP(A30,'2022 Puntos'!A:E,5,FALSE)</f>
        <v>5.85</v>
      </c>
      <c r="F30" s="37">
        <f t="shared" si="1"/>
        <v>5.85</v>
      </c>
      <c r="G30" s="4"/>
      <c r="H30" s="7"/>
      <c r="I30" s="7"/>
      <c r="J30" s="39">
        <f t="shared" si="2"/>
        <v>0</v>
      </c>
      <c r="K30" s="4"/>
      <c r="L30" s="7"/>
      <c r="M30" s="7"/>
      <c r="N30" s="39">
        <f t="shared" si="3"/>
        <v>0</v>
      </c>
      <c r="O30" s="1"/>
      <c r="P30" s="1"/>
      <c r="Q30" s="1"/>
      <c r="R30" s="39">
        <f t="shared" si="4"/>
        <v>0</v>
      </c>
      <c r="S30" s="1"/>
      <c r="T30" s="1"/>
      <c r="U30" s="1"/>
      <c r="V30" s="39">
        <f t="shared" si="5"/>
        <v>0</v>
      </c>
      <c r="W30" s="1"/>
      <c r="X30" s="1"/>
      <c r="Y30" s="1"/>
      <c r="Z30" s="39">
        <f t="shared" si="6"/>
        <v>0</v>
      </c>
    </row>
    <row r="31">
      <c r="A31" s="20" t="s">
        <v>56</v>
      </c>
      <c r="B31" s="194" t="s">
        <v>57</v>
      </c>
      <c r="C31" s="1">
        <v>29.0</v>
      </c>
      <c r="D31" s="15">
        <v>0.19</v>
      </c>
      <c r="E31" s="193">
        <f>VLOOKUP(A31,'2022 Puntos'!A:E,5,FALSE)</f>
        <v>9.1</v>
      </c>
      <c r="F31" s="37">
        <f t="shared" si="1"/>
        <v>9.1</v>
      </c>
      <c r="G31" s="161"/>
      <c r="H31" s="1"/>
      <c r="I31" s="1"/>
      <c r="J31" s="39">
        <f t="shared" si="2"/>
        <v>0</v>
      </c>
      <c r="K31" s="161"/>
      <c r="L31" s="1"/>
      <c r="M31" s="1"/>
      <c r="N31" s="39">
        <f t="shared" si="3"/>
        <v>0</v>
      </c>
      <c r="O31" s="1"/>
      <c r="P31" s="1"/>
      <c r="Q31" s="1"/>
      <c r="R31" s="39">
        <f t="shared" si="4"/>
        <v>0</v>
      </c>
      <c r="S31" s="1"/>
      <c r="T31" s="1"/>
      <c r="U31" s="1"/>
      <c r="V31" s="39">
        <f t="shared" si="5"/>
        <v>0</v>
      </c>
      <c r="W31" s="1"/>
      <c r="X31" s="1"/>
      <c r="Y31" s="1"/>
      <c r="Z31" s="39">
        <f t="shared" si="6"/>
        <v>0</v>
      </c>
    </row>
    <row r="32">
      <c r="A32" s="4" t="s">
        <v>94</v>
      </c>
      <c r="B32" s="195"/>
      <c r="C32" s="1">
        <v>30.0</v>
      </c>
      <c r="D32" s="15">
        <v>0.12000000000000001</v>
      </c>
      <c r="E32" s="193">
        <f>VLOOKUP(A32,'2022 Puntos'!A:E,5,FALSE)</f>
        <v>0</v>
      </c>
      <c r="F32" s="37">
        <f t="shared" si="1"/>
        <v>0</v>
      </c>
      <c r="G32" s="161"/>
      <c r="H32" s="1"/>
      <c r="I32" s="1"/>
      <c r="J32" s="39">
        <f t="shared" si="2"/>
        <v>0</v>
      </c>
      <c r="K32" s="161"/>
      <c r="L32" s="1"/>
      <c r="M32" s="1"/>
      <c r="N32" s="39">
        <f t="shared" si="3"/>
        <v>0</v>
      </c>
      <c r="O32" s="1"/>
      <c r="P32" s="1"/>
      <c r="Q32" s="1"/>
      <c r="R32" s="39">
        <f t="shared" si="4"/>
        <v>0</v>
      </c>
      <c r="S32" s="1"/>
      <c r="T32" s="1"/>
      <c r="U32" s="1"/>
      <c r="V32" s="39">
        <f t="shared" si="5"/>
        <v>0</v>
      </c>
      <c r="W32" s="1"/>
      <c r="X32" s="1"/>
      <c r="Y32" s="1"/>
      <c r="Z32" s="39">
        <f t="shared" si="6"/>
        <v>0</v>
      </c>
    </row>
    <row r="33">
      <c r="A33" s="20" t="s">
        <v>99</v>
      </c>
      <c r="B33" s="118"/>
      <c r="C33" s="1">
        <v>31.0</v>
      </c>
      <c r="D33" s="15">
        <v>0.1</v>
      </c>
      <c r="E33" s="193">
        <f>VLOOKUP(A33,'2022 Puntos'!A:E,5,FALSE)</f>
        <v>0</v>
      </c>
      <c r="F33" s="37">
        <f t="shared" si="1"/>
        <v>0</v>
      </c>
      <c r="G33" s="161"/>
      <c r="H33" s="1"/>
      <c r="I33" s="1"/>
      <c r="J33" s="39">
        <f t="shared" si="2"/>
        <v>0</v>
      </c>
      <c r="K33" s="161"/>
      <c r="L33" s="1"/>
      <c r="M33" s="1"/>
      <c r="N33" s="39">
        <f t="shared" si="3"/>
        <v>0</v>
      </c>
      <c r="O33" s="1"/>
      <c r="P33" s="1"/>
      <c r="Q33" s="1"/>
      <c r="R33" s="39">
        <f t="shared" si="4"/>
        <v>0</v>
      </c>
      <c r="S33" s="1"/>
      <c r="T33" s="1"/>
      <c r="U33" s="1"/>
      <c r="V33" s="39">
        <f t="shared" si="5"/>
        <v>0</v>
      </c>
      <c r="W33" s="1"/>
      <c r="X33" s="1"/>
      <c r="Y33" s="1"/>
      <c r="Z33" s="39">
        <f t="shared" si="6"/>
        <v>0</v>
      </c>
    </row>
    <row r="34">
      <c r="A34" s="20" t="s">
        <v>115</v>
      </c>
      <c r="B34" s="194" t="s">
        <v>116</v>
      </c>
      <c r="C34" s="1">
        <v>32.0</v>
      </c>
      <c r="D34" s="15">
        <v>0.06</v>
      </c>
      <c r="E34" s="193">
        <f>VLOOKUP(A34,'2022 Puntos'!A:E,5,FALSE)</f>
        <v>0</v>
      </c>
      <c r="F34" s="37">
        <f t="shared" si="1"/>
        <v>0</v>
      </c>
      <c r="G34" s="161"/>
      <c r="H34" s="1"/>
      <c r="I34" s="1"/>
      <c r="J34" s="39">
        <f t="shared" si="2"/>
        <v>0</v>
      </c>
      <c r="K34" s="161"/>
      <c r="L34" s="1"/>
      <c r="M34" s="1"/>
      <c r="N34" s="39">
        <f t="shared" si="3"/>
        <v>0</v>
      </c>
      <c r="O34" s="1"/>
      <c r="P34" s="1"/>
      <c r="Q34" s="1"/>
      <c r="R34" s="39">
        <f t="shared" si="4"/>
        <v>0</v>
      </c>
      <c r="S34" s="1"/>
      <c r="T34" s="1"/>
      <c r="U34" s="1"/>
      <c r="V34" s="39">
        <f t="shared" si="5"/>
        <v>0</v>
      </c>
      <c r="W34" s="1"/>
      <c r="X34" s="1"/>
      <c r="Y34" s="1"/>
      <c r="Z34" s="39">
        <f t="shared" si="6"/>
        <v>0</v>
      </c>
    </row>
    <row r="35">
      <c r="A35" s="4" t="s">
        <v>126</v>
      </c>
      <c r="B35" s="1"/>
      <c r="C35" s="1">
        <v>33.0</v>
      </c>
      <c r="D35" s="15">
        <v>0.03</v>
      </c>
      <c r="E35" s="193">
        <f>VLOOKUP(A35,'2022 Puntos'!A:E,5,FALSE)</f>
        <v>0</v>
      </c>
      <c r="F35" s="37">
        <f t="shared" si="1"/>
        <v>0</v>
      </c>
      <c r="G35" s="161"/>
      <c r="H35" s="1"/>
      <c r="I35" s="7"/>
      <c r="J35" s="39">
        <f t="shared" si="2"/>
        <v>0</v>
      </c>
      <c r="K35" s="161"/>
      <c r="L35" s="1"/>
      <c r="M35" s="1"/>
      <c r="N35" s="39">
        <f t="shared" si="3"/>
        <v>0</v>
      </c>
      <c r="O35" s="1"/>
      <c r="P35" s="1"/>
      <c r="Q35" s="1"/>
      <c r="R35" s="39">
        <f t="shared" si="4"/>
        <v>0</v>
      </c>
      <c r="S35" s="1"/>
      <c r="T35" s="1"/>
      <c r="U35" s="1"/>
      <c r="V35" s="39">
        <f t="shared" si="5"/>
        <v>0</v>
      </c>
      <c r="W35" s="1"/>
      <c r="X35" s="1"/>
      <c r="Y35" s="1"/>
      <c r="Z35" s="39">
        <f t="shared" si="6"/>
        <v>0</v>
      </c>
    </row>
    <row r="36">
      <c r="A36" s="20" t="s">
        <v>121</v>
      </c>
      <c r="B36" s="118"/>
      <c r="C36" s="1">
        <v>34.0</v>
      </c>
      <c r="D36" s="15">
        <v>0.03</v>
      </c>
      <c r="E36" s="193">
        <f>VLOOKUP(A36,'2022 Puntos'!A:E,5,FALSE)</f>
        <v>0</v>
      </c>
      <c r="F36" s="37">
        <f t="shared" si="1"/>
        <v>0</v>
      </c>
      <c r="G36" s="161"/>
      <c r="H36" s="1"/>
      <c r="I36" s="7"/>
      <c r="J36" s="39">
        <f t="shared" si="2"/>
        <v>0</v>
      </c>
      <c r="K36" s="161"/>
      <c r="L36" s="1"/>
      <c r="M36" s="1"/>
      <c r="N36" s="39">
        <f t="shared" si="3"/>
        <v>0</v>
      </c>
      <c r="O36" s="1"/>
      <c r="P36" s="1"/>
      <c r="Q36" s="1"/>
      <c r="R36" s="39">
        <f t="shared" si="4"/>
        <v>0</v>
      </c>
      <c r="S36" s="1"/>
      <c r="T36" s="1"/>
      <c r="U36" s="1"/>
      <c r="V36" s="39">
        <f t="shared" si="5"/>
        <v>0</v>
      </c>
      <c r="W36" s="1"/>
      <c r="X36" s="1"/>
      <c r="Y36" s="1"/>
      <c r="Z36" s="39">
        <f t="shared" si="6"/>
        <v>0</v>
      </c>
    </row>
    <row r="37">
      <c r="A37" s="20" t="s">
        <v>128</v>
      </c>
      <c r="B37" s="194"/>
      <c r="C37" s="1">
        <v>35.0</v>
      </c>
      <c r="D37" s="15">
        <v>0.03</v>
      </c>
      <c r="E37" s="193" t="str">
        <f>VLOOKUP(A37,'2022 Puntos'!A:E,5,FALSE)</f>
        <v>#N/A</v>
      </c>
      <c r="F37" s="37" t="str">
        <f t="shared" si="1"/>
        <v>#N/A</v>
      </c>
      <c r="G37" s="161"/>
      <c r="H37" s="1"/>
      <c r="I37" s="1"/>
      <c r="J37" s="39">
        <f t="shared" si="2"/>
        <v>0</v>
      </c>
      <c r="K37" s="161"/>
      <c r="L37" s="1"/>
      <c r="M37" s="1"/>
      <c r="N37" s="39">
        <f t="shared" si="3"/>
        <v>0</v>
      </c>
      <c r="O37" s="1"/>
      <c r="P37" s="1"/>
      <c r="Q37" s="1"/>
      <c r="R37" s="39">
        <f t="shared" si="4"/>
        <v>0</v>
      </c>
      <c r="S37" s="1"/>
      <c r="T37" s="1"/>
      <c r="U37" s="1"/>
      <c r="V37" s="39">
        <f t="shared" si="5"/>
        <v>0</v>
      </c>
      <c r="W37" s="1"/>
      <c r="X37" s="1"/>
      <c r="Y37" s="1"/>
      <c r="Z37" s="39">
        <f t="shared" si="6"/>
        <v>0</v>
      </c>
    </row>
    <row r="38">
      <c r="A38" s="20" t="s">
        <v>156</v>
      </c>
      <c r="B38" s="194"/>
      <c r="C38" s="1">
        <v>36.0</v>
      </c>
      <c r="D38" s="15">
        <v>0.02</v>
      </c>
      <c r="E38" s="193" t="str">
        <f>VLOOKUP(A38,'2022 Puntos'!A:E,5,FALSE)</f>
        <v>#N/A</v>
      </c>
      <c r="F38" s="37" t="str">
        <f t="shared" si="1"/>
        <v>#N/A</v>
      </c>
      <c r="G38" s="161"/>
      <c r="H38" s="1"/>
      <c r="I38" s="1"/>
      <c r="J38" s="39">
        <f t="shared" si="2"/>
        <v>0</v>
      </c>
      <c r="K38" s="161"/>
      <c r="L38" s="1"/>
      <c r="M38" s="1"/>
      <c r="N38" s="39">
        <f t="shared" si="3"/>
        <v>0</v>
      </c>
      <c r="O38" s="1"/>
      <c r="P38" s="1"/>
      <c r="Q38" s="1"/>
      <c r="R38" s="39">
        <f t="shared" si="4"/>
        <v>0</v>
      </c>
      <c r="S38" s="1"/>
      <c r="T38" s="1"/>
      <c r="U38" s="1"/>
      <c r="V38" s="39">
        <f t="shared" si="5"/>
        <v>0</v>
      </c>
      <c r="W38" s="1"/>
      <c r="X38" s="1"/>
      <c r="Y38" s="1"/>
      <c r="Z38" s="39">
        <f t="shared" si="6"/>
        <v>0</v>
      </c>
    </row>
    <row r="39">
      <c r="A39" s="119" t="s">
        <v>130</v>
      </c>
      <c r="B39" s="43"/>
      <c r="C39" s="1">
        <v>37.0</v>
      </c>
      <c r="D39" s="174">
        <v>0.01</v>
      </c>
      <c r="E39" s="193" t="str">
        <f>VLOOKUP(A39,'2022 Puntos'!A:E,5,FALSE)</f>
        <v>#N/A</v>
      </c>
      <c r="F39" s="37" t="str">
        <f t="shared" si="1"/>
        <v>#N/A</v>
      </c>
      <c r="G39" s="180"/>
      <c r="H39" s="43"/>
      <c r="I39" s="43"/>
      <c r="J39" s="39">
        <f t="shared" si="2"/>
        <v>0</v>
      </c>
      <c r="K39" s="180"/>
      <c r="L39" s="43"/>
      <c r="M39" s="43"/>
      <c r="N39" s="72">
        <f t="shared" si="3"/>
        <v>0</v>
      </c>
      <c r="O39" s="43"/>
      <c r="P39" s="43"/>
      <c r="Q39" s="120"/>
      <c r="R39" s="72">
        <f t="shared" si="4"/>
        <v>0</v>
      </c>
      <c r="S39" s="43"/>
      <c r="T39" s="43"/>
      <c r="U39" s="120"/>
      <c r="V39" s="72">
        <f t="shared" si="5"/>
        <v>0</v>
      </c>
      <c r="W39" s="43"/>
      <c r="X39" s="43"/>
      <c r="Y39" s="120"/>
      <c r="Z39" s="72">
        <f t="shared" si="6"/>
        <v>0</v>
      </c>
    </row>
  </sheetData>
  <autoFilter ref="$A$2:$Z$39">
    <sortState ref="A2:Z39">
      <sortCondition descending="1" ref="F2:F39"/>
    </sortState>
  </autoFilter>
  <customSheetViews>
    <customSheetView guid="{B1C1A7C5-AF5D-4914-A98C-8E1E40877910}" filter="1" showAutoFilter="1">
      <autoFilter ref="$A$2:$F$39"/>
    </customSheetView>
  </customSheetViews>
  <mergeCells count="5">
    <mergeCell ref="G1:J1"/>
    <mergeCell ref="K1:N1"/>
    <mergeCell ref="O1:R1"/>
    <mergeCell ref="S1:V1"/>
    <mergeCell ref="W1:Z1"/>
  </mergeCells>
  <conditionalFormatting sqref="C3:C39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</row>
    <row r="2">
      <c r="A2" s="2" t="s">
        <v>0</v>
      </c>
      <c r="B2" s="3" t="s">
        <v>1</v>
      </c>
      <c r="C2" s="3" t="s">
        <v>215</v>
      </c>
    </row>
    <row r="3">
      <c r="A3" s="197" t="s">
        <v>17</v>
      </c>
      <c r="B3" s="198" t="s">
        <v>18</v>
      </c>
      <c r="C3" s="199">
        <v>20.0</v>
      </c>
    </row>
    <row r="4">
      <c r="A4" s="20" t="s">
        <v>27</v>
      </c>
      <c r="B4" s="21" t="s">
        <v>28</v>
      </c>
      <c r="C4" s="200">
        <v>20.0</v>
      </c>
    </row>
    <row r="5">
      <c r="A5" s="20" t="s">
        <v>32</v>
      </c>
      <c r="B5" s="21" t="s">
        <v>33</v>
      </c>
      <c r="C5" s="200">
        <v>20.0</v>
      </c>
    </row>
    <row r="6">
      <c r="A6" s="20" t="s">
        <v>22</v>
      </c>
      <c r="B6" s="21" t="s">
        <v>23</v>
      </c>
      <c r="C6" s="200">
        <v>20.0</v>
      </c>
    </row>
    <row r="7">
      <c r="A7" s="20" t="s">
        <v>47</v>
      </c>
      <c r="B7" s="23" t="s">
        <v>48</v>
      </c>
      <c r="C7" s="200">
        <v>20.0</v>
      </c>
    </row>
    <row r="8">
      <c r="A8" s="20" t="s">
        <v>12</v>
      </c>
      <c r="B8" s="21" t="s">
        <v>13</v>
      </c>
      <c r="C8" s="200">
        <v>20.0</v>
      </c>
    </row>
    <row r="9">
      <c r="A9" s="20" t="s">
        <v>35</v>
      </c>
      <c r="B9" s="23" t="s">
        <v>43</v>
      </c>
      <c r="C9" s="200">
        <v>20.0</v>
      </c>
    </row>
    <row r="10">
      <c r="A10" s="201" t="s">
        <v>111</v>
      </c>
      <c r="B10" s="202" t="s">
        <v>112</v>
      </c>
      <c r="C10" s="200">
        <v>20.0</v>
      </c>
    </row>
    <row r="11">
      <c r="A11" s="201" t="s">
        <v>63</v>
      </c>
      <c r="B11" s="202" t="s">
        <v>155</v>
      </c>
      <c r="C11" s="200">
        <v>20.0</v>
      </c>
    </row>
    <row r="12">
      <c r="A12" s="201" t="s">
        <v>21</v>
      </c>
      <c r="B12" s="202" t="s">
        <v>75</v>
      </c>
      <c r="C12" s="200">
        <v>20.0</v>
      </c>
    </row>
    <row r="13">
      <c r="A13" s="201" t="s">
        <v>117</v>
      </c>
      <c r="B13" s="202"/>
      <c r="C13" s="200">
        <v>20.0</v>
      </c>
    </row>
    <row r="14">
      <c r="A14" s="201" t="s">
        <v>101</v>
      </c>
      <c r="B14" s="202"/>
      <c r="C14" s="200">
        <v>20.0</v>
      </c>
    </row>
    <row r="15">
      <c r="A15" s="201" t="s">
        <v>26</v>
      </c>
      <c r="B15" s="202" t="s">
        <v>85</v>
      </c>
      <c r="C15" s="200">
        <v>20.0</v>
      </c>
    </row>
    <row r="16">
      <c r="A16" s="201" t="s">
        <v>31</v>
      </c>
      <c r="B16" s="202" t="s">
        <v>40</v>
      </c>
      <c r="C16" s="200">
        <v>20.0</v>
      </c>
    </row>
    <row r="17">
      <c r="A17" s="201" t="s">
        <v>59</v>
      </c>
      <c r="B17" s="202" t="s">
        <v>60</v>
      </c>
      <c r="C17" s="200">
        <v>0.0</v>
      </c>
    </row>
    <row r="18">
      <c r="A18" s="20" t="s">
        <v>77</v>
      </c>
      <c r="B18" s="21"/>
      <c r="C18" s="200">
        <v>20.0</v>
      </c>
    </row>
    <row r="19">
      <c r="A19" s="20" t="s">
        <v>106</v>
      </c>
      <c r="B19" s="21" t="s">
        <v>107</v>
      </c>
      <c r="C19" s="200">
        <v>20.0</v>
      </c>
    </row>
    <row r="20">
      <c r="A20" s="20" t="s">
        <v>56</v>
      </c>
      <c r="B20" s="21" t="s">
        <v>57</v>
      </c>
      <c r="C20" s="200">
        <v>20.0</v>
      </c>
    </row>
    <row r="21">
      <c r="A21" s="20" t="s">
        <v>55</v>
      </c>
      <c r="B21" s="21" t="s">
        <v>69</v>
      </c>
      <c r="C21" s="200">
        <v>20.0</v>
      </c>
    </row>
    <row r="22">
      <c r="A22" s="20" t="s">
        <v>121</v>
      </c>
      <c r="B22" s="21"/>
      <c r="C22" s="200">
        <v>20.0</v>
      </c>
    </row>
    <row r="23">
      <c r="A23" s="20" t="s">
        <v>36</v>
      </c>
      <c r="B23" s="21" t="s">
        <v>37</v>
      </c>
      <c r="C23" s="200">
        <v>0.0</v>
      </c>
    </row>
    <row r="24">
      <c r="A24" s="20" t="s">
        <v>88</v>
      </c>
      <c r="B24" s="21"/>
      <c r="C24" s="200">
        <v>0.0</v>
      </c>
    </row>
    <row r="25">
      <c r="A25" s="20" t="s">
        <v>109</v>
      </c>
      <c r="B25" s="21"/>
      <c r="C25" s="200">
        <v>0.0</v>
      </c>
    </row>
    <row r="26">
      <c r="A26" s="20" t="s">
        <v>49</v>
      </c>
      <c r="B26" s="21" t="s">
        <v>50</v>
      </c>
      <c r="C26" s="200">
        <v>20.0</v>
      </c>
    </row>
    <row r="27">
      <c r="A27" s="20" t="s">
        <v>52</v>
      </c>
      <c r="B27" s="21" t="s">
        <v>53</v>
      </c>
      <c r="C27" s="200">
        <v>0.0</v>
      </c>
    </row>
    <row r="28">
      <c r="A28" s="20" t="s">
        <v>82</v>
      </c>
      <c r="B28" s="21" t="s">
        <v>83</v>
      </c>
      <c r="C28" s="200">
        <v>0.0</v>
      </c>
    </row>
    <row r="29">
      <c r="A29" s="20" t="s">
        <v>80</v>
      </c>
      <c r="B29" s="21" t="s">
        <v>81</v>
      </c>
      <c r="C29" s="200">
        <v>0.0</v>
      </c>
    </row>
    <row r="30">
      <c r="A30" s="20" t="s">
        <v>91</v>
      </c>
      <c r="B30" s="21" t="s">
        <v>92</v>
      </c>
      <c r="C30" s="200">
        <v>0.0</v>
      </c>
    </row>
    <row r="31">
      <c r="A31" s="20" t="s">
        <v>216</v>
      </c>
      <c r="B31" s="21"/>
      <c r="C31" s="200">
        <v>20.0</v>
      </c>
    </row>
    <row r="32">
      <c r="A32" s="20" t="s">
        <v>97</v>
      </c>
      <c r="B32" s="21" t="s">
        <v>98</v>
      </c>
      <c r="C32" s="200">
        <v>0.0</v>
      </c>
    </row>
    <row r="33">
      <c r="A33" s="20" t="s">
        <v>99</v>
      </c>
      <c r="B33" s="21"/>
      <c r="C33" s="200">
        <v>0.0</v>
      </c>
    </row>
    <row r="34">
      <c r="A34" s="20" t="s">
        <v>113</v>
      </c>
      <c r="B34" s="21" t="s">
        <v>114</v>
      </c>
      <c r="C34" s="200">
        <v>20.0</v>
      </c>
    </row>
    <row r="35">
      <c r="A35" s="20" t="s">
        <v>103</v>
      </c>
      <c r="B35" s="21" t="s">
        <v>104</v>
      </c>
      <c r="C35" s="200">
        <v>0.0</v>
      </c>
    </row>
    <row r="36">
      <c r="A36" s="20" t="s">
        <v>115</v>
      </c>
      <c r="B36" s="21" t="s">
        <v>116</v>
      </c>
      <c r="C36" s="200">
        <v>0.0</v>
      </c>
    </row>
    <row r="37">
      <c r="A37" s="20" t="s">
        <v>42</v>
      </c>
      <c r="B37" s="21" t="s">
        <v>124</v>
      </c>
      <c r="C37" s="200">
        <v>0.0</v>
      </c>
    </row>
    <row r="38">
      <c r="A38" s="20" t="s">
        <v>126</v>
      </c>
      <c r="B38" s="21"/>
      <c r="C38" s="200">
        <v>0.0</v>
      </c>
    </row>
    <row r="39">
      <c r="A39" s="20" t="s">
        <v>128</v>
      </c>
      <c r="B39" s="21"/>
      <c r="C39" s="200">
        <v>0.0</v>
      </c>
    </row>
    <row r="40">
      <c r="A40" s="20" t="s">
        <v>156</v>
      </c>
      <c r="B40" s="21"/>
      <c r="C40" s="200">
        <v>0.0</v>
      </c>
    </row>
    <row r="41">
      <c r="A41" s="20" t="s">
        <v>130</v>
      </c>
      <c r="B41" s="21"/>
      <c r="C41" s="200">
        <v>0.0</v>
      </c>
    </row>
    <row r="42">
      <c r="A42" s="203"/>
      <c r="B42" s="204"/>
      <c r="C42" s="205">
        <f>SUM(C3:C41)</f>
        <v>440</v>
      </c>
    </row>
  </sheetData>
  <conditionalFormatting sqref="C3:C41">
    <cfRule type="cellIs" dxfId="2" priority="1" operator="equal">
      <formula>20</formula>
    </cfRule>
  </conditionalFormatting>
  <conditionalFormatting sqref="C3:C41">
    <cfRule type="cellIs" dxfId="3" priority="2" operator="equal">
      <formula>0</formula>
    </cfRule>
  </conditionalFormatting>
  <conditionalFormatting sqref="C42">
    <cfRule type="cellIs" dxfId="2" priority="3" operator="greaterThanOrEqual">
      <formula>400</formula>
    </cfRule>
  </conditionalFormatting>
  <conditionalFormatting sqref="C42">
    <cfRule type="cellIs" dxfId="1" priority="4" operator="greaterThanOrEqual">
      <formula>200</formula>
    </cfRule>
  </conditionalFormatting>
  <conditionalFormatting sqref="C42">
    <cfRule type="cellIs" dxfId="3" priority="5" operator="lessThan">
      <formula>200</formula>
    </cfRule>
  </conditionalFormatting>
  <drawing r:id="rId1"/>
</worksheet>
</file>